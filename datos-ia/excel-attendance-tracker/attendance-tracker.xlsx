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PARA - second brain\01 - PROJECTS\Certificado Profesional de Microsoft Excel\1 - Excel and Copilot Fundamentals\Entrega\"/>
    </mc:Choice>
  </mc:AlternateContent>
  <xr:revisionPtr revIDLastSave="0" documentId="13_ncr:1_{0EFFFD13-3C90-4933-B0F3-D9F642FC6640}" xr6:coauthVersionLast="47" xr6:coauthVersionMax="47" xr10:uidLastSave="{00000000-0000-0000-0000-000000000000}"/>
  <bookViews>
    <workbookView xWindow="-108" yWindow="-108" windowWidth="23256" windowHeight="13896" activeTab="3" xr2:uid="{FC66C56C-9961-49CC-8F51-58CC8CE093EB}"/>
  </bookViews>
  <sheets>
    <sheet name="Attendance tracker" sheetId="1" r:id="rId1"/>
    <sheet name="Attendance Analysis" sheetId="5" r:id="rId2"/>
    <sheet name="Attendance Dashboard" sheetId="6" r:id="rId3"/>
    <sheet name="List1_ContactInfo" sheetId="2" r:id="rId4"/>
    <sheet name="List2_Department" sheetId="3" r:id="rId5"/>
    <sheet name="List3_Details" sheetId="4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6" l="1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2" i="6"/>
  <c r="E4" i="5"/>
  <c r="F231" i="4"/>
  <c r="F221" i="4"/>
  <c r="F216" i="4"/>
  <c r="F211" i="4"/>
  <c r="F206" i="4"/>
  <c r="F201" i="4"/>
  <c r="F196" i="4"/>
  <c r="F191" i="4"/>
  <c r="F186" i="4"/>
  <c r="F181" i="4"/>
  <c r="F176" i="4"/>
  <c r="F166" i="4"/>
  <c r="F161" i="4"/>
  <c r="F156" i="4"/>
  <c r="F151" i="4"/>
  <c r="F146" i="4"/>
  <c r="F141" i="4"/>
  <c r="F136" i="4"/>
  <c r="F131" i="4"/>
  <c r="F126" i="4"/>
  <c r="F121" i="4"/>
  <c r="F111" i="4"/>
  <c r="F106" i="4"/>
  <c r="F101" i="4"/>
  <c r="F96" i="4"/>
  <c r="F91" i="4"/>
  <c r="F86" i="4"/>
  <c r="F81" i="4"/>
  <c r="F76" i="4"/>
  <c r="F71" i="4"/>
  <c r="F66" i="4"/>
  <c r="F56" i="4"/>
  <c r="F51" i="4"/>
  <c r="F46" i="4"/>
  <c r="F41" i="4"/>
  <c r="F36" i="4"/>
  <c r="F31" i="4"/>
  <c r="F26" i="4"/>
  <c r="F21" i="4"/>
  <c r="F16" i="4"/>
  <c r="F11" i="4"/>
  <c r="F251" i="4"/>
  <c r="F246" i="4"/>
  <c r="F241" i="4"/>
  <c r="F236" i="4"/>
  <c r="F226" i="4"/>
  <c r="F171" i="4"/>
  <c r="F116" i="4"/>
  <c r="F61" i="4"/>
  <c r="F6" i="4"/>
  <c r="F230" i="4"/>
  <c r="F220" i="4"/>
  <c r="F215" i="4"/>
  <c r="F210" i="4"/>
  <c r="F205" i="4"/>
  <c r="F200" i="4"/>
  <c r="F195" i="4"/>
  <c r="F190" i="4"/>
  <c r="F185" i="4"/>
  <c r="F180" i="4"/>
  <c r="F175" i="4"/>
  <c r="F165" i="4"/>
  <c r="F160" i="4"/>
  <c r="F155" i="4"/>
  <c r="F150" i="4"/>
  <c r="F145" i="4"/>
  <c r="F140" i="4"/>
  <c r="F135" i="4"/>
  <c r="F130" i="4"/>
  <c r="F125" i="4"/>
  <c r="F120" i="4"/>
  <c r="F110" i="4"/>
  <c r="F105" i="4"/>
  <c r="F100" i="4"/>
  <c r="F95" i="4"/>
  <c r="F90" i="4"/>
  <c r="F85" i="4"/>
  <c r="F80" i="4"/>
  <c r="F75" i="4"/>
  <c r="F70" i="4"/>
  <c r="F65" i="4"/>
  <c r="F55" i="4"/>
  <c r="F50" i="4"/>
  <c r="F45" i="4"/>
  <c r="F40" i="4"/>
  <c r="F35" i="4"/>
  <c r="F30" i="4"/>
  <c r="F25" i="4"/>
  <c r="F20" i="4"/>
  <c r="F15" i="4"/>
  <c r="F10" i="4"/>
  <c r="F250" i="4"/>
  <c r="F245" i="4"/>
  <c r="F240" i="4"/>
  <c r="F235" i="4"/>
  <c r="F225" i="4"/>
  <c r="F170" i="4"/>
  <c r="F115" i="4"/>
  <c r="F60" i="4"/>
  <c r="F5" i="4"/>
  <c r="F229" i="4"/>
  <c r="F219" i="4"/>
  <c r="F214" i="4"/>
  <c r="F209" i="4"/>
  <c r="F204" i="4"/>
  <c r="F199" i="4"/>
  <c r="F194" i="4"/>
  <c r="F189" i="4"/>
  <c r="F184" i="4"/>
  <c r="F179" i="4"/>
  <c r="F174" i="4"/>
  <c r="F164" i="4"/>
  <c r="F159" i="4"/>
  <c r="F154" i="4"/>
  <c r="F149" i="4"/>
  <c r="F144" i="4"/>
  <c r="F139" i="4"/>
  <c r="F134" i="4"/>
  <c r="F129" i="4"/>
  <c r="F124" i="4"/>
  <c r="F119" i="4"/>
  <c r="F109" i="4"/>
  <c r="F104" i="4"/>
  <c r="F99" i="4"/>
  <c r="F94" i="4"/>
  <c r="F89" i="4"/>
  <c r="F84" i="4"/>
  <c r="F79" i="4"/>
  <c r="F74" i="4"/>
  <c r="F69" i="4"/>
  <c r="F64" i="4"/>
  <c r="F54" i="4"/>
  <c r="F49" i="4"/>
  <c r="F44" i="4"/>
  <c r="F39" i="4"/>
  <c r="F34" i="4"/>
  <c r="F29" i="4"/>
  <c r="F24" i="4"/>
  <c r="F19" i="4"/>
  <c r="F14" i="4"/>
  <c r="F9" i="4"/>
  <c r="F249" i="4"/>
  <c r="F244" i="4"/>
  <c r="F239" i="4"/>
  <c r="F234" i="4"/>
  <c r="F224" i="4"/>
  <c r="F169" i="4"/>
  <c r="F114" i="4"/>
  <c r="F59" i="4"/>
  <c r="F4" i="4"/>
  <c r="F228" i="4"/>
  <c r="F218" i="4"/>
  <c r="F213" i="4"/>
  <c r="F208" i="4"/>
  <c r="F203" i="4"/>
  <c r="F198" i="4"/>
  <c r="F193" i="4"/>
  <c r="F188" i="4"/>
  <c r="F183" i="4"/>
  <c r="F178" i="4"/>
  <c r="F173" i="4"/>
  <c r="F163" i="4"/>
  <c r="F158" i="4"/>
  <c r="F153" i="4"/>
  <c r="F148" i="4"/>
  <c r="F143" i="4"/>
  <c r="F138" i="4"/>
  <c r="F133" i="4"/>
  <c r="F128" i="4"/>
  <c r="F123" i="4"/>
  <c r="F118" i="4"/>
  <c r="F108" i="4"/>
  <c r="F103" i="4"/>
  <c r="F98" i="4"/>
  <c r="F93" i="4"/>
  <c r="F88" i="4"/>
  <c r="F83" i="4"/>
  <c r="F78" i="4"/>
  <c r="F73" i="4"/>
  <c r="F68" i="4"/>
  <c r="F63" i="4"/>
  <c r="F53" i="4"/>
  <c r="F48" i="4"/>
  <c r="F43" i="4"/>
  <c r="F38" i="4"/>
  <c r="F33" i="4"/>
  <c r="F28" i="4"/>
  <c r="F23" i="4"/>
  <c r="F18" i="4"/>
  <c r="F13" i="4"/>
  <c r="F8" i="4"/>
  <c r="F248" i="4"/>
  <c r="F243" i="4"/>
  <c r="F238" i="4"/>
  <c r="F233" i="4"/>
  <c r="F223" i="4"/>
  <c r="F168" i="4"/>
  <c r="F113" i="4"/>
  <c r="F58" i="4"/>
  <c r="F3" i="4"/>
  <c r="F227" i="4"/>
  <c r="F217" i="4"/>
  <c r="F212" i="4"/>
  <c r="F207" i="4"/>
  <c r="F202" i="4"/>
  <c r="F197" i="4"/>
  <c r="F192" i="4"/>
  <c r="F187" i="4"/>
  <c r="F182" i="4"/>
  <c r="F177" i="4"/>
  <c r="F172" i="4"/>
  <c r="F162" i="4"/>
  <c r="F157" i="4"/>
  <c r="F152" i="4"/>
  <c r="F147" i="4"/>
  <c r="F142" i="4"/>
  <c r="F137" i="4"/>
  <c r="F132" i="4"/>
  <c r="F127" i="4"/>
  <c r="F122" i="4"/>
  <c r="F117" i="4"/>
  <c r="F107" i="4"/>
  <c r="F102" i="4"/>
  <c r="F97" i="4"/>
  <c r="F92" i="4"/>
  <c r="F87" i="4"/>
  <c r="F82" i="4"/>
  <c r="F77" i="4"/>
  <c r="F72" i="4"/>
  <c r="F67" i="4"/>
  <c r="F62" i="4"/>
  <c r="F52" i="4"/>
  <c r="F47" i="4"/>
  <c r="F42" i="4"/>
  <c r="F37" i="4"/>
  <c r="F32" i="4"/>
  <c r="F27" i="4"/>
  <c r="F22" i="4"/>
  <c r="F17" i="4"/>
  <c r="F12" i="4"/>
  <c r="F7" i="4"/>
  <c r="F247" i="4"/>
  <c r="F242" i="4"/>
  <c r="F237" i="4"/>
  <c r="F232" i="4"/>
  <c r="F222" i="4"/>
  <c r="F167" i="4"/>
  <c r="F112" i="4"/>
  <c r="F57" i="4"/>
  <c r="F2" i="4"/>
  <c r="E231" i="4"/>
  <c r="E221" i="4"/>
  <c r="E216" i="4"/>
  <c r="E211" i="4"/>
  <c r="E206" i="4"/>
  <c r="E201" i="4"/>
  <c r="E196" i="4"/>
  <c r="E191" i="4"/>
  <c r="E186" i="4"/>
  <c r="E181" i="4"/>
  <c r="E176" i="4"/>
  <c r="E166" i="4"/>
  <c r="E161" i="4"/>
  <c r="E156" i="4"/>
  <c r="E151" i="4"/>
  <c r="E146" i="4"/>
  <c r="E141" i="4"/>
  <c r="E136" i="4"/>
  <c r="E131" i="4"/>
  <c r="E126" i="4"/>
  <c r="E121" i="4"/>
  <c r="E111" i="4"/>
  <c r="E106" i="4"/>
  <c r="E101" i="4"/>
  <c r="E96" i="4"/>
  <c r="E91" i="4"/>
  <c r="E86" i="4"/>
  <c r="E81" i="4"/>
  <c r="E76" i="4"/>
  <c r="E71" i="4"/>
  <c r="E66" i="4"/>
  <c r="E56" i="4"/>
  <c r="E51" i="4"/>
  <c r="E46" i="4"/>
  <c r="E41" i="4"/>
  <c r="E36" i="4"/>
  <c r="E31" i="4"/>
  <c r="E26" i="4"/>
  <c r="E21" i="4"/>
  <c r="E16" i="4"/>
  <c r="E11" i="4"/>
  <c r="E251" i="4"/>
  <c r="E246" i="4"/>
  <c r="E241" i="4"/>
  <c r="E236" i="4"/>
  <c r="E226" i="4"/>
  <c r="E171" i="4"/>
  <c r="E116" i="4"/>
  <c r="E61" i="4"/>
  <c r="E6" i="4"/>
  <c r="E230" i="4"/>
  <c r="E220" i="4"/>
  <c r="E215" i="4"/>
  <c r="E210" i="4"/>
  <c r="E205" i="4"/>
  <c r="E200" i="4"/>
  <c r="E195" i="4"/>
  <c r="E190" i="4"/>
  <c r="E185" i="4"/>
  <c r="E180" i="4"/>
  <c r="E175" i="4"/>
  <c r="E165" i="4"/>
  <c r="E160" i="4"/>
  <c r="E155" i="4"/>
  <c r="E150" i="4"/>
  <c r="E145" i="4"/>
  <c r="E140" i="4"/>
  <c r="E135" i="4"/>
  <c r="E130" i="4"/>
  <c r="E125" i="4"/>
  <c r="E120" i="4"/>
  <c r="E110" i="4"/>
  <c r="E105" i="4"/>
  <c r="E100" i="4"/>
  <c r="E95" i="4"/>
  <c r="E90" i="4"/>
  <c r="E85" i="4"/>
  <c r="E80" i="4"/>
  <c r="E75" i="4"/>
  <c r="E70" i="4"/>
  <c r="E65" i="4"/>
  <c r="E55" i="4"/>
  <c r="E50" i="4"/>
  <c r="E45" i="4"/>
  <c r="E40" i="4"/>
  <c r="E35" i="4"/>
  <c r="E30" i="4"/>
  <c r="E25" i="4"/>
  <c r="E20" i="4"/>
  <c r="E15" i="4"/>
  <c r="E10" i="4"/>
  <c r="E250" i="4"/>
  <c r="E245" i="4"/>
  <c r="E240" i="4"/>
  <c r="E235" i="4"/>
  <c r="E225" i="4"/>
  <c r="E170" i="4"/>
  <c r="E115" i="4"/>
  <c r="E60" i="4"/>
  <c r="E5" i="4"/>
  <c r="E229" i="4"/>
  <c r="E219" i="4"/>
  <c r="E214" i="4"/>
  <c r="E209" i="4"/>
  <c r="E204" i="4"/>
  <c r="E199" i="4"/>
  <c r="E194" i="4"/>
  <c r="E189" i="4"/>
  <c r="E184" i="4"/>
  <c r="E179" i="4"/>
  <c r="E174" i="4"/>
  <c r="E164" i="4"/>
  <c r="E159" i="4"/>
  <c r="E154" i="4"/>
  <c r="E149" i="4"/>
  <c r="E144" i="4"/>
  <c r="E139" i="4"/>
  <c r="E134" i="4"/>
  <c r="E129" i="4"/>
  <c r="E124" i="4"/>
  <c r="E119" i="4"/>
  <c r="E109" i="4"/>
  <c r="E104" i="4"/>
  <c r="E99" i="4"/>
  <c r="E94" i="4"/>
  <c r="E89" i="4"/>
  <c r="E84" i="4"/>
  <c r="E79" i="4"/>
  <c r="E74" i="4"/>
  <c r="E69" i="4"/>
  <c r="E64" i="4"/>
  <c r="E54" i="4"/>
  <c r="E49" i="4"/>
  <c r="E44" i="4"/>
  <c r="E39" i="4"/>
  <c r="E34" i="4"/>
  <c r="E29" i="4"/>
  <c r="E24" i="4"/>
  <c r="E19" i="4"/>
  <c r="E14" i="4"/>
  <c r="E9" i="4"/>
  <c r="E249" i="4"/>
  <c r="E244" i="4"/>
  <c r="E239" i="4"/>
  <c r="E234" i="4"/>
  <c r="E224" i="4"/>
  <c r="E169" i="4"/>
  <c r="E114" i="4"/>
  <c r="E59" i="4"/>
  <c r="E4" i="4"/>
  <c r="E228" i="4"/>
  <c r="E218" i="4"/>
  <c r="E213" i="4"/>
  <c r="E208" i="4"/>
  <c r="E203" i="4"/>
  <c r="E198" i="4"/>
  <c r="E193" i="4"/>
  <c r="E188" i="4"/>
  <c r="E183" i="4"/>
  <c r="E178" i="4"/>
  <c r="E173" i="4"/>
  <c r="E163" i="4"/>
  <c r="E158" i="4"/>
  <c r="E153" i="4"/>
  <c r="E148" i="4"/>
  <c r="E143" i="4"/>
  <c r="E138" i="4"/>
  <c r="E133" i="4"/>
  <c r="E128" i="4"/>
  <c r="E123" i="4"/>
  <c r="E118" i="4"/>
  <c r="E108" i="4"/>
  <c r="E103" i="4"/>
  <c r="E98" i="4"/>
  <c r="E93" i="4"/>
  <c r="E88" i="4"/>
  <c r="E83" i="4"/>
  <c r="E78" i="4"/>
  <c r="E73" i="4"/>
  <c r="E68" i="4"/>
  <c r="E63" i="4"/>
  <c r="E53" i="4"/>
  <c r="E48" i="4"/>
  <c r="E43" i="4"/>
  <c r="E38" i="4"/>
  <c r="E33" i="4"/>
  <c r="E28" i="4"/>
  <c r="E23" i="4"/>
  <c r="E18" i="4"/>
  <c r="E13" i="4"/>
  <c r="E8" i="4"/>
  <c r="E248" i="4"/>
  <c r="E243" i="4"/>
  <c r="E238" i="4"/>
  <c r="E233" i="4"/>
  <c r="E223" i="4"/>
  <c r="E168" i="4"/>
  <c r="E113" i="4"/>
  <c r="E58" i="4"/>
  <c r="E3" i="4"/>
  <c r="E227" i="4"/>
  <c r="E217" i="4"/>
  <c r="E212" i="4"/>
  <c r="E207" i="4"/>
  <c r="E202" i="4"/>
  <c r="E197" i="4"/>
  <c r="E192" i="4"/>
  <c r="E187" i="4"/>
  <c r="E182" i="4"/>
  <c r="E177" i="4"/>
  <c r="E172" i="4"/>
  <c r="E162" i="4"/>
  <c r="E157" i="4"/>
  <c r="E152" i="4"/>
  <c r="E147" i="4"/>
  <c r="E142" i="4"/>
  <c r="E137" i="4"/>
  <c r="E132" i="4"/>
  <c r="E127" i="4"/>
  <c r="E122" i="4"/>
  <c r="E117" i="4"/>
  <c r="E107" i="4"/>
  <c r="E102" i="4"/>
  <c r="E97" i="4"/>
  <c r="E92" i="4"/>
  <c r="E87" i="4"/>
  <c r="E82" i="4"/>
  <c r="E77" i="4"/>
  <c r="E72" i="4"/>
  <c r="E67" i="4"/>
  <c r="E62" i="4"/>
  <c r="E52" i="4"/>
  <c r="E47" i="4"/>
  <c r="E42" i="4"/>
  <c r="E37" i="4"/>
  <c r="E32" i="4"/>
  <c r="E27" i="4"/>
  <c r="E22" i="4"/>
  <c r="E17" i="4"/>
  <c r="E12" i="4"/>
  <c r="E7" i="4"/>
  <c r="E247" i="4"/>
  <c r="E242" i="4"/>
  <c r="E237" i="4"/>
  <c r="E232" i="4"/>
  <c r="E222" i="4"/>
  <c r="E167" i="4"/>
  <c r="E112" i="4"/>
  <c r="E57" i="4"/>
  <c r="E2" i="4"/>
  <c r="D231" i="4"/>
  <c r="D221" i="4"/>
  <c r="D216" i="4"/>
  <c r="D211" i="4"/>
  <c r="D206" i="4"/>
  <c r="D201" i="4"/>
  <c r="D196" i="4"/>
  <c r="D191" i="4"/>
  <c r="D186" i="4"/>
  <c r="D181" i="4"/>
  <c r="D176" i="4"/>
  <c r="D166" i="4"/>
  <c r="D161" i="4"/>
  <c r="D156" i="4"/>
  <c r="D151" i="4"/>
  <c r="D146" i="4"/>
  <c r="D141" i="4"/>
  <c r="D136" i="4"/>
  <c r="D131" i="4"/>
  <c r="D126" i="4"/>
  <c r="D121" i="4"/>
  <c r="D111" i="4"/>
  <c r="D106" i="4"/>
  <c r="D101" i="4"/>
  <c r="D96" i="4"/>
  <c r="D91" i="4"/>
  <c r="D86" i="4"/>
  <c r="D81" i="4"/>
  <c r="D76" i="4"/>
  <c r="D71" i="4"/>
  <c r="D66" i="4"/>
  <c r="D56" i="4"/>
  <c r="D51" i="4"/>
  <c r="D46" i="4"/>
  <c r="D41" i="4"/>
  <c r="D36" i="4"/>
  <c r="D31" i="4"/>
  <c r="D26" i="4"/>
  <c r="D21" i="4"/>
  <c r="D16" i="4"/>
  <c r="D11" i="4"/>
  <c r="D251" i="4"/>
  <c r="D246" i="4"/>
  <c r="D241" i="4"/>
  <c r="D236" i="4"/>
  <c r="D226" i="4"/>
  <c r="D171" i="4"/>
  <c r="D116" i="4"/>
  <c r="D61" i="4"/>
  <c r="D6" i="4"/>
  <c r="D230" i="4"/>
  <c r="D220" i="4"/>
  <c r="D215" i="4"/>
  <c r="D210" i="4"/>
  <c r="D205" i="4"/>
  <c r="D200" i="4"/>
  <c r="D195" i="4"/>
  <c r="D190" i="4"/>
  <c r="D185" i="4"/>
  <c r="D180" i="4"/>
  <c r="D175" i="4"/>
  <c r="D165" i="4"/>
  <c r="D160" i="4"/>
  <c r="D155" i="4"/>
  <c r="D150" i="4"/>
  <c r="D145" i="4"/>
  <c r="D140" i="4"/>
  <c r="D135" i="4"/>
  <c r="D130" i="4"/>
  <c r="D125" i="4"/>
  <c r="D120" i="4"/>
  <c r="D110" i="4"/>
  <c r="D105" i="4"/>
  <c r="D100" i="4"/>
  <c r="D95" i="4"/>
  <c r="D90" i="4"/>
  <c r="D85" i="4"/>
  <c r="D80" i="4"/>
  <c r="D75" i="4"/>
  <c r="D70" i="4"/>
  <c r="D65" i="4"/>
  <c r="D55" i="4"/>
  <c r="D50" i="4"/>
  <c r="D45" i="4"/>
  <c r="D40" i="4"/>
  <c r="D35" i="4"/>
  <c r="D30" i="4"/>
  <c r="D25" i="4"/>
  <c r="D20" i="4"/>
  <c r="D15" i="4"/>
  <c r="D10" i="4"/>
  <c r="D250" i="4"/>
  <c r="D245" i="4"/>
  <c r="D240" i="4"/>
  <c r="D235" i="4"/>
  <c r="D225" i="4"/>
  <c r="D170" i="4"/>
  <c r="D115" i="4"/>
  <c r="D60" i="4"/>
  <c r="D5" i="4"/>
  <c r="D229" i="4"/>
  <c r="D219" i="4"/>
  <c r="D214" i="4"/>
  <c r="D209" i="4"/>
  <c r="D204" i="4"/>
  <c r="D199" i="4"/>
  <c r="D194" i="4"/>
  <c r="D189" i="4"/>
  <c r="D184" i="4"/>
  <c r="D179" i="4"/>
  <c r="D174" i="4"/>
  <c r="D164" i="4"/>
  <c r="D159" i="4"/>
  <c r="D154" i="4"/>
  <c r="D149" i="4"/>
  <c r="D144" i="4"/>
  <c r="D139" i="4"/>
  <c r="D134" i="4"/>
  <c r="D129" i="4"/>
  <c r="D124" i="4"/>
  <c r="D119" i="4"/>
  <c r="D109" i="4"/>
  <c r="D104" i="4"/>
  <c r="D99" i="4"/>
  <c r="D94" i="4"/>
  <c r="D89" i="4"/>
  <c r="D84" i="4"/>
  <c r="D79" i="4"/>
  <c r="D74" i="4"/>
  <c r="D69" i="4"/>
  <c r="D64" i="4"/>
  <c r="D54" i="4"/>
  <c r="D49" i="4"/>
  <c r="D44" i="4"/>
  <c r="D39" i="4"/>
  <c r="D34" i="4"/>
  <c r="D29" i="4"/>
  <c r="D24" i="4"/>
  <c r="D19" i="4"/>
  <c r="D14" i="4"/>
  <c r="D9" i="4"/>
  <c r="D249" i="4"/>
  <c r="D244" i="4"/>
  <c r="D239" i="4"/>
  <c r="D234" i="4"/>
  <c r="D224" i="4"/>
  <c r="D169" i="4"/>
  <c r="D114" i="4"/>
  <c r="D59" i="4"/>
  <c r="D4" i="4"/>
  <c r="D228" i="4"/>
  <c r="D218" i="4"/>
  <c r="D213" i="4"/>
  <c r="D208" i="4"/>
  <c r="D203" i="4"/>
  <c r="D198" i="4"/>
  <c r="D193" i="4"/>
  <c r="D188" i="4"/>
  <c r="D183" i="4"/>
  <c r="D178" i="4"/>
  <c r="D173" i="4"/>
  <c r="D163" i="4"/>
  <c r="D158" i="4"/>
  <c r="D153" i="4"/>
  <c r="D148" i="4"/>
  <c r="D143" i="4"/>
  <c r="D138" i="4"/>
  <c r="D133" i="4"/>
  <c r="D128" i="4"/>
  <c r="D123" i="4"/>
  <c r="D118" i="4"/>
  <c r="D108" i="4"/>
  <c r="D103" i="4"/>
  <c r="D98" i="4"/>
  <c r="D93" i="4"/>
  <c r="D88" i="4"/>
  <c r="D83" i="4"/>
  <c r="D78" i="4"/>
  <c r="D73" i="4"/>
  <c r="D68" i="4"/>
  <c r="D63" i="4"/>
  <c r="D53" i="4"/>
  <c r="D48" i="4"/>
  <c r="D43" i="4"/>
  <c r="D38" i="4"/>
  <c r="D33" i="4"/>
  <c r="D28" i="4"/>
  <c r="D23" i="4"/>
  <c r="D18" i="4"/>
  <c r="D13" i="4"/>
  <c r="D8" i="4"/>
  <c r="D248" i="4"/>
  <c r="D243" i="4"/>
  <c r="D238" i="4"/>
  <c r="D233" i="4"/>
  <c r="D223" i="4"/>
  <c r="D168" i="4"/>
  <c r="D113" i="4"/>
  <c r="D58" i="4"/>
  <c r="D3" i="4"/>
  <c r="D227" i="4"/>
  <c r="D217" i="4"/>
  <c r="D212" i="4"/>
  <c r="F51" i="1" s="1"/>
  <c r="G51" i="1" s="1"/>
  <c r="H51" i="1" s="1"/>
  <c r="D207" i="4"/>
  <c r="D202" i="4"/>
  <c r="D197" i="4"/>
  <c r="D192" i="4"/>
  <c r="D187" i="4"/>
  <c r="D182" i="4"/>
  <c r="D177" i="4"/>
  <c r="D172" i="4"/>
  <c r="D162" i="4"/>
  <c r="D157" i="4"/>
  <c r="D152" i="4"/>
  <c r="D147" i="4"/>
  <c r="D142" i="4"/>
  <c r="D137" i="4"/>
  <c r="D132" i="4"/>
  <c r="D127" i="4"/>
  <c r="D122" i="4"/>
  <c r="D117" i="4"/>
  <c r="D107" i="4"/>
  <c r="D102" i="4"/>
  <c r="D97" i="4"/>
  <c r="D92" i="4"/>
  <c r="D87" i="4"/>
  <c r="D82" i="4"/>
  <c r="D77" i="4"/>
  <c r="D72" i="4"/>
  <c r="D67" i="4"/>
  <c r="D62" i="4"/>
  <c r="D52" i="4"/>
  <c r="D47" i="4"/>
  <c r="D42" i="4"/>
  <c r="F19" i="1" s="1"/>
  <c r="G19" i="1" s="1"/>
  <c r="D37" i="4"/>
  <c r="D32" i="4"/>
  <c r="D27" i="4"/>
  <c r="D22" i="4"/>
  <c r="D17" i="4"/>
  <c r="D12" i="4"/>
  <c r="D7" i="4"/>
  <c r="D247" i="4"/>
  <c r="D242" i="4"/>
  <c r="D237" i="4"/>
  <c r="D232" i="4"/>
  <c r="D222" i="4"/>
  <c r="D167" i="4"/>
  <c r="D112" i="4"/>
  <c r="D57" i="4"/>
  <c r="D2" i="4"/>
  <c r="F29" i="1" s="1"/>
  <c r="D11" i="1"/>
  <c r="AA11" i="6" s="1"/>
  <c r="D30" i="1"/>
  <c r="AA30" i="6" s="1"/>
  <c r="D31" i="1"/>
  <c r="AA31" i="6" s="1"/>
  <c r="D12" i="1"/>
  <c r="AA12" i="6" s="1"/>
  <c r="D13" i="1"/>
  <c r="AA13" i="6" s="1"/>
  <c r="D3" i="1"/>
  <c r="D14" i="1"/>
  <c r="AA14" i="6" s="1"/>
  <c r="D4" i="1"/>
  <c r="AA4" i="6" s="1"/>
  <c r="D32" i="1"/>
  <c r="AA32" i="6" s="1"/>
  <c r="D15" i="1"/>
  <c r="AA15" i="6" s="1"/>
  <c r="D49" i="1"/>
  <c r="AA49" i="6" s="1"/>
  <c r="D16" i="1"/>
  <c r="AA16" i="6" s="1"/>
  <c r="D17" i="1"/>
  <c r="AA17" i="6" s="1"/>
  <c r="D18" i="1"/>
  <c r="AA18" i="6" s="1"/>
  <c r="D33" i="1"/>
  <c r="AA33" i="6" s="1"/>
  <c r="D19" i="1"/>
  <c r="AA19" i="6" s="1"/>
  <c r="D20" i="1"/>
  <c r="AA20" i="6" s="1"/>
  <c r="D21" i="1"/>
  <c r="AA21" i="6" s="1"/>
  <c r="D34" i="1"/>
  <c r="AA34" i="6" s="1"/>
  <c r="D22" i="1"/>
  <c r="AA22" i="6" s="1"/>
  <c r="D45" i="1"/>
  <c r="AA45" i="6" s="1"/>
  <c r="D23" i="1"/>
  <c r="AA23" i="6" s="1"/>
  <c r="D35" i="1"/>
  <c r="AA35" i="6" s="1"/>
  <c r="D36" i="1"/>
  <c r="AA36" i="6" s="1"/>
  <c r="D37" i="1"/>
  <c r="AA37" i="6" s="1"/>
  <c r="D5" i="1"/>
  <c r="AA5" i="6" s="1"/>
  <c r="D50" i="1"/>
  <c r="AA50" i="6" s="1"/>
  <c r="D24" i="1"/>
  <c r="AA24" i="6" s="1"/>
  <c r="D6" i="1"/>
  <c r="AA6" i="6" s="1"/>
  <c r="D38" i="1"/>
  <c r="AA38" i="6" s="1"/>
  <c r="D39" i="1"/>
  <c r="AA39" i="6" s="1"/>
  <c r="D2" i="1"/>
  <c r="D40" i="1"/>
  <c r="AA40" i="6" s="1"/>
  <c r="D25" i="1"/>
  <c r="AA25" i="6" s="1"/>
  <c r="D26" i="1"/>
  <c r="AA26" i="6" s="1"/>
  <c r="D7" i="1"/>
  <c r="AA7" i="6" s="1"/>
  <c r="D27" i="1"/>
  <c r="AA27" i="6" s="1"/>
  <c r="D8" i="1"/>
  <c r="AA8" i="6" s="1"/>
  <c r="D46" i="1"/>
  <c r="AA46" i="6" s="1"/>
  <c r="D9" i="1"/>
  <c r="AA9" i="6" s="1"/>
  <c r="D47" i="1"/>
  <c r="AA47" i="6" s="1"/>
  <c r="D41" i="1"/>
  <c r="AA41" i="6" s="1"/>
  <c r="D42" i="1"/>
  <c r="AA42" i="6" s="1"/>
  <c r="D28" i="1"/>
  <c r="AA28" i="6" s="1"/>
  <c r="D43" i="1"/>
  <c r="AA43" i="6" s="1"/>
  <c r="D10" i="1"/>
  <c r="AA10" i="6" s="1"/>
  <c r="D51" i="1"/>
  <c r="AA51" i="6" s="1"/>
  <c r="D44" i="1"/>
  <c r="AA44" i="6" s="1"/>
  <c r="D48" i="1"/>
  <c r="AA48" i="6" s="1"/>
  <c r="D29" i="1"/>
  <c r="AA29" i="6" s="1"/>
  <c r="C11" i="1"/>
  <c r="C30" i="1"/>
  <c r="C31" i="1"/>
  <c r="C12" i="1"/>
  <c r="C13" i="1"/>
  <c r="C3" i="1"/>
  <c r="C14" i="1"/>
  <c r="C4" i="1"/>
  <c r="C32" i="1"/>
  <c r="C15" i="1"/>
  <c r="C49" i="1"/>
  <c r="C16" i="1"/>
  <c r="C17" i="1"/>
  <c r="C18" i="1"/>
  <c r="C33" i="1"/>
  <c r="C19" i="1"/>
  <c r="C20" i="1"/>
  <c r="C21" i="1"/>
  <c r="C34" i="1"/>
  <c r="C22" i="1"/>
  <c r="C45" i="1"/>
  <c r="C23" i="1"/>
  <c r="C35" i="1"/>
  <c r="C36" i="1"/>
  <c r="C37" i="1"/>
  <c r="C5" i="1"/>
  <c r="C50" i="1"/>
  <c r="C24" i="1"/>
  <c r="C6" i="1"/>
  <c r="C38" i="1"/>
  <c r="C39" i="1"/>
  <c r="C2" i="1"/>
  <c r="C40" i="1"/>
  <c r="C25" i="1"/>
  <c r="C26" i="1"/>
  <c r="C7" i="1"/>
  <c r="C27" i="1"/>
  <c r="C8" i="1"/>
  <c r="C46" i="1"/>
  <c r="C9" i="1"/>
  <c r="C47" i="1"/>
  <c r="C41" i="1"/>
  <c r="C42" i="1"/>
  <c r="C28" i="1"/>
  <c r="C43" i="1"/>
  <c r="C10" i="1"/>
  <c r="C51" i="1"/>
  <c r="C44" i="1"/>
  <c r="C48" i="1"/>
  <c r="C29" i="1"/>
  <c r="E48" i="1"/>
  <c r="E44" i="1"/>
  <c r="E51" i="1"/>
  <c r="E10" i="1"/>
  <c r="E43" i="1"/>
  <c r="E28" i="1"/>
  <c r="E42" i="1"/>
  <c r="E41" i="1"/>
  <c r="E47" i="1"/>
  <c r="E9" i="1"/>
  <c r="E46" i="1"/>
  <c r="E8" i="1"/>
  <c r="E27" i="1"/>
  <c r="E7" i="1"/>
  <c r="E26" i="1"/>
  <c r="E25" i="1"/>
  <c r="E40" i="1"/>
  <c r="E2" i="1"/>
  <c r="E39" i="1"/>
  <c r="E38" i="1"/>
  <c r="E6" i="1"/>
  <c r="E24" i="1"/>
  <c r="E50" i="1"/>
  <c r="E5" i="1"/>
  <c r="E37" i="1"/>
  <c r="E36" i="1"/>
  <c r="E35" i="1"/>
  <c r="E23" i="1"/>
  <c r="E45" i="1"/>
  <c r="E22" i="1"/>
  <c r="E34" i="1"/>
  <c r="E21" i="1"/>
  <c r="E20" i="1"/>
  <c r="E19" i="1"/>
  <c r="E33" i="1"/>
  <c r="E18" i="1"/>
  <c r="E17" i="1"/>
  <c r="E16" i="1"/>
  <c r="E49" i="1"/>
  <c r="E15" i="1"/>
  <c r="E32" i="1"/>
  <c r="E4" i="1"/>
  <c r="E14" i="1"/>
  <c r="E3" i="1"/>
  <c r="E13" i="1"/>
  <c r="E12" i="1"/>
  <c r="E31" i="1"/>
  <c r="E30" i="1"/>
  <c r="E11" i="1"/>
  <c r="E29" i="1"/>
  <c r="F17" i="1" l="1"/>
  <c r="G17" i="1" s="1"/>
  <c r="AB17" i="6" s="1"/>
  <c r="F6" i="1"/>
  <c r="G6" i="1" s="1"/>
  <c r="AB6" i="6" s="1"/>
  <c r="F43" i="1"/>
  <c r="G43" i="1" s="1"/>
  <c r="AB43" i="6" s="1"/>
  <c r="P6" i="4"/>
  <c r="F33" i="1"/>
  <c r="G33" i="1" s="1"/>
  <c r="F39" i="1"/>
  <c r="G39" i="1" s="1"/>
  <c r="H39" i="1" s="1"/>
  <c r="F2" i="1"/>
  <c r="G2" i="1" s="1"/>
  <c r="AB2" i="6" s="1"/>
  <c r="E9" i="6"/>
  <c r="AB39" i="6"/>
  <c r="AA2" i="6"/>
  <c r="E10" i="6"/>
  <c r="E12" i="6"/>
  <c r="E13" i="6"/>
  <c r="AA3" i="6"/>
  <c r="H2" i="1"/>
  <c r="AB51" i="6"/>
  <c r="E11" i="6"/>
  <c r="H19" i="1"/>
  <c r="AB19" i="6"/>
  <c r="H43" i="1"/>
  <c r="H17" i="1"/>
  <c r="H6" i="1"/>
  <c r="G29" i="1"/>
  <c r="AB29" i="6" s="1"/>
  <c r="F44" i="1"/>
  <c r="G44" i="1" s="1"/>
  <c r="F18" i="1"/>
  <c r="G18" i="1" s="1"/>
  <c r="F38" i="1"/>
  <c r="G38" i="1" s="1"/>
  <c r="F22" i="1"/>
  <c r="G22" i="1" s="1"/>
  <c r="P2" i="4"/>
  <c r="P3" i="4"/>
  <c r="F15" i="1"/>
  <c r="G15" i="1" s="1"/>
  <c r="F5" i="1"/>
  <c r="G5" i="1" s="1"/>
  <c r="P4" i="4"/>
  <c r="F49" i="1"/>
  <c r="G49" i="1" s="1"/>
  <c r="F50" i="1"/>
  <c r="G50" i="1" s="1"/>
  <c r="F42" i="1"/>
  <c r="G42" i="1" s="1"/>
  <c r="P5" i="4"/>
  <c r="F41" i="1"/>
  <c r="G41" i="1" s="1"/>
  <c r="F16" i="1"/>
  <c r="G16" i="1" s="1"/>
  <c r="F24" i="1"/>
  <c r="G24" i="1" s="1"/>
  <c r="F28" i="1"/>
  <c r="G28" i="1" s="1"/>
  <c r="F10" i="1"/>
  <c r="G10" i="1" s="1"/>
  <c r="F3" i="1"/>
  <c r="F12" i="1"/>
  <c r="G12" i="1" s="1"/>
  <c r="F23" i="1"/>
  <c r="G23" i="1" s="1"/>
  <c r="F30" i="1"/>
  <c r="G30" i="1" s="1"/>
  <c r="F14" i="1"/>
  <c r="G14" i="1" s="1"/>
  <c r="F35" i="1"/>
  <c r="G35" i="1" s="1"/>
  <c r="F46" i="1"/>
  <c r="G46" i="1" s="1"/>
  <c r="F13" i="1"/>
  <c r="G13" i="1" s="1"/>
  <c r="F45" i="1"/>
  <c r="G45" i="1" s="1"/>
  <c r="F27" i="1"/>
  <c r="G27" i="1" s="1"/>
  <c r="F31" i="1"/>
  <c r="G31" i="1" s="1"/>
  <c r="F34" i="1"/>
  <c r="G34" i="1" s="1"/>
  <c r="F26" i="1"/>
  <c r="G26" i="1" s="1"/>
  <c r="F7" i="1"/>
  <c r="G7" i="1" s="1"/>
  <c r="F25" i="1"/>
  <c r="G25" i="1" s="1"/>
  <c r="F4" i="1"/>
  <c r="G4" i="1" s="1"/>
  <c r="F8" i="1"/>
  <c r="G8" i="1" s="1"/>
  <c r="F21" i="1"/>
  <c r="G21" i="1" s="1"/>
  <c r="F36" i="1"/>
  <c r="G36" i="1" s="1"/>
  <c r="F9" i="1"/>
  <c r="G9" i="1" s="1"/>
  <c r="F32" i="1"/>
  <c r="G32" i="1" s="1"/>
  <c r="F37" i="1"/>
  <c r="G37" i="1" s="1"/>
  <c r="F47" i="1"/>
  <c r="G47" i="1" s="1"/>
  <c r="F11" i="1"/>
  <c r="G11" i="1" s="1"/>
  <c r="F20" i="1"/>
  <c r="G20" i="1" s="1"/>
  <c r="F40" i="1"/>
  <c r="G40" i="1" s="1"/>
  <c r="F48" i="1"/>
  <c r="G48" i="1" s="1"/>
  <c r="H33" i="1" l="1"/>
  <c r="AB33" i="6"/>
  <c r="H9" i="1"/>
  <c r="AB9" i="6"/>
  <c r="H30" i="1"/>
  <c r="AB30" i="6"/>
  <c r="B22" i="6"/>
  <c r="H36" i="1"/>
  <c r="AB36" i="6"/>
  <c r="H23" i="1"/>
  <c r="AB23" i="6"/>
  <c r="D9" i="6"/>
  <c r="H21" i="1"/>
  <c r="AB21" i="6"/>
  <c r="H12" i="1"/>
  <c r="AB12" i="6"/>
  <c r="H22" i="1"/>
  <c r="AB22" i="6"/>
  <c r="H8" i="1"/>
  <c r="AB8" i="6"/>
  <c r="G3" i="1"/>
  <c r="A5" i="6"/>
  <c r="B18" i="6"/>
  <c r="B20" i="6"/>
  <c r="B19" i="6"/>
  <c r="H38" i="1"/>
  <c r="AB38" i="6"/>
  <c r="H4" i="1"/>
  <c r="AB4" i="6"/>
  <c r="H10" i="1"/>
  <c r="AB10" i="6"/>
  <c r="H18" i="1"/>
  <c r="AB18" i="6"/>
  <c r="D11" i="6"/>
  <c r="H25" i="1"/>
  <c r="AB25" i="6"/>
  <c r="H28" i="1"/>
  <c r="AB28" i="6"/>
  <c r="H44" i="1"/>
  <c r="AB44" i="6"/>
  <c r="H7" i="1"/>
  <c r="AB7" i="6"/>
  <c r="H24" i="1"/>
  <c r="AB24" i="6"/>
  <c r="B17" i="6"/>
  <c r="H26" i="1"/>
  <c r="AB26" i="6"/>
  <c r="H16" i="1"/>
  <c r="AB16" i="6"/>
  <c r="G5" i="6"/>
  <c r="H34" i="1"/>
  <c r="AB34" i="6"/>
  <c r="H41" i="1"/>
  <c r="AB41" i="6"/>
  <c r="E5" i="6"/>
  <c r="H48" i="1"/>
  <c r="AB48" i="6"/>
  <c r="H31" i="1"/>
  <c r="AB31" i="6"/>
  <c r="H40" i="1"/>
  <c r="AB40" i="6"/>
  <c r="H27" i="1"/>
  <c r="AB27" i="6"/>
  <c r="H42" i="1"/>
  <c r="AB42" i="6"/>
  <c r="B21" i="6"/>
  <c r="D13" i="6"/>
  <c r="H20" i="1"/>
  <c r="AB20" i="6"/>
  <c r="H45" i="1"/>
  <c r="AB45" i="6"/>
  <c r="H50" i="1"/>
  <c r="AB50" i="6"/>
  <c r="H11" i="1"/>
  <c r="AB11" i="6"/>
  <c r="H13" i="1"/>
  <c r="AB13" i="6"/>
  <c r="H49" i="1"/>
  <c r="AB49" i="6"/>
  <c r="H47" i="1"/>
  <c r="AB47" i="6"/>
  <c r="H46" i="1"/>
  <c r="AB46" i="6"/>
  <c r="H37" i="1"/>
  <c r="AB37" i="6"/>
  <c r="H35" i="1"/>
  <c r="AB35" i="6"/>
  <c r="H5" i="1"/>
  <c r="AB5" i="6"/>
  <c r="D12" i="6"/>
  <c r="H32" i="1"/>
  <c r="AB32" i="6"/>
  <c r="H14" i="1"/>
  <c r="AB14" i="6"/>
  <c r="H15" i="1"/>
  <c r="AB15" i="6"/>
  <c r="M3" i="4"/>
  <c r="M2" i="4"/>
  <c r="E6" i="5"/>
  <c r="H29" i="1"/>
  <c r="E5" i="5" a="1"/>
  <c r="E5" i="5" s="1"/>
  <c r="F13" i="6" l="1"/>
  <c r="C17" i="6"/>
  <c r="F11" i="6"/>
  <c r="F12" i="6"/>
  <c r="C19" i="6"/>
  <c r="C20" i="6"/>
  <c r="C18" i="6"/>
  <c r="C22" i="6"/>
  <c r="C21" i="6"/>
  <c r="H3" i="1"/>
  <c r="E7" i="5" s="1"/>
  <c r="D10" i="6"/>
  <c r="AB3" i="6"/>
  <c r="F9" i="6"/>
  <c r="F10" i="6" l="1"/>
  <c r="A26" i="6" a="1"/>
  <c r="A26" i="6" s="1"/>
  <c r="C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<sst xmlns="http://schemas.openxmlformats.org/spreadsheetml/2006/main" count="859" uniqueCount="170">
  <si>
    <t>Name</t>
  </si>
  <si>
    <t>Month</t>
  </si>
  <si>
    <t>Contact</t>
  </si>
  <si>
    <t>Group/Department</t>
  </si>
  <si>
    <t>Attendee 1</t>
  </si>
  <si>
    <t>Attendee 2</t>
  </si>
  <si>
    <t>Attendee 3</t>
  </si>
  <si>
    <t>Attendee 4</t>
  </si>
  <si>
    <t>Attendee 5</t>
  </si>
  <si>
    <t>Attendee 6</t>
  </si>
  <si>
    <t>Attendee 7</t>
  </si>
  <si>
    <t>Attendee 8</t>
  </si>
  <si>
    <t>Attendee 9</t>
  </si>
  <si>
    <t>Attendee 10</t>
  </si>
  <si>
    <t>Attendee 11</t>
  </si>
  <si>
    <t>Attendee 12</t>
  </si>
  <si>
    <t>Attendee 13</t>
  </si>
  <si>
    <t>Attendee 14</t>
  </si>
  <si>
    <t>Attendee 15</t>
  </si>
  <si>
    <t>Attendee 16</t>
  </si>
  <si>
    <t>Attendee 17</t>
  </si>
  <si>
    <t>Attendee 18</t>
  </si>
  <si>
    <t>Attendee 19</t>
  </si>
  <si>
    <t>Attendee 20</t>
  </si>
  <si>
    <t>Attendee 21</t>
  </si>
  <si>
    <t>Attendee 22</t>
  </si>
  <si>
    <t>Attendee 23</t>
  </si>
  <si>
    <t>Attendee 24</t>
  </si>
  <si>
    <t>Attendee 25</t>
  </si>
  <si>
    <t>Attendee 26</t>
  </si>
  <si>
    <t>Attendee 27</t>
  </si>
  <si>
    <t>Attendee 28</t>
  </si>
  <si>
    <t>Attendee 29</t>
  </si>
  <si>
    <t>Attendee 30</t>
  </si>
  <si>
    <t>Attendee 31</t>
  </si>
  <si>
    <t>Attendee 32</t>
  </si>
  <si>
    <t>Attendee 33</t>
  </si>
  <si>
    <t>Attendee 34</t>
  </si>
  <si>
    <t>Attendee 35</t>
  </si>
  <si>
    <t>Attendee 36</t>
  </si>
  <si>
    <t>Attendee 37</t>
  </si>
  <si>
    <t>Attendee 38</t>
  </si>
  <si>
    <t>Attendee 39</t>
  </si>
  <si>
    <t>Attendee 40</t>
  </si>
  <si>
    <t>Attendee 41</t>
  </si>
  <si>
    <t>Attendee 42</t>
  </si>
  <si>
    <t>Attendee 43</t>
  </si>
  <si>
    <t>Attendee 44</t>
  </si>
  <si>
    <t>Attendee 45</t>
  </si>
  <si>
    <t>Attendee 46</t>
  </si>
  <si>
    <t>Attendee 47</t>
  </si>
  <si>
    <t>Attendee 48</t>
  </si>
  <si>
    <t>Attendee 49</t>
  </si>
  <si>
    <t>Attendee 50</t>
  </si>
  <si>
    <t>Email Address</t>
  </si>
  <si>
    <t>attendee1@company.com</t>
  </si>
  <si>
    <t>attendee2@company.com</t>
  </si>
  <si>
    <t>attendee3@company.com</t>
  </si>
  <si>
    <t>attendee4@company.com</t>
  </si>
  <si>
    <t>attendee5@company.com</t>
  </si>
  <si>
    <t>attendee6@company.com</t>
  </si>
  <si>
    <t>attendee7@company.com</t>
  </si>
  <si>
    <t>attendee8@company.com</t>
  </si>
  <si>
    <t>attendee9@company.com</t>
  </si>
  <si>
    <t>attendee10@company.com</t>
  </si>
  <si>
    <t>attendee11@company.com</t>
  </si>
  <si>
    <t>attendee12@company.com</t>
  </si>
  <si>
    <t>attendee13@company.com</t>
  </si>
  <si>
    <t>attendee14@company.com</t>
  </si>
  <si>
    <t>attendee15@company.com</t>
  </si>
  <si>
    <t>attendee16@company.com</t>
  </si>
  <si>
    <t>attendee17@company.com</t>
  </si>
  <si>
    <t>attendee18@company.com</t>
  </si>
  <si>
    <t>attendee19@company.com</t>
  </si>
  <si>
    <t>attendee20@company.com</t>
  </si>
  <si>
    <t>attendee21@company.com</t>
  </si>
  <si>
    <t>attendee22@company.com</t>
  </si>
  <si>
    <t>attendee23@company.com</t>
  </si>
  <si>
    <t>attendee24@company.com</t>
  </si>
  <si>
    <t>attendee25@company.com</t>
  </si>
  <si>
    <t>attendee26@company.com</t>
  </si>
  <si>
    <t>attendee27@company.com</t>
  </si>
  <si>
    <t>attendee28@company.com</t>
  </si>
  <si>
    <t>attendee29@company.com</t>
  </si>
  <si>
    <t>attendee30@company.com</t>
  </si>
  <si>
    <t>attendee31@company.com</t>
  </si>
  <si>
    <t>attendee32@company.com</t>
  </si>
  <si>
    <t>attendee33@company.com</t>
  </si>
  <si>
    <t>attendee34@company.com</t>
  </si>
  <si>
    <t>attendee35@company.com</t>
  </si>
  <si>
    <t>attendee36@company.com</t>
  </si>
  <si>
    <t>attendee37@company.com</t>
  </si>
  <si>
    <t>attendee38@company.com</t>
  </si>
  <si>
    <t>attendee39@company.com</t>
  </si>
  <si>
    <t>attendee40@company.com</t>
  </si>
  <si>
    <t>attendee41@company.com</t>
  </si>
  <si>
    <t>attendee42@company.com</t>
  </si>
  <si>
    <t>attendee43@company.com</t>
  </si>
  <si>
    <t>attendee44@company.com</t>
  </si>
  <si>
    <t>attendee45@company.com</t>
  </si>
  <si>
    <t>attendee46@company.com</t>
  </si>
  <si>
    <t>attendee47@company.com</t>
  </si>
  <si>
    <t>attendee48@company.com</t>
  </si>
  <si>
    <t>attendee49@company.com</t>
  </si>
  <si>
    <t>attendee50@company.com</t>
  </si>
  <si>
    <t>Department</t>
  </si>
  <si>
    <t>Legend</t>
  </si>
  <si>
    <t>Marketing</t>
  </si>
  <si>
    <t xml:space="preserve">Department </t>
  </si>
  <si>
    <t>Group</t>
  </si>
  <si>
    <t>Sales</t>
  </si>
  <si>
    <t>A</t>
  </si>
  <si>
    <t>HR</t>
  </si>
  <si>
    <t>B</t>
  </si>
  <si>
    <t>IT</t>
  </si>
  <si>
    <t>C</t>
  </si>
  <si>
    <t>Finance</t>
  </si>
  <si>
    <t>D</t>
  </si>
  <si>
    <t>E</t>
  </si>
  <si>
    <t>Date</t>
  </si>
  <si>
    <t>Attended</t>
  </si>
  <si>
    <t>Yes</t>
  </si>
  <si>
    <t>No</t>
  </si>
  <si>
    <t>Present (1/0)</t>
  </si>
  <si>
    <t>Actual days present</t>
  </si>
  <si>
    <t>Attendance status</t>
  </si>
  <si>
    <t>Attendance percentage</t>
  </si>
  <si>
    <t>Attendance requirement met</t>
  </si>
  <si>
    <t>Day</t>
  </si>
  <si>
    <t>Row Labels</t>
  </si>
  <si>
    <t>Grand Total</t>
  </si>
  <si>
    <t>Individuals attended</t>
  </si>
  <si>
    <t>Attendance rate</t>
  </si>
  <si>
    <t>Questions</t>
  </si>
  <si>
    <t>Answer</t>
  </si>
  <si>
    <t>Day with highest attendance rate</t>
  </si>
  <si>
    <t>Day with lowest attendance rate</t>
  </si>
  <si>
    <t>Avg attendance rate</t>
  </si>
  <si>
    <t>Attendance Analysis</t>
  </si>
  <si>
    <t>Question</t>
  </si>
  <si>
    <t>Department with best attendance</t>
  </si>
  <si>
    <t>Individual(s) with highest attendance rate</t>
  </si>
  <si>
    <t>Individuals who attended only one day</t>
  </si>
  <si>
    <t>% of individuals who met the requirement</t>
  </si>
  <si>
    <t>Monday</t>
  </si>
  <si>
    <t>Tuesday</t>
  </si>
  <si>
    <t>Wednesday</t>
  </si>
  <si>
    <t>Thursday</t>
  </si>
  <si>
    <t>Friday</t>
  </si>
  <si>
    <t>Average attendance by department</t>
  </si>
  <si>
    <t>Key questions</t>
  </si>
  <si>
    <t>Attendance Dashboard</t>
  </si>
  <si>
    <t>Key metrics</t>
  </si>
  <si>
    <t>Overall attendance rate</t>
  </si>
  <si>
    <t>% meeting requirement</t>
  </si>
  <si>
    <t>Perfect attendance (5 days)</t>
  </si>
  <si>
    <t>Avg days attended</t>
  </si>
  <si>
    <t>Attendance by group (A–E)</t>
  </si>
  <si>
    <t>Requirement</t>
  </si>
  <si>
    <t>Avg attendance</t>
  </si>
  <si>
    <t>Headcount</t>
  </si>
  <si>
    <t>Meeting %</t>
  </si>
  <si>
    <t>Distribution of days attended</t>
  </si>
  <si>
    <t>Days attended</t>
  </si>
  <si>
    <t>Individuals</t>
  </si>
  <si>
    <t>% of total</t>
  </si>
  <si>
    <t>At-risk individuals — requirement not met</t>
  </si>
  <si>
    <t>Attendance %</t>
  </si>
  <si>
    <t>Helper (feeds at-risk list)</t>
  </si>
  <si>
    <t>Total days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</si>
</sst>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yyyy"/>
    <numFmt numFmtId="165" formatCode="mmm/yyyy"/>
    <numFmt numFmtId="166" formatCode="0.0%"/>
    <numFmt numFmtId="167" formatCode="dddd"/>
    <numFmt numFmtId="168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.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78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/>
      <bottom/>
      <diagonal/>
    </border>
    <border>
      <left/>
      <right/>
      <top style="thin">
        <color rgb="FF1F4E78"/>
      </top>
      <bottom/>
      <diagonal/>
    </border>
    <border>
      <left/>
      <right/>
      <top/>
      <bottom style="thin">
        <color rgb="FF1F4E78"/>
      </bottom>
      <diagonal/>
    </border>
    <border>
      <left style="thin">
        <color rgb="FF1F4E78"/>
      </left>
      <right/>
      <top style="thin">
        <color rgb="FF1F4E78"/>
      </top>
      <bottom/>
      <diagonal/>
    </border>
    <border>
      <left style="thin">
        <color rgb="FF1F4E78"/>
      </left>
      <right/>
      <top/>
      <bottom/>
      <diagonal/>
    </border>
    <border>
      <left style="thin">
        <color rgb="FF1F4E78"/>
      </left>
      <right/>
      <top/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/>
      <diagonal/>
    </border>
    <border>
      <left/>
      <right style="thin">
        <color rgb="FF1F4E78"/>
      </right>
      <top/>
      <bottom/>
      <diagonal/>
    </border>
    <border>
      <left/>
      <right style="thin">
        <color rgb="FF1F4E78"/>
      </right>
      <top/>
      <bottom style="thin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1F4E78"/>
      </left>
      <right style="thin">
        <color rgb="FFBFBFBF"/>
      </right>
      <top style="thin">
        <color rgb="FF1F4E78"/>
      </top>
      <bottom style="thin">
        <color rgb="FF1F4E78"/>
      </bottom>
      <diagonal/>
    </border>
    <border>
      <left style="thin">
        <color rgb="FFBFBFBF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3" borderId="0">
      <alignment horizontal="center" vertical="top"/>
    </xf>
  </cellStyleXfs>
  <cellXfs count="71">
    <xf numFmtId="0" fontId="0" fillId="0" borderId="0" xfId="0"/>
    <xf numFmtId="0" fontId="4" fillId="0" borderId="0" xfId="0" applyFont="1"/>
    <xf numFmtId="164" fontId="0" fillId="0" borderId="0" xfId="0" applyNumberFormat="1"/>
    <xf numFmtId="165" fontId="5" fillId="0" borderId="0" xfId="0" applyNumberFormat="1" applyFont="1"/>
    <xf numFmtId="0" fontId="6" fillId="0" borderId="0" xfId="0" applyFont="1"/>
    <xf numFmtId="15" fontId="6" fillId="0" borderId="0" xfId="0" applyNumberFormat="1" applyFont="1" applyAlignment="1">
      <alignment horizontal="right" wrapText="1"/>
    </xf>
    <xf numFmtId="0" fontId="1" fillId="0" borderId="0" xfId="0" applyFont="1"/>
    <xf numFmtId="0" fontId="3" fillId="2" borderId="0" xfId="1" applyFill="1" applyAlignment="1">
      <alignment horizontal="center" vertical="center"/>
    </xf>
    <xf numFmtId="0" fontId="3" fillId="2" borderId="0" xfId="1" applyFill="1">
      <alignment horizontal="center" vertical="top"/>
    </xf>
    <xf numFmtId="166" fontId="0" fillId="0" borderId="0" xfId="0" applyNumberFormat="1"/>
    <xf numFmtId="0" fontId="3" fillId="2" borderId="1" xfId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0" borderId="0" xfId="0" applyFont="1"/>
    <xf numFmtId="0" fontId="10" fillId="0" borderId="0" xfId="0" applyFont="1"/>
    <xf numFmtId="0" fontId="8" fillId="2" borderId="5" xfId="0" applyFont="1" applyFill="1" applyBorder="1"/>
    <xf numFmtId="0" fontId="0" fillId="5" borderId="6" xfId="0" applyFill="1" applyBorder="1"/>
    <xf numFmtId="0" fontId="0" fillId="4" borderId="6" xfId="0" applyFill="1" applyBorder="1"/>
    <xf numFmtId="0" fontId="2" fillId="6" borderId="7" xfId="0" applyFont="1" applyFill="1" applyBorder="1"/>
    <xf numFmtId="0" fontId="8" fillId="2" borderId="9" xfId="0" applyFont="1" applyFill="1" applyBorder="1"/>
    <xf numFmtId="166" fontId="0" fillId="5" borderId="10" xfId="0" applyNumberFormat="1" applyFill="1" applyBorder="1"/>
    <xf numFmtId="166" fontId="0" fillId="4" borderId="10" xfId="0" applyNumberFormat="1" applyFill="1" applyBorder="1"/>
    <xf numFmtId="166" fontId="2" fillId="6" borderId="11" xfId="0" applyNumberFormat="1" applyFont="1" applyFill="1" applyBorder="1"/>
    <xf numFmtId="0" fontId="0" fillId="5" borderId="12" xfId="0" applyFill="1" applyBorder="1" applyAlignment="1">
      <alignment vertical="center" wrapText="1"/>
    </xf>
    <xf numFmtId="0" fontId="0" fillId="4" borderId="12" xfId="0" applyFill="1" applyBorder="1" applyAlignment="1">
      <alignment vertical="center" wrapText="1"/>
    </xf>
    <xf numFmtId="166" fontId="0" fillId="4" borderId="12" xfId="0" applyNumberFormat="1" applyFill="1" applyBorder="1" applyAlignment="1">
      <alignment vertical="center" wrapText="1"/>
    </xf>
    <xf numFmtId="0" fontId="0" fillId="5" borderId="13" xfId="0" applyFill="1" applyBorder="1" applyAlignment="1">
      <alignment vertical="center" wrapText="1"/>
    </xf>
    <xf numFmtId="0" fontId="8" fillId="2" borderId="14" xfId="0" applyFont="1" applyFill="1" applyBorder="1" applyAlignment="1">
      <alignment vertical="center"/>
    </xf>
    <xf numFmtId="0" fontId="8" fillId="2" borderId="15" xfId="0" applyFont="1" applyFill="1" applyBorder="1" applyAlignment="1">
      <alignment vertical="center"/>
    </xf>
    <xf numFmtId="164" fontId="3" fillId="2" borderId="0" xfId="1" applyNumberFormat="1" applyFill="1" applyAlignment="1">
      <alignment horizontal="center" vertical="center"/>
    </xf>
    <xf numFmtId="0" fontId="8" fillId="2" borderId="12" xfId="0" applyFont="1" applyFill="1" applyBorder="1"/>
    <xf numFmtId="0" fontId="0" fillId="5" borderId="12" xfId="0" applyFill="1" applyBorder="1"/>
    <xf numFmtId="0" fontId="0" fillId="4" borderId="12" xfId="0" applyFill="1" applyBorder="1"/>
    <xf numFmtId="0" fontId="8" fillId="2" borderId="12" xfId="0" applyFont="1" applyFill="1" applyBorder="1" applyAlignment="1">
      <alignment horizontal="center"/>
    </xf>
    <xf numFmtId="0" fontId="0" fillId="0" borderId="12" xfId="0" applyBorder="1"/>
    <xf numFmtId="0" fontId="8" fillId="2" borderId="8" xfId="0" applyFont="1" applyFill="1" applyBorder="1" applyAlignment="1">
      <alignment horizontal="center"/>
    </xf>
    <xf numFmtId="167" fontId="0" fillId="5" borderId="8" xfId="0" applyNumberFormat="1" applyFill="1" applyBorder="1" applyAlignment="1">
      <alignment horizontal="left"/>
    </xf>
    <xf numFmtId="167" fontId="0" fillId="4" borderId="8" xfId="0" applyNumberFormat="1" applyFill="1" applyBorder="1" applyAlignment="1">
      <alignment horizontal="left"/>
    </xf>
    <xf numFmtId="15" fontId="2" fillId="6" borderId="8" xfId="0" applyNumberFormat="1" applyFont="1" applyFill="1" applyBorder="1" applyAlignment="1">
      <alignment horizontal="left"/>
    </xf>
    <xf numFmtId="1" fontId="0" fillId="5" borderId="8" xfId="0" applyNumberFormat="1" applyFill="1" applyBorder="1"/>
    <xf numFmtId="1" fontId="0" fillId="4" borderId="8" xfId="0" applyNumberFormat="1" applyFill="1" applyBorder="1"/>
    <xf numFmtId="1" fontId="2" fillId="6" borderId="8" xfId="0" applyNumberFormat="1" applyFont="1" applyFill="1" applyBorder="1"/>
    <xf numFmtId="166" fontId="0" fillId="5" borderId="8" xfId="0" applyNumberFormat="1" applyFill="1" applyBorder="1"/>
    <xf numFmtId="166" fontId="0" fillId="4" borderId="8" xfId="0" applyNumberFormat="1" applyFill="1" applyBorder="1"/>
    <xf numFmtId="166" fontId="2" fillId="6" borderId="8" xfId="0" applyNumberFormat="1" applyFont="1" applyFill="1" applyBorder="1"/>
    <xf numFmtId="166" fontId="12" fillId="6" borderId="4" xfId="0" applyNumberFormat="1" applyFont="1" applyFill="1" applyBorder="1" applyAlignment="1">
      <alignment horizontal="center" vertical="center"/>
    </xf>
    <xf numFmtId="166" fontId="12" fillId="6" borderId="7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0" fillId="0" borderId="9" xfId="0" applyBorder="1"/>
    <xf numFmtId="1" fontId="12" fillId="6" borderId="7" xfId="0" applyNumberFormat="1" applyFont="1" applyFill="1" applyBorder="1" applyAlignment="1">
      <alignment horizontal="center" vertical="center"/>
    </xf>
    <xf numFmtId="1" fontId="12" fillId="6" borderId="4" xfId="0" applyNumberFormat="1" applyFont="1" applyFill="1" applyBorder="1" applyAlignment="1">
      <alignment horizontal="center" vertical="center"/>
    </xf>
    <xf numFmtId="168" fontId="12" fillId="6" borderId="7" xfId="0" applyNumberFormat="1" applyFont="1" applyFill="1" applyBorder="1" applyAlignment="1">
      <alignment horizontal="center" vertical="center"/>
    </xf>
    <xf numFmtId="168" fontId="12" fillId="6" borderId="11" xfId="0" applyNumberFormat="1" applyFont="1" applyFill="1" applyBorder="1" applyAlignment="1">
      <alignment horizontal="center" vertical="center"/>
    </xf>
    <xf numFmtId="9" fontId="13" fillId="0" borderId="12" xfId="0" applyNumberFormat="1" applyFont="1" applyBorder="1"/>
    <xf numFmtId="166" fontId="0" fillId="0" borderId="12" xfId="0" applyNumberFormat="1" applyBorder="1"/>
    <xf numFmtId="9" fontId="13" fillId="4" borderId="12" xfId="0" applyNumberFormat="1" applyFont="1" applyFill="1" applyBorder="1"/>
    <xf numFmtId="166" fontId="0" fillId="4" borderId="12" xfId="0" applyNumberFormat="1" applyFill="1" applyBorder="1"/>
    <xf numFmtId="0" fontId="0" fillId="0" borderId="12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4" borderId="12" xfId="0" applyFill="1" applyBorder="1" applyAlignment="1">
      <alignment horizontal="left"/>
    </xf>
    <xf numFmtId="0" fontId="14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left" vertical="center" indent="1"/>
    </xf>
    <xf numFmtId="0" fontId="11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6" fontId="12" fillId="6" borderId="7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0" fontId="3" fillId="2" borderId="0" xfId="1" applyFill="1">
      <alignment horizontal="center" vertical="top"/>
    </xf>
  </cellXfs>
  <cellStyles count="2">
    <cellStyle name="Normal" xfId="0" builtinId="0"/>
    <cellStyle name="Report Header" xfId="1" xr:uid="{FBE264C2-D5C5-42A4-B4EA-7CB22770A94A}"/>
  </cellStyles>
  <dxfs count="12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5F497A"/>
      </font>
      <fill>
        <patternFill patternType="solid">
          <fgColor indexed="64"/>
          <bgColor rgb="FFE4DFE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1F4E78"/>
      </font>
      <fill>
        <patternFill patternType="solid">
          <fgColor indexed="64"/>
          <bgColor rgb="FFBDD7E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/mmm/yy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dddd"/>
    </dxf>
    <dxf>
      <numFmt numFmtId="167" formatCode="dddd"/>
    </dxf>
    <dxf>
      <numFmt numFmtId="167" formatCode="dddd"/>
    </dxf>
    <dxf>
      <numFmt numFmtId="167" formatCode="dddd"/>
    </dxf>
    <dxf>
      <numFmt numFmtId="167" formatCode="dddd"/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font>
        <b/>
      </font>
    </dxf>
    <dxf>
      <font>
        <b/>
      </font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numFmt numFmtId="167" formatCode="dddd"/>
    </dxf>
    <dxf>
      <numFmt numFmtId="167" formatCode="dddd"/>
    </dxf>
    <dxf>
      <numFmt numFmtId="167" formatCode="dddd"/>
    </dxf>
    <dxf>
      <numFmt numFmtId="167" formatCode="dddd"/>
    </dxf>
    <dxf>
      <numFmt numFmtId="167" formatCode="dd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border diagonalUp="0" diagonalDown="0" outline="0">
        <left style="thin">
          <color rgb="FF1F4E78"/>
        </left>
        <right style="thin">
          <color rgb="FF1F4E78"/>
        </right>
        <top style="thin">
          <color rgb="FF1F4E78"/>
        </top>
        <bottom style="thin">
          <color rgb="FF1F4E78"/>
        </bottom>
      </border>
    </dxf>
    <dxf>
      <font>
        <b/>
      </font>
    </dxf>
    <dxf>
      <font>
        <b/>
      </font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8"/>
        </patternFill>
      </fill>
    </dxf>
    <dxf>
      <fill>
        <patternFill patternType="solid">
          <fgColor indexed="64"/>
          <bgColor rgb="FF1F4E78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border diagonalUp="0" diagonalDown="0">
        <left/>
        <right style="thin">
          <color rgb="FF4472C4"/>
        </right>
        <top/>
        <bottom/>
        <vertical/>
        <horizontal/>
      </border>
    </dxf>
    <dxf>
      <fill>
        <patternFill patternType="none"/>
      </fill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Individuals by Days Attended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Dashboard'!$B$16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'Attendance Dashboard'!$A$17:$A$22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'Attendance Dashboard'!$B$17:$B$22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16</c:v>
                </c:pt>
                <c:pt idx="3">
                  <c:v>18</c:v>
                </c:pt>
                <c:pt idx="4">
                  <c:v>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9-43DE-A37A-38FFF1237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28959"/>
        <c:axId val="1892033455"/>
      </c:barChart>
      <c:catAx>
        <c:axId val="143442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attended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33455"/>
        <c:crosses val="autoZero"/>
        <c:auto val="1"/>
        <c:lblAlgn val="ctr"/>
        <c:lblOffset val="100"/>
        <c:noMultiLvlLbl val="0"/>
      </c:catAx>
      <c:valAx>
        <c:axId val="189203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individuals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2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by Group /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attendance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'Attendance Dashboard'!$B$9:$B$13</c:f>
              <c:strCache>
                <c:ptCount val="5"/>
                <c:pt idx="0">
                  <c:v>Marketing</c:v>
                </c:pt>
                <c:pt idx="1">
                  <c:v>Sales</c:v>
                </c:pt>
                <c:pt idx="2">
                  <c:v>HR</c:v>
                </c:pt>
                <c:pt idx="3">
                  <c:v>IT</c:v>
                </c:pt>
                <c:pt idx="4">
                  <c:v>Finance</c:v>
                </c:pt>
              </c:strCache>
            </c:strRef>
          </c:cat>
          <c:val>
            <c:numRef>
              <c:f>'Attendance Dashboard'!$D$9:$D$13</c:f>
              <c:numCache>
                <c:formatCode>0.0%</c:formatCode>
                <c:ptCount val="5"/>
                <c:pt idx="0">
                  <c:v>0.52000000000000013</c:v>
                </c:pt>
                <c:pt idx="1">
                  <c:v>0.52000000000000013</c:v>
                </c:pt>
                <c:pt idx="2">
                  <c:v>0.48000000000000009</c:v>
                </c:pt>
                <c:pt idx="3">
                  <c:v>0.54000000000000015</c:v>
                </c:pt>
                <c:pt idx="4">
                  <c:v>0.48000000000000009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1-4D4A-8293-6BD71C6AFCCD}"/>
            </c:ext>
          </c:extLst>
        </c:ser>
        <c:ser>
          <c:idx val="1"/>
          <c:order val="1"/>
          <c:tx>
            <c:v>Meeting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'Attendance Dashboard'!$F$9:$F$13</c:f>
              <c:numCache>
                <c:formatCode>0.0%</c:formatCode>
                <c:ptCount val="5"/>
                <c:pt idx="0">
                  <c:v>0.1</c:v>
                </c:pt>
                <c:pt idx="1">
                  <c:v>0.4</c:v>
                </c:pt>
                <c:pt idx="2">
                  <c:v>0.1</c:v>
                </c:pt>
                <c:pt idx="3">
                  <c:v>1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1-4D4A-8293-6BD71C6AF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269711"/>
        <c:axId val="1892048335"/>
      </c:barChart>
      <c:catAx>
        <c:axId val="207126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48335"/>
        <c:crosses val="autoZero"/>
        <c:auto val="1"/>
        <c:lblAlgn val="ctr"/>
        <c:lblOffset val="100"/>
        <c:noMultiLvlLbl val="0"/>
      </c:catAx>
      <c:valAx>
        <c:axId val="189204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6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Individuals Attended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List3_Details!$P$1</c:f>
              <c:strCache>
                <c:ptCount val="1"/>
                <c:pt idx="0">
                  <c:v>Individuals attended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List3_Details!$O$2:$O$6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List3_Details!$P$2:$P$6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30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F-412D-AB22-F5E32C20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3274527"/>
        <c:axId val="1892037295"/>
      </c:barChart>
      <c:catAx>
        <c:axId val="214327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 of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37295"/>
        <c:crosses val="autoZero"/>
        <c:auto val="1"/>
        <c:lblAlgn val="ctr"/>
        <c:lblOffset val="100"/>
        <c:noMultiLvlLbl val="0"/>
      </c:catAx>
      <c:valAx>
        <c:axId val="18920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Individuals attended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27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1136317</xdr:colOff>
      <xdr:row>33</xdr:row>
      <xdr:rowOff>30016</xdr:rowOff>
    </xdr:from>
    <xdr:to>
      <xdr:col>8</xdr:col>
      <xdr:colOff>31110</xdr:colOff>
      <xdr:row>46</xdr:row>
      <xdr:rowOff>52551</xdr:rowOff>
    </xdr:to>
    <xdr:graphicFrame macro="">
      <xdr:nvGraphicFramePr>
        <xdr:cNvPr id="3" name="chtDistribution">
          <a:extLst>
            <a:ext uri="{FF2B5EF4-FFF2-40B4-BE49-F238E27FC236}">
              <a16:creationId xmlns:a16="http://schemas.microsoft.com/office/drawing/2014/main" id="{C59E8798-42A6-6C4C-48BC-390CC8095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1122948</xdr:colOff>
      <xdr:row>14</xdr:row>
      <xdr:rowOff>160662</xdr:rowOff>
    </xdr:from>
    <xdr:to>
      <xdr:col>8</xdr:col>
      <xdr:colOff>5417</xdr:colOff>
      <xdr:row>31</xdr:row>
      <xdr:rowOff>35035</xdr:rowOff>
    </xdr:to>
    <xdr:graphicFrame macro="">
      <xdr:nvGraphicFramePr>
        <xdr:cNvPr id="4" name="chtGroup">
          <a:extLst>
            <a:ext uri="{FF2B5EF4-FFF2-40B4-BE49-F238E27FC236}">
              <a16:creationId xmlns:a16="http://schemas.microsoft.com/office/drawing/2014/main" id="{1B854FA8-65D5-35A5-DEBE-AD5DFB288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172720</xdr:colOff>
      <xdr:row>11</xdr:row>
      <xdr:rowOff>91439</xdr:rowOff>
    </xdr:from>
    <xdr:to>
      <xdr:col>15</xdr:col>
      <xdr:colOff>589280</xdr:colOff>
      <xdr:row>28</xdr:row>
      <xdr:rowOff>126999</xdr:rowOff>
    </xdr:to>
    <xdr:graphicFrame macro="">
      <xdr:nvGraphicFramePr>
        <xdr:cNvPr id="3" name="chtDayAttendance">
          <a:extLst>
            <a:ext uri="{FF2B5EF4-FFF2-40B4-BE49-F238E27FC236}">
              <a16:creationId xmlns:a16="http://schemas.microsoft.com/office/drawing/2014/main" id="{781FA714-E5EA-04C6-78C3-AF88FBA58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arbuto" refreshedDate="46219.977502430556" createdVersion="8" refreshedVersion="8" minRefreshableVersion="3" recordCount="250" xr:uid="{BB4FDE75-F57D-4409-A6CB-0BE383D24FA8}">
  <cacheSource type="worksheet">
    <worksheetSource ref="A1:F251" sheet="List3_Details"/>
  </cacheSource>
  <cacheFields count="6">
    <cacheField name="Name" numFmtId="0">
      <sharedItems/>
    </cacheField>
    <cacheField name="Date" numFmtId="15">
      <sharedItems containsSemiMixedTypes="0" containsNonDate="0" containsDate="1" containsString="0" minDate="2024-07-01T00:00:00" maxDate="2024-07-06T00:00:00" count="5">
        <d v="2024-07-01T00:00:00"/>
        <d v="2024-07-02T00:00:00"/>
        <d v="2024-07-03T00:00:00"/>
        <d v="2024-07-04T00:00:00"/>
        <d v="2024-07-05T00:00:00"/>
      </sharedItems>
    </cacheField>
    <cacheField name="Attended" numFmtId="0">
      <sharedItems count="2">
        <s v="Yes"/>
        <s v="No"/>
      </sharedItems>
    </cacheField>
    <cacheField name="Present (1/0)" numFmtId="0">
      <sharedItems containsSemiMixedTypes="0" containsString="0" containsNumber="1" containsInteger="1" minValue="0" maxValue="1"/>
    </cacheField>
    <cacheField name="Attendance status" numFmtId="0">
      <sharedItems/>
    </cacheField>
    <cacheField name="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arbuto" refreshedDate="46219.978213078706" createdVersion="8" refreshedVersion="8" minRefreshableVersion="3" recordCount="50" xr:uid="{48FD05BA-4C81-4360-8C5C-09C1DCEDAD10}">
  <cacheSource type="worksheet">
    <worksheetSource ref="A1:H51" sheet="Attendance tracker"/>
  </cacheSource>
  <cacheFields count="8">
    <cacheField name="Name" numFmtId="0">
      <sharedItems/>
    </cacheField>
    <cacheField name="Month" numFmtId="165">
      <sharedItems containsSemiMixedTypes="0" containsNonDate="0" containsDate="1" containsString="0" minDate="2024-07-01T00:00:00" maxDate="2024-07-02T00:00:00"/>
    </cacheField>
    <cacheField name="Contact" numFmtId="0">
      <sharedItems/>
    </cacheField>
    <cacheField name="Group/Department" numFmtId="0">
      <sharedItems count="5">
        <s v="Marketing"/>
        <s v="Sales"/>
        <s v="HR"/>
        <s v="IT"/>
        <s v="Finance"/>
      </sharedItems>
    </cacheField>
    <cacheField name="Total days" numFmtId="0">
      <sharedItems containsSemiMixedTypes="0" containsString="0" containsNumber="1" containsInteger="1" minValue="5" maxValue="5"/>
    </cacheField>
    <cacheField name="Actual days present" numFmtId="0">
      <sharedItems containsSemiMixedTypes="0" containsString="0" containsNumber="1" containsInteger="1" minValue="0" maxValue="5"/>
    </cacheField>
    <cacheField name="Attendance percentage" numFmtId="166">
      <sharedItems containsSemiMixedTypes="0" containsString="0" containsNumber="1" minValue="0" maxValue="1"/>
    </cacheField>
    <cacheField name="Attendance requirement m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ttendee 1"/>
    <x v="0"/>
    <x v="0"/>
    <n v="1"/>
    <s v="Present"/>
    <s v="Monday"/>
  </r>
  <r>
    <s v="Attendee 2"/>
    <x v="0"/>
    <x v="1"/>
    <n v="0"/>
    <s v="Absent"/>
    <s v="Monday"/>
  </r>
  <r>
    <s v="Attendee 3"/>
    <x v="0"/>
    <x v="0"/>
    <n v="1"/>
    <s v="Present"/>
    <s v="Monday"/>
  </r>
  <r>
    <s v="Attendee 4"/>
    <x v="0"/>
    <x v="1"/>
    <n v="0"/>
    <s v="Absent"/>
    <s v="Monday"/>
  </r>
  <r>
    <s v="Attendee 5"/>
    <x v="0"/>
    <x v="0"/>
    <n v="1"/>
    <s v="Present"/>
    <s v="Monday"/>
  </r>
  <r>
    <s v="Attendee 6"/>
    <x v="0"/>
    <x v="1"/>
    <n v="0"/>
    <s v="Absent"/>
    <s v="Monday"/>
  </r>
  <r>
    <s v="Attendee 7"/>
    <x v="0"/>
    <x v="0"/>
    <n v="1"/>
    <s v="Present"/>
    <s v="Monday"/>
  </r>
  <r>
    <s v="Attendee 8"/>
    <x v="0"/>
    <x v="1"/>
    <n v="0"/>
    <s v="Absent"/>
    <s v="Monday"/>
  </r>
  <r>
    <s v="Attendee 9"/>
    <x v="0"/>
    <x v="0"/>
    <n v="1"/>
    <s v="Present"/>
    <s v="Monday"/>
  </r>
  <r>
    <s v="Attendee 10"/>
    <x v="0"/>
    <x v="1"/>
    <n v="0"/>
    <s v="Absent"/>
    <s v="Monday"/>
  </r>
  <r>
    <s v="Attendee 11"/>
    <x v="0"/>
    <x v="0"/>
    <n v="1"/>
    <s v="Present"/>
    <s v="Monday"/>
  </r>
  <r>
    <s v="Attendee 12"/>
    <x v="0"/>
    <x v="1"/>
    <n v="0"/>
    <s v="Absent"/>
    <s v="Monday"/>
  </r>
  <r>
    <s v="Attendee 13"/>
    <x v="0"/>
    <x v="0"/>
    <n v="1"/>
    <s v="Present"/>
    <s v="Monday"/>
  </r>
  <r>
    <s v="Attendee 14"/>
    <x v="0"/>
    <x v="1"/>
    <n v="0"/>
    <s v="Absent"/>
    <s v="Monday"/>
  </r>
  <r>
    <s v="Attendee 15"/>
    <x v="0"/>
    <x v="0"/>
    <n v="1"/>
    <s v="Present"/>
    <s v="Monday"/>
  </r>
  <r>
    <s v="Attendee 16"/>
    <x v="0"/>
    <x v="1"/>
    <n v="0"/>
    <s v="Absent"/>
    <s v="Monday"/>
  </r>
  <r>
    <s v="Attendee 17"/>
    <x v="0"/>
    <x v="0"/>
    <n v="1"/>
    <s v="Present"/>
    <s v="Monday"/>
  </r>
  <r>
    <s v="Attendee 18"/>
    <x v="0"/>
    <x v="1"/>
    <n v="0"/>
    <s v="Absent"/>
    <s v="Monday"/>
  </r>
  <r>
    <s v="Attendee 19"/>
    <x v="0"/>
    <x v="0"/>
    <n v="1"/>
    <s v="Present"/>
    <s v="Monday"/>
  </r>
  <r>
    <s v="Attendee 20"/>
    <x v="0"/>
    <x v="1"/>
    <n v="0"/>
    <s v="Absent"/>
    <s v="Monday"/>
  </r>
  <r>
    <s v="Attendee 21"/>
    <x v="0"/>
    <x v="0"/>
    <n v="1"/>
    <s v="Present"/>
    <s v="Monday"/>
  </r>
  <r>
    <s v="Attendee 22"/>
    <x v="0"/>
    <x v="1"/>
    <n v="0"/>
    <s v="Absent"/>
    <s v="Monday"/>
  </r>
  <r>
    <s v="Attendee 23"/>
    <x v="0"/>
    <x v="0"/>
    <n v="1"/>
    <s v="Present"/>
    <s v="Monday"/>
  </r>
  <r>
    <s v="Attendee 24"/>
    <x v="0"/>
    <x v="1"/>
    <n v="0"/>
    <s v="Absent"/>
    <s v="Monday"/>
  </r>
  <r>
    <s v="Attendee 25"/>
    <x v="0"/>
    <x v="0"/>
    <n v="1"/>
    <s v="Present"/>
    <s v="Monday"/>
  </r>
  <r>
    <s v="Attendee 26"/>
    <x v="0"/>
    <x v="1"/>
    <n v="0"/>
    <s v="Absent"/>
    <s v="Monday"/>
  </r>
  <r>
    <s v="Attendee 27"/>
    <x v="0"/>
    <x v="0"/>
    <n v="1"/>
    <s v="Present"/>
    <s v="Monday"/>
  </r>
  <r>
    <s v="Attendee 28"/>
    <x v="0"/>
    <x v="1"/>
    <n v="0"/>
    <s v="Absent"/>
    <s v="Monday"/>
  </r>
  <r>
    <s v="Attendee 29"/>
    <x v="0"/>
    <x v="0"/>
    <n v="1"/>
    <s v="Present"/>
    <s v="Monday"/>
  </r>
  <r>
    <s v="Attendee 30"/>
    <x v="0"/>
    <x v="1"/>
    <n v="0"/>
    <s v="Absent"/>
    <s v="Monday"/>
  </r>
  <r>
    <s v="Attendee 31"/>
    <x v="0"/>
    <x v="0"/>
    <n v="1"/>
    <s v="Present"/>
    <s v="Monday"/>
  </r>
  <r>
    <s v="Attendee 32"/>
    <x v="0"/>
    <x v="1"/>
    <n v="0"/>
    <s v="Absent"/>
    <s v="Monday"/>
  </r>
  <r>
    <s v="Attendee 33"/>
    <x v="0"/>
    <x v="0"/>
    <n v="1"/>
    <s v="Present"/>
    <s v="Monday"/>
  </r>
  <r>
    <s v="Attendee 34"/>
    <x v="0"/>
    <x v="1"/>
    <n v="0"/>
    <s v="Absent"/>
    <s v="Monday"/>
  </r>
  <r>
    <s v="Attendee 35"/>
    <x v="0"/>
    <x v="0"/>
    <n v="1"/>
    <s v="Present"/>
    <s v="Monday"/>
  </r>
  <r>
    <s v="Attendee 36"/>
    <x v="0"/>
    <x v="1"/>
    <n v="0"/>
    <s v="Absent"/>
    <s v="Monday"/>
  </r>
  <r>
    <s v="Attendee 37"/>
    <x v="0"/>
    <x v="0"/>
    <n v="1"/>
    <s v="Present"/>
    <s v="Monday"/>
  </r>
  <r>
    <s v="Attendee 38"/>
    <x v="0"/>
    <x v="1"/>
    <n v="0"/>
    <s v="Absent"/>
    <s v="Monday"/>
  </r>
  <r>
    <s v="Attendee 39"/>
    <x v="0"/>
    <x v="0"/>
    <n v="1"/>
    <s v="Present"/>
    <s v="Monday"/>
  </r>
  <r>
    <s v="Attendee 40"/>
    <x v="0"/>
    <x v="1"/>
    <n v="0"/>
    <s v="Absent"/>
    <s v="Monday"/>
  </r>
  <r>
    <s v="Attendee 41"/>
    <x v="0"/>
    <x v="0"/>
    <n v="1"/>
    <s v="Present"/>
    <s v="Monday"/>
  </r>
  <r>
    <s v="Attendee 42"/>
    <x v="0"/>
    <x v="1"/>
    <n v="0"/>
    <s v="Absent"/>
    <s v="Monday"/>
  </r>
  <r>
    <s v="Attendee 43"/>
    <x v="0"/>
    <x v="0"/>
    <n v="1"/>
    <s v="Present"/>
    <s v="Monday"/>
  </r>
  <r>
    <s v="Attendee 44"/>
    <x v="0"/>
    <x v="1"/>
    <n v="0"/>
    <s v="Absent"/>
    <s v="Monday"/>
  </r>
  <r>
    <s v="Attendee 45"/>
    <x v="0"/>
    <x v="0"/>
    <n v="1"/>
    <s v="Present"/>
    <s v="Monday"/>
  </r>
  <r>
    <s v="Attendee 46"/>
    <x v="0"/>
    <x v="1"/>
    <n v="0"/>
    <s v="Absent"/>
    <s v="Monday"/>
  </r>
  <r>
    <s v="Attendee 47"/>
    <x v="0"/>
    <x v="0"/>
    <n v="1"/>
    <s v="Present"/>
    <s v="Monday"/>
  </r>
  <r>
    <s v="Attendee 48"/>
    <x v="0"/>
    <x v="1"/>
    <n v="0"/>
    <s v="Absent"/>
    <s v="Monday"/>
  </r>
  <r>
    <s v="Attendee 49"/>
    <x v="0"/>
    <x v="0"/>
    <n v="1"/>
    <s v="Present"/>
    <s v="Monday"/>
  </r>
  <r>
    <s v="Attendee 50"/>
    <x v="0"/>
    <x v="1"/>
    <n v="0"/>
    <s v="Absent"/>
    <s v="Monday"/>
  </r>
  <r>
    <s v="Attendee 1"/>
    <x v="1"/>
    <x v="1"/>
    <n v="0"/>
    <s v="Absent"/>
    <s v="Tuesday"/>
  </r>
  <r>
    <s v="Attendee 2"/>
    <x v="1"/>
    <x v="0"/>
    <n v="1"/>
    <s v="Present"/>
    <s v="Tuesday"/>
  </r>
  <r>
    <s v="Attendee 3"/>
    <x v="1"/>
    <x v="1"/>
    <n v="0"/>
    <s v="Absent"/>
    <s v="Tuesday"/>
  </r>
  <r>
    <s v="Attendee 4"/>
    <x v="1"/>
    <x v="1"/>
    <n v="0"/>
    <s v="Absent"/>
    <s v="Tuesday"/>
  </r>
  <r>
    <s v="Attendee 5"/>
    <x v="1"/>
    <x v="1"/>
    <n v="0"/>
    <s v="Absent"/>
    <s v="Tuesday"/>
  </r>
  <r>
    <s v="Attendee 6"/>
    <x v="1"/>
    <x v="1"/>
    <n v="0"/>
    <s v="Absent"/>
    <s v="Tuesday"/>
  </r>
  <r>
    <s v="Attendee 7"/>
    <x v="1"/>
    <x v="1"/>
    <n v="0"/>
    <s v="Absent"/>
    <s v="Tuesday"/>
  </r>
  <r>
    <s v="Attendee 8"/>
    <x v="1"/>
    <x v="0"/>
    <n v="1"/>
    <s v="Present"/>
    <s v="Tuesday"/>
  </r>
  <r>
    <s v="Attendee 9"/>
    <x v="1"/>
    <x v="0"/>
    <n v="1"/>
    <s v="Present"/>
    <s v="Tuesday"/>
  </r>
  <r>
    <s v="Attendee 10"/>
    <x v="1"/>
    <x v="0"/>
    <n v="1"/>
    <s v="Present"/>
    <s v="Tuesday"/>
  </r>
  <r>
    <s v="Attendee 11"/>
    <x v="1"/>
    <x v="1"/>
    <n v="0"/>
    <s v="Absent"/>
    <s v="Tuesday"/>
  </r>
  <r>
    <s v="Attendee 12"/>
    <x v="1"/>
    <x v="1"/>
    <n v="0"/>
    <s v="Absent"/>
    <s v="Tuesday"/>
  </r>
  <r>
    <s v="Attendee 13"/>
    <x v="1"/>
    <x v="0"/>
    <n v="1"/>
    <s v="Present"/>
    <s v="Tuesday"/>
  </r>
  <r>
    <s v="Attendee 14"/>
    <x v="1"/>
    <x v="0"/>
    <n v="1"/>
    <s v="Present"/>
    <s v="Tuesday"/>
  </r>
  <r>
    <s v="Attendee 15"/>
    <x v="1"/>
    <x v="0"/>
    <n v="1"/>
    <s v="Present"/>
    <s v="Tuesday"/>
  </r>
  <r>
    <s v="Attendee 16"/>
    <x v="1"/>
    <x v="1"/>
    <n v="0"/>
    <s v="Absent"/>
    <s v="Tuesday"/>
  </r>
  <r>
    <s v="Attendee 17"/>
    <x v="1"/>
    <x v="1"/>
    <n v="0"/>
    <s v="Absent"/>
    <s v="Tuesday"/>
  </r>
  <r>
    <s v="Attendee 18"/>
    <x v="1"/>
    <x v="0"/>
    <n v="1"/>
    <s v="Present"/>
    <s v="Tuesday"/>
  </r>
  <r>
    <s v="Attendee 19"/>
    <x v="1"/>
    <x v="0"/>
    <n v="1"/>
    <s v="Present"/>
    <s v="Tuesday"/>
  </r>
  <r>
    <s v="Attendee 20"/>
    <x v="1"/>
    <x v="1"/>
    <n v="0"/>
    <s v="Absent"/>
    <s v="Tuesday"/>
  </r>
  <r>
    <s v="Attendee 21"/>
    <x v="1"/>
    <x v="1"/>
    <n v="0"/>
    <s v="Absent"/>
    <s v="Tuesday"/>
  </r>
  <r>
    <s v="Attendee 22"/>
    <x v="1"/>
    <x v="0"/>
    <n v="1"/>
    <s v="Present"/>
    <s v="Tuesday"/>
  </r>
  <r>
    <s v="Attendee 23"/>
    <x v="1"/>
    <x v="0"/>
    <n v="1"/>
    <s v="Present"/>
    <s v="Tuesday"/>
  </r>
  <r>
    <s v="Attendee 24"/>
    <x v="1"/>
    <x v="0"/>
    <n v="1"/>
    <s v="Present"/>
    <s v="Tuesday"/>
  </r>
  <r>
    <s v="Attendee 25"/>
    <x v="1"/>
    <x v="1"/>
    <n v="0"/>
    <s v="Absent"/>
    <s v="Tuesday"/>
  </r>
  <r>
    <s v="Attendee 26"/>
    <x v="1"/>
    <x v="0"/>
    <n v="1"/>
    <s v="Present"/>
    <s v="Tuesday"/>
  </r>
  <r>
    <s v="Attendee 27"/>
    <x v="1"/>
    <x v="0"/>
    <n v="1"/>
    <s v="Present"/>
    <s v="Tuesday"/>
  </r>
  <r>
    <s v="Attendee 28"/>
    <x v="1"/>
    <x v="1"/>
    <n v="0"/>
    <s v="Absent"/>
    <s v="Tuesday"/>
  </r>
  <r>
    <s v="Attendee 29"/>
    <x v="1"/>
    <x v="1"/>
    <n v="0"/>
    <s v="Absent"/>
    <s v="Tuesday"/>
  </r>
  <r>
    <s v="Attendee 30"/>
    <x v="1"/>
    <x v="0"/>
    <n v="1"/>
    <s v="Present"/>
    <s v="Tuesday"/>
  </r>
  <r>
    <s v="Attendee 31"/>
    <x v="1"/>
    <x v="1"/>
    <n v="0"/>
    <s v="Absent"/>
    <s v="Tuesday"/>
  </r>
  <r>
    <s v="Attendee 32"/>
    <x v="1"/>
    <x v="1"/>
    <n v="0"/>
    <s v="Absent"/>
    <s v="Tuesday"/>
  </r>
  <r>
    <s v="Attendee 33"/>
    <x v="1"/>
    <x v="0"/>
    <n v="1"/>
    <s v="Present"/>
    <s v="Tuesday"/>
  </r>
  <r>
    <s v="Attendee 34"/>
    <x v="1"/>
    <x v="1"/>
    <n v="0"/>
    <s v="Absent"/>
    <s v="Tuesday"/>
  </r>
  <r>
    <s v="Attendee 35"/>
    <x v="1"/>
    <x v="0"/>
    <n v="1"/>
    <s v="Present"/>
    <s v="Tuesday"/>
  </r>
  <r>
    <s v="Attendee 36"/>
    <x v="1"/>
    <x v="0"/>
    <n v="1"/>
    <s v="Present"/>
    <s v="Tuesday"/>
  </r>
  <r>
    <s v="Attendee 37"/>
    <x v="1"/>
    <x v="0"/>
    <n v="1"/>
    <s v="Present"/>
    <s v="Tuesday"/>
  </r>
  <r>
    <s v="Attendee 38"/>
    <x v="1"/>
    <x v="0"/>
    <n v="1"/>
    <s v="Present"/>
    <s v="Tuesday"/>
  </r>
  <r>
    <s v="Attendee 39"/>
    <x v="1"/>
    <x v="0"/>
    <n v="1"/>
    <s v="Present"/>
    <s v="Tuesday"/>
  </r>
  <r>
    <s v="Attendee 40"/>
    <x v="1"/>
    <x v="1"/>
    <n v="0"/>
    <s v="Absent"/>
    <s v="Tuesday"/>
  </r>
  <r>
    <s v="Attendee 41"/>
    <x v="1"/>
    <x v="1"/>
    <n v="0"/>
    <s v="Absent"/>
    <s v="Tuesday"/>
  </r>
  <r>
    <s v="Attendee 42"/>
    <x v="1"/>
    <x v="1"/>
    <n v="0"/>
    <s v="Absent"/>
    <s v="Tuesday"/>
  </r>
  <r>
    <s v="Attendee 43"/>
    <x v="1"/>
    <x v="0"/>
    <n v="1"/>
    <s v="Present"/>
    <s v="Tuesday"/>
  </r>
  <r>
    <s v="Attendee 44"/>
    <x v="1"/>
    <x v="0"/>
    <n v="1"/>
    <s v="Present"/>
    <s v="Tuesday"/>
  </r>
  <r>
    <s v="Attendee 45"/>
    <x v="1"/>
    <x v="1"/>
    <n v="0"/>
    <s v="Absent"/>
    <s v="Tuesday"/>
  </r>
  <r>
    <s v="Attendee 46"/>
    <x v="1"/>
    <x v="0"/>
    <n v="1"/>
    <s v="Present"/>
    <s v="Tuesday"/>
  </r>
  <r>
    <s v="Attendee 47"/>
    <x v="1"/>
    <x v="0"/>
    <n v="1"/>
    <s v="Present"/>
    <s v="Tuesday"/>
  </r>
  <r>
    <s v="Attendee 48"/>
    <x v="1"/>
    <x v="1"/>
    <n v="0"/>
    <s v="Absent"/>
    <s v="Tuesday"/>
  </r>
  <r>
    <s v="Attendee 49"/>
    <x v="1"/>
    <x v="1"/>
    <n v="0"/>
    <s v="Absent"/>
    <s v="Tuesday"/>
  </r>
  <r>
    <s v="Attendee 50"/>
    <x v="1"/>
    <x v="1"/>
    <n v="0"/>
    <s v="Absent"/>
    <s v="Tuesday"/>
  </r>
  <r>
    <s v="Attendee 1"/>
    <x v="2"/>
    <x v="1"/>
    <n v="0"/>
    <s v="Absent"/>
    <s v="Wednesday"/>
  </r>
  <r>
    <s v="Attendee 2"/>
    <x v="2"/>
    <x v="0"/>
    <n v="1"/>
    <s v="Present"/>
    <s v="Wednesday"/>
  </r>
  <r>
    <s v="Attendee 3"/>
    <x v="2"/>
    <x v="0"/>
    <n v="1"/>
    <s v="Present"/>
    <s v="Wednesday"/>
  </r>
  <r>
    <s v="Attendee 4"/>
    <x v="2"/>
    <x v="0"/>
    <n v="1"/>
    <s v="Present"/>
    <s v="Wednesday"/>
  </r>
  <r>
    <s v="Attendee 5"/>
    <x v="2"/>
    <x v="0"/>
    <n v="1"/>
    <s v="Present"/>
    <s v="Wednesday"/>
  </r>
  <r>
    <s v="Attendee 6"/>
    <x v="2"/>
    <x v="0"/>
    <n v="1"/>
    <s v="Present"/>
    <s v="Wednesday"/>
  </r>
  <r>
    <s v="Attendee 7"/>
    <x v="2"/>
    <x v="0"/>
    <n v="1"/>
    <s v="Present"/>
    <s v="Wednesday"/>
  </r>
  <r>
    <s v="Attendee 8"/>
    <x v="2"/>
    <x v="0"/>
    <n v="1"/>
    <s v="Present"/>
    <s v="Wednesday"/>
  </r>
  <r>
    <s v="Attendee 9"/>
    <x v="2"/>
    <x v="0"/>
    <n v="1"/>
    <s v="Present"/>
    <s v="Wednesday"/>
  </r>
  <r>
    <s v="Attendee 10"/>
    <x v="2"/>
    <x v="0"/>
    <n v="1"/>
    <s v="Present"/>
    <s v="Wednesday"/>
  </r>
  <r>
    <s v="Attendee 11"/>
    <x v="2"/>
    <x v="0"/>
    <n v="1"/>
    <s v="Present"/>
    <s v="Wednesday"/>
  </r>
  <r>
    <s v="Attendee 12"/>
    <x v="2"/>
    <x v="1"/>
    <n v="0"/>
    <s v="Absent"/>
    <s v="Wednesday"/>
  </r>
  <r>
    <s v="Attendee 13"/>
    <x v="2"/>
    <x v="1"/>
    <n v="0"/>
    <s v="Absent"/>
    <s v="Wednesday"/>
  </r>
  <r>
    <s v="Attendee 14"/>
    <x v="2"/>
    <x v="1"/>
    <n v="0"/>
    <s v="Absent"/>
    <s v="Wednesday"/>
  </r>
  <r>
    <s v="Attendee 15"/>
    <x v="2"/>
    <x v="1"/>
    <n v="0"/>
    <s v="Absent"/>
    <s v="Wednesday"/>
  </r>
  <r>
    <s v="Attendee 16"/>
    <x v="2"/>
    <x v="1"/>
    <n v="0"/>
    <s v="Absent"/>
    <s v="Wednesday"/>
  </r>
  <r>
    <s v="Attendee 17"/>
    <x v="2"/>
    <x v="0"/>
    <n v="1"/>
    <s v="Present"/>
    <s v="Wednesday"/>
  </r>
  <r>
    <s v="Attendee 18"/>
    <x v="2"/>
    <x v="0"/>
    <n v="1"/>
    <s v="Present"/>
    <s v="Wednesday"/>
  </r>
  <r>
    <s v="Attendee 19"/>
    <x v="2"/>
    <x v="0"/>
    <n v="1"/>
    <s v="Present"/>
    <s v="Wednesday"/>
  </r>
  <r>
    <s v="Attendee 20"/>
    <x v="2"/>
    <x v="1"/>
    <n v="0"/>
    <s v="Absent"/>
    <s v="Wednesday"/>
  </r>
  <r>
    <s v="Attendee 21"/>
    <x v="2"/>
    <x v="0"/>
    <n v="1"/>
    <s v="Present"/>
    <s v="Wednesday"/>
  </r>
  <r>
    <s v="Attendee 22"/>
    <x v="2"/>
    <x v="1"/>
    <n v="0"/>
    <s v="Absent"/>
    <s v="Wednesday"/>
  </r>
  <r>
    <s v="Attendee 23"/>
    <x v="2"/>
    <x v="1"/>
    <n v="0"/>
    <s v="Absent"/>
    <s v="Wednesday"/>
  </r>
  <r>
    <s v="Attendee 24"/>
    <x v="2"/>
    <x v="0"/>
    <n v="1"/>
    <s v="Present"/>
    <s v="Wednesday"/>
  </r>
  <r>
    <s v="Attendee 25"/>
    <x v="2"/>
    <x v="1"/>
    <n v="0"/>
    <s v="Absent"/>
    <s v="Wednesday"/>
  </r>
  <r>
    <s v="Attendee 26"/>
    <x v="2"/>
    <x v="1"/>
    <n v="0"/>
    <s v="Absent"/>
    <s v="Wednesday"/>
  </r>
  <r>
    <s v="Attendee 27"/>
    <x v="2"/>
    <x v="1"/>
    <n v="0"/>
    <s v="Absent"/>
    <s v="Wednesday"/>
  </r>
  <r>
    <s v="Attendee 28"/>
    <x v="2"/>
    <x v="1"/>
    <n v="0"/>
    <s v="Absent"/>
    <s v="Wednesday"/>
  </r>
  <r>
    <s v="Attendee 29"/>
    <x v="2"/>
    <x v="1"/>
    <n v="0"/>
    <s v="Absent"/>
    <s v="Wednesday"/>
  </r>
  <r>
    <s v="Attendee 30"/>
    <x v="2"/>
    <x v="0"/>
    <n v="1"/>
    <s v="Present"/>
    <s v="Wednesday"/>
  </r>
  <r>
    <s v="Attendee 31"/>
    <x v="2"/>
    <x v="1"/>
    <n v="0"/>
    <s v="Absent"/>
    <s v="Wednesday"/>
  </r>
  <r>
    <s v="Attendee 32"/>
    <x v="2"/>
    <x v="1"/>
    <n v="0"/>
    <s v="Absent"/>
    <s v="Wednesday"/>
  </r>
  <r>
    <s v="Attendee 33"/>
    <x v="2"/>
    <x v="0"/>
    <n v="1"/>
    <s v="Present"/>
    <s v="Wednesday"/>
  </r>
  <r>
    <s v="Attendee 34"/>
    <x v="2"/>
    <x v="0"/>
    <n v="1"/>
    <s v="Present"/>
    <s v="Wednesday"/>
  </r>
  <r>
    <s v="Attendee 35"/>
    <x v="2"/>
    <x v="1"/>
    <n v="0"/>
    <s v="Absent"/>
    <s v="Wednesday"/>
  </r>
  <r>
    <s v="Attendee 36"/>
    <x v="2"/>
    <x v="0"/>
    <n v="1"/>
    <s v="Present"/>
    <s v="Wednesday"/>
  </r>
  <r>
    <s v="Attendee 37"/>
    <x v="2"/>
    <x v="0"/>
    <n v="1"/>
    <s v="Present"/>
    <s v="Wednesday"/>
  </r>
  <r>
    <s v="Attendee 38"/>
    <x v="2"/>
    <x v="1"/>
    <n v="0"/>
    <s v="Absent"/>
    <s v="Wednesday"/>
  </r>
  <r>
    <s v="Attendee 39"/>
    <x v="2"/>
    <x v="0"/>
    <n v="1"/>
    <s v="Present"/>
    <s v="Wednesday"/>
  </r>
  <r>
    <s v="Attendee 40"/>
    <x v="2"/>
    <x v="1"/>
    <n v="0"/>
    <s v="Absent"/>
    <s v="Wednesday"/>
  </r>
  <r>
    <s v="Attendee 41"/>
    <x v="2"/>
    <x v="0"/>
    <n v="1"/>
    <s v="Present"/>
    <s v="Wednesday"/>
  </r>
  <r>
    <s v="Attendee 42"/>
    <x v="2"/>
    <x v="1"/>
    <n v="0"/>
    <s v="Absent"/>
    <s v="Wednesday"/>
  </r>
  <r>
    <s v="Attendee 43"/>
    <x v="2"/>
    <x v="1"/>
    <n v="0"/>
    <s v="Absent"/>
    <s v="Wednesday"/>
  </r>
  <r>
    <s v="Attendee 44"/>
    <x v="2"/>
    <x v="1"/>
    <n v="0"/>
    <s v="Absent"/>
    <s v="Wednesday"/>
  </r>
  <r>
    <s v="Attendee 45"/>
    <x v="2"/>
    <x v="1"/>
    <n v="0"/>
    <s v="Absent"/>
    <s v="Wednesday"/>
  </r>
  <r>
    <s v="Attendee 46"/>
    <x v="2"/>
    <x v="0"/>
    <n v="1"/>
    <s v="Present"/>
    <s v="Wednesday"/>
  </r>
  <r>
    <s v="Attendee 47"/>
    <x v="2"/>
    <x v="0"/>
    <n v="1"/>
    <s v="Present"/>
    <s v="Wednesday"/>
  </r>
  <r>
    <s v="Attendee 48"/>
    <x v="2"/>
    <x v="1"/>
    <n v="0"/>
    <s v="Absent"/>
    <s v="Wednesday"/>
  </r>
  <r>
    <s v="Attendee 49"/>
    <x v="2"/>
    <x v="1"/>
    <n v="0"/>
    <s v="Absent"/>
    <s v="Wednesday"/>
  </r>
  <r>
    <s v="Attendee 50"/>
    <x v="2"/>
    <x v="1"/>
    <n v="0"/>
    <s v="Absent"/>
    <s v="Wednesday"/>
  </r>
  <r>
    <s v="Attendee 1"/>
    <x v="3"/>
    <x v="0"/>
    <n v="1"/>
    <s v="Present"/>
    <s v="Thursday"/>
  </r>
  <r>
    <s v="Attendee 2"/>
    <x v="3"/>
    <x v="0"/>
    <n v="1"/>
    <s v="Present"/>
    <s v="Thursday"/>
  </r>
  <r>
    <s v="Attendee 3"/>
    <x v="3"/>
    <x v="1"/>
    <n v="0"/>
    <s v="Absent"/>
    <s v="Thursday"/>
  </r>
  <r>
    <s v="Attendee 4"/>
    <x v="3"/>
    <x v="0"/>
    <n v="1"/>
    <s v="Present"/>
    <s v="Thursday"/>
  </r>
  <r>
    <s v="Attendee 5"/>
    <x v="3"/>
    <x v="0"/>
    <n v="1"/>
    <s v="Present"/>
    <s v="Thursday"/>
  </r>
  <r>
    <s v="Attendee 6"/>
    <x v="3"/>
    <x v="0"/>
    <n v="1"/>
    <s v="Present"/>
    <s v="Thursday"/>
  </r>
  <r>
    <s v="Attendee 7"/>
    <x v="3"/>
    <x v="0"/>
    <n v="1"/>
    <s v="Present"/>
    <s v="Thursday"/>
  </r>
  <r>
    <s v="Attendee 8"/>
    <x v="3"/>
    <x v="0"/>
    <n v="1"/>
    <s v="Present"/>
    <s v="Thursday"/>
  </r>
  <r>
    <s v="Attendee 9"/>
    <x v="3"/>
    <x v="0"/>
    <n v="1"/>
    <s v="Present"/>
    <s v="Thursday"/>
  </r>
  <r>
    <s v="Attendee 10"/>
    <x v="3"/>
    <x v="1"/>
    <n v="0"/>
    <s v="Absent"/>
    <s v="Thursday"/>
  </r>
  <r>
    <s v="Attendee 11"/>
    <x v="3"/>
    <x v="0"/>
    <n v="1"/>
    <s v="Present"/>
    <s v="Thursday"/>
  </r>
  <r>
    <s v="Attendee 12"/>
    <x v="3"/>
    <x v="1"/>
    <n v="0"/>
    <s v="Absent"/>
    <s v="Thursday"/>
  </r>
  <r>
    <s v="Attendee 13"/>
    <x v="3"/>
    <x v="1"/>
    <n v="0"/>
    <s v="Absent"/>
    <s v="Thursday"/>
  </r>
  <r>
    <s v="Attendee 14"/>
    <x v="3"/>
    <x v="0"/>
    <n v="1"/>
    <s v="Present"/>
    <s v="Thursday"/>
  </r>
  <r>
    <s v="Attendee 15"/>
    <x v="3"/>
    <x v="0"/>
    <n v="1"/>
    <s v="Present"/>
    <s v="Thursday"/>
  </r>
  <r>
    <s v="Attendee 16"/>
    <x v="3"/>
    <x v="0"/>
    <n v="1"/>
    <s v="Present"/>
    <s v="Thursday"/>
  </r>
  <r>
    <s v="Attendee 17"/>
    <x v="3"/>
    <x v="1"/>
    <n v="0"/>
    <s v="Absent"/>
    <s v="Thursday"/>
  </r>
  <r>
    <s v="Attendee 18"/>
    <x v="3"/>
    <x v="1"/>
    <n v="0"/>
    <s v="Absent"/>
    <s v="Thursday"/>
  </r>
  <r>
    <s v="Attendee 19"/>
    <x v="3"/>
    <x v="1"/>
    <n v="0"/>
    <s v="Absent"/>
    <s v="Thursday"/>
  </r>
  <r>
    <s v="Attendee 20"/>
    <x v="3"/>
    <x v="0"/>
    <n v="1"/>
    <s v="Present"/>
    <s v="Thursday"/>
  </r>
  <r>
    <s v="Attendee 21"/>
    <x v="3"/>
    <x v="1"/>
    <n v="0"/>
    <s v="Absent"/>
    <s v="Thursday"/>
  </r>
  <r>
    <s v="Attendee 22"/>
    <x v="3"/>
    <x v="1"/>
    <n v="0"/>
    <s v="Absent"/>
    <s v="Thursday"/>
  </r>
  <r>
    <s v="Attendee 23"/>
    <x v="3"/>
    <x v="0"/>
    <n v="1"/>
    <s v="Present"/>
    <s v="Thursday"/>
  </r>
  <r>
    <s v="Attendee 24"/>
    <x v="3"/>
    <x v="1"/>
    <n v="0"/>
    <s v="Absent"/>
    <s v="Thursday"/>
  </r>
  <r>
    <s v="Attendee 25"/>
    <x v="3"/>
    <x v="0"/>
    <n v="1"/>
    <s v="Present"/>
    <s v="Thursday"/>
  </r>
  <r>
    <s v="Attendee 26"/>
    <x v="3"/>
    <x v="1"/>
    <n v="0"/>
    <s v="Absent"/>
    <s v="Thursday"/>
  </r>
  <r>
    <s v="Attendee 27"/>
    <x v="3"/>
    <x v="0"/>
    <n v="1"/>
    <s v="Present"/>
    <s v="Thursday"/>
  </r>
  <r>
    <s v="Attendee 28"/>
    <x v="3"/>
    <x v="1"/>
    <n v="0"/>
    <s v="Absent"/>
    <s v="Thursday"/>
  </r>
  <r>
    <s v="Attendee 29"/>
    <x v="3"/>
    <x v="0"/>
    <n v="1"/>
    <s v="Present"/>
    <s v="Thursday"/>
  </r>
  <r>
    <s v="Attendee 30"/>
    <x v="3"/>
    <x v="0"/>
    <n v="1"/>
    <s v="Present"/>
    <s v="Thursday"/>
  </r>
  <r>
    <s v="Attendee 31"/>
    <x v="3"/>
    <x v="0"/>
    <n v="1"/>
    <s v="Present"/>
    <s v="Thursday"/>
  </r>
  <r>
    <s v="Attendee 32"/>
    <x v="3"/>
    <x v="0"/>
    <n v="1"/>
    <s v="Present"/>
    <s v="Thursday"/>
  </r>
  <r>
    <s v="Attendee 33"/>
    <x v="3"/>
    <x v="0"/>
    <n v="1"/>
    <s v="Present"/>
    <s v="Thursday"/>
  </r>
  <r>
    <s v="Attendee 34"/>
    <x v="3"/>
    <x v="0"/>
    <n v="1"/>
    <s v="Present"/>
    <s v="Thursday"/>
  </r>
  <r>
    <s v="Attendee 35"/>
    <x v="3"/>
    <x v="1"/>
    <n v="0"/>
    <s v="Absent"/>
    <s v="Thursday"/>
  </r>
  <r>
    <s v="Attendee 36"/>
    <x v="3"/>
    <x v="0"/>
    <n v="1"/>
    <s v="Present"/>
    <s v="Thursday"/>
  </r>
  <r>
    <s v="Attendee 37"/>
    <x v="3"/>
    <x v="1"/>
    <n v="0"/>
    <s v="Absent"/>
    <s v="Thursday"/>
  </r>
  <r>
    <s v="Attendee 38"/>
    <x v="3"/>
    <x v="0"/>
    <n v="1"/>
    <s v="Present"/>
    <s v="Thursday"/>
  </r>
  <r>
    <s v="Attendee 39"/>
    <x v="3"/>
    <x v="1"/>
    <n v="0"/>
    <s v="Absent"/>
    <s v="Thursday"/>
  </r>
  <r>
    <s v="Attendee 40"/>
    <x v="3"/>
    <x v="0"/>
    <n v="1"/>
    <s v="Present"/>
    <s v="Thursday"/>
  </r>
  <r>
    <s v="Attendee 41"/>
    <x v="3"/>
    <x v="0"/>
    <n v="1"/>
    <s v="Present"/>
    <s v="Thursday"/>
  </r>
  <r>
    <s v="Attendee 42"/>
    <x v="3"/>
    <x v="0"/>
    <n v="1"/>
    <s v="Present"/>
    <s v="Thursday"/>
  </r>
  <r>
    <s v="Attendee 43"/>
    <x v="3"/>
    <x v="1"/>
    <n v="0"/>
    <s v="Absent"/>
    <s v="Thursday"/>
  </r>
  <r>
    <s v="Attendee 44"/>
    <x v="3"/>
    <x v="0"/>
    <n v="1"/>
    <s v="Present"/>
    <s v="Thursday"/>
  </r>
  <r>
    <s v="Attendee 45"/>
    <x v="3"/>
    <x v="0"/>
    <n v="1"/>
    <s v="Present"/>
    <s v="Thursday"/>
  </r>
  <r>
    <s v="Attendee 46"/>
    <x v="3"/>
    <x v="1"/>
    <n v="0"/>
    <s v="Absent"/>
    <s v="Thursday"/>
  </r>
  <r>
    <s v="Attendee 47"/>
    <x v="3"/>
    <x v="1"/>
    <n v="0"/>
    <s v="Absent"/>
    <s v="Thursday"/>
  </r>
  <r>
    <s v="Attendee 48"/>
    <x v="3"/>
    <x v="1"/>
    <n v="0"/>
    <s v="Absent"/>
    <s v="Thursday"/>
  </r>
  <r>
    <s v="Attendee 49"/>
    <x v="3"/>
    <x v="1"/>
    <n v="0"/>
    <s v="Absent"/>
    <s v="Thursday"/>
  </r>
  <r>
    <s v="Attendee 50"/>
    <x v="3"/>
    <x v="0"/>
    <n v="1"/>
    <s v="Present"/>
    <s v="Thursday"/>
  </r>
  <r>
    <s v="Attendee 1"/>
    <x v="4"/>
    <x v="1"/>
    <n v="0"/>
    <s v="Absent"/>
    <s v="Friday"/>
  </r>
  <r>
    <s v="Attendee 2"/>
    <x v="4"/>
    <x v="1"/>
    <n v="0"/>
    <s v="Absent"/>
    <s v="Friday"/>
  </r>
  <r>
    <s v="Attendee 3"/>
    <x v="4"/>
    <x v="1"/>
    <n v="0"/>
    <s v="Absent"/>
    <s v="Friday"/>
  </r>
  <r>
    <s v="Attendee 4"/>
    <x v="4"/>
    <x v="1"/>
    <n v="0"/>
    <s v="Absent"/>
    <s v="Friday"/>
  </r>
  <r>
    <s v="Attendee 5"/>
    <x v="4"/>
    <x v="1"/>
    <n v="0"/>
    <s v="Absent"/>
    <s v="Friday"/>
  </r>
  <r>
    <s v="Attendee 6"/>
    <x v="4"/>
    <x v="0"/>
    <n v="1"/>
    <s v="Present"/>
    <s v="Friday"/>
  </r>
  <r>
    <s v="Attendee 7"/>
    <x v="4"/>
    <x v="0"/>
    <n v="1"/>
    <s v="Present"/>
    <s v="Friday"/>
  </r>
  <r>
    <s v="Attendee 8"/>
    <x v="4"/>
    <x v="1"/>
    <n v="0"/>
    <s v="Absent"/>
    <s v="Friday"/>
  </r>
  <r>
    <s v="Attendee 9"/>
    <x v="4"/>
    <x v="1"/>
    <n v="0"/>
    <s v="Absent"/>
    <s v="Friday"/>
  </r>
  <r>
    <s v="Attendee 10"/>
    <x v="4"/>
    <x v="1"/>
    <n v="0"/>
    <s v="Absent"/>
    <s v="Friday"/>
  </r>
  <r>
    <s v="Attendee 11"/>
    <x v="4"/>
    <x v="1"/>
    <n v="0"/>
    <s v="Absent"/>
    <s v="Friday"/>
  </r>
  <r>
    <s v="Attendee 12"/>
    <x v="4"/>
    <x v="1"/>
    <n v="0"/>
    <s v="Absent"/>
    <s v="Friday"/>
  </r>
  <r>
    <s v="Attendee 13"/>
    <x v="4"/>
    <x v="0"/>
    <n v="1"/>
    <s v="Present"/>
    <s v="Friday"/>
  </r>
  <r>
    <s v="Attendee 14"/>
    <x v="4"/>
    <x v="0"/>
    <n v="1"/>
    <s v="Present"/>
    <s v="Friday"/>
  </r>
  <r>
    <s v="Attendee 15"/>
    <x v="4"/>
    <x v="1"/>
    <n v="0"/>
    <s v="Absent"/>
    <s v="Friday"/>
  </r>
  <r>
    <s v="Attendee 16"/>
    <x v="4"/>
    <x v="0"/>
    <n v="1"/>
    <s v="Present"/>
    <s v="Friday"/>
  </r>
  <r>
    <s v="Attendee 17"/>
    <x v="4"/>
    <x v="0"/>
    <n v="1"/>
    <s v="Present"/>
    <s v="Friday"/>
  </r>
  <r>
    <s v="Attendee 18"/>
    <x v="4"/>
    <x v="0"/>
    <n v="1"/>
    <s v="Present"/>
    <s v="Friday"/>
  </r>
  <r>
    <s v="Attendee 19"/>
    <x v="4"/>
    <x v="1"/>
    <n v="0"/>
    <s v="Absent"/>
    <s v="Friday"/>
  </r>
  <r>
    <s v="Attendee 20"/>
    <x v="4"/>
    <x v="0"/>
    <n v="1"/>
    <s v="Present"/>
    <s v="Friday"/>
  </r>
  <r>
    <s v="Attendee 21"/>
    <x v="4"/>
    <x v="0"/>
    <n v="1"/>
    <s v="Present"/>
    <s v="Friday"/>
  </r>
  <r>
    <s v="Attendee 22"/>
    <x v="4"/>
    <x v="1"/>
    <n v="0"/>
    <s v="Absent"/>
    <s v="Friday"/>
  </r>
  <r>
    <s v="Attendee 23"/>
    <x v="4"/>
    <x v="1"/>
    <n v="0"/>
    <s v="Absent"/>
    <s v="Friday"/>
  </r>
  <r>
    <s v="Attendee 24"/>
    <x v="4"/>
    <x v="1"/>
    <n v="0"/>
    <s v="Absent"/>
    <s v="Friday"/>
  </r>
  <r>
    <s v="Attendee 25"/>
    <x v="4"/>
    <x v="1"/>
    <n v="0"/>
    <s v="Absent"/>
    <s v="Friday"/>
  </r>
  <r>
    <s v="Attendee 26"/>
    <x v="4"/>
    <x v="0"/>
    <n v="1"/>
    <s v="Present"/>
    <s v="Friday"/>
  </r>
  <r>
    <s v="Attendee 27"/>
    <x v="4"/>
    <x v="0"/>
    <n v="1"/>
    <s v="Present"/>
    <s v="Friday"/>
  </r>
  <r>
    <s v="Attendee 28"/>
    <x v="4"/>
    <x v="1"/>
    <n v="0"/>
    <s v="Absent"/>
    <s v="Friday"/>
  </r>
  <r>
    <s v="Attendee 29"/>
    <x v="4"/>
    <x v="0"/>
    <n v="1"/>
    <s v="Present"/>
    <s v="Friday"/>
  </r>
  <r>
    <s v="Attendee 30"/>
    <x v="4"/>
    <x v="0"/>
    <n v="1"/>
    <s v="Present"/>
    <s v="Friday"/>
  </r>
  <r>
    <s v="Attendee 31"/>
    <x v="4"/>
    <x v="1"/>
    <n v="0"/>
    <s v="Absent"/>
    <s v="Friday"/>
  </r>
  <r>
    <s v="Attendee 32"/>
    <x v="4"/>
    <x v="0"/>
    <n v="1"/>
    <s v="Present"/>
    <s v="Friday"/>
  </r>
  <r>
    <s v="Attendee 33"/>
    <x v="4"/>
    <x v="0"/>
    <n v="1"/>
    <s v="Present"/>
    <s v="Friday"/>
  </r>
  <r>
    <s v="Attendee 34"/>
    <x v="4"/>
    <x v="1"/>
    <n v="0"/>
    <s v="Absent"/>
    <s v="Friday"/>
  </r>
  <r>
    <s v="Attendee 35"/>
    <x v="4"/>
    <x v="0"/>
    <n v="1"/>
    <s v="Present"/>
    <s v="Friday"/>
  </r>
  <r>
    <s v="Attendee 36"/>
    <x v="4"/>
    <x v="1"/>
    <n v="0"/>
    <s v="Absent"/>
    <s v="Friday"/>
  </r>
  <r>
    <s v="Attendee 37"/>
    <x v="4"/>
    <x v="0"/>
    <n v="1"/>
    <s v="Present"/>
    <s v="Friday"/>
  </r>
  <r>
    <s v="Attendee 38"/>
    <x v="4"/>
    <x v="0"/>
    <n v="1"/>
    <s v="Present"/>
    <s v="Friday"/>
  </r>
  <r>
    <s v="Attendee 39"/>
    <x v="4"/>
    <x v="0"/>
    <n v="1"/>
    <s v="Present"/>
    <s v="Friday"/>
  </r>
  <r>
    <s v="Attendee 40"/>
    <x v="4"/>
    <x v="1"/>
    <n v="0"/>
    <s v="Absent"/>
    <s v="Friday"/>
  </r>
  <r>
    <s v="Attendee 41"/>
    <x v="4"/>
    <x v="0"/>
    <n v="1"/>
    <s v="Present"/>
    <s v="Friday"/>
  </r>
  <r>
    <s v="Attendee 42"/>
    <x v="4"/>
    <x v="1"/>
    <n v="0"/>
    <s v="Absent"/>
    <s v="Friday"/>
  </r>
  <r>
    <s v="Attendee 43"/>
    <x v="4"/>
    <x v="1"/>
    <n v="0"/>
    <s v="Absent"/>
    <s v="Friday"/>
  </r>
  <r>
    <s v="Attendee 44"/>
    <x v="4"/>
    <x v="1"/>
    <n v="0"/>
    <s v="Absent"/>
    <s v="Friday"/>
  </r>
  <r>
    <s v="Attendee 45"/>
    <x v="4"/>
    <x v="0"/>
    <n v="1"/>
    <s v="Present"/>
    <s v="Friday"/>
  </r>
  <r>
    <s v="Attendee 46"/>
    <x v="4"/>
    <x v="1"/>
    <n v="0"/>
    <s v="Absent"/>
    <s v="Friday"/>
  </r>
  <r>
    <s v="Attendee 47"/>
    <x v="4"/>
    <x v="0"/>
    <n v="1"/>
    <s v="Present"/>
    <s v="Friday"/>
  </r>
  <r>
    <s v="Attendee 48"/>
    <x v="4"/>
    <x v="1"/>
    <n v="0"/>
    <s v="Absent"/>
    <s v="Friday"/>
  </r>
  <r>
    <s v="Attendee 49"/>
    <x v="4"/>
    <x v="0"/>
    <n v="1"/>
    <s v="Present"/>
    <s v="Friday"/>
  </r>
  <r>
    <s v="Attendee 50"/>
    <x v="4"/>
    <x v="1"/>
    <n v="0"/>
    <s v="Absent"/>
    <s v="Frida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ttendee 1"/>
    <d v="2024-07-01T00:00:00"/>
    <s v="attendee1@company.com"/>
    <x v="0"/>
    <n v="5"/>
    <n v="2"/>
    <n v="0.4"/>
    <s v="No"/>
  </r>
  <r>
    <s v="Attendee 2"/>
    <d v="2024-07-01T00:00:00"/>
    <s v="attendee2@company.com"/>
    <x v="1"/>
    <n v="5"/>
    <n v="3"/>
    <n v="0.6"/>
    <s v="No"/>
  </r>
  <r>
    <s v="Attendee 3"/>
    <d v="2024-07-01T00:00:00"/>
    <s v="attendee3@company.com"/>
    <x v="2"/>
    <n v="5"/>
    <n v="2"/>
    <n v="0.4"/>
    <s v="No"/>
  </r>
  <r>
    <s v="Attendee 4"/>
    <d v="2024-07-01T00:00:00"/>
    <s v="attendee4@company.com"/>
    <x v="3"/>
    <n v="5"/>
    <n v="2"/>
    <n v="0.4"/>
    <s v="Yes"/>
  </r>
  <r>
    <s v="Attendee 5"/>
    <d v="2024-07-01T00:00:00"/>
    <s v="attendee5@company.com"/>
    <x v="4"/>
    <n v="5"/>
    <n v="3"/>
    <n v="0.6"/>
    <s v="Yes"/>
  </r>
  <r>
    <s v="Attendee 6"/>
    <d v="2024-07-01T00:00:00"/>
    <s v="attendee6@company.com"/>
    <x v="0"/>
    <n v="5"/>
    <n v="3"/>
    <n v="0.6"/>
    <s v="No"/>
  </r>
  <r>
    <s v="Attendee 7"/>
    <d v="2024-07-01T00:00:00"/>
    <s v="attendee7@company.com"/>
    <x v="1"/>
    <n v="5"/>
    <n v="4"/>
    <n v="0.8"/>
    <s v="Yes"/>
  </r>
  <r>
    <s v="Attendee 8"/>
    <d v="2024-07-01T00:00:00"/>
    <s v="attendee8@company.com"/>
    <x v="2"/>
    <n v="5"/>
    <n v="3"/>
    <n v="0.6"/>
    <s v="No"/>
  </r>
  <r>
    <s v="Attendee 9"/>
    <d v="2024-07-01T00:00:00"/>
    <s v="attendee9@company.com"/>
    <x v="3"/>
    <n v="5"/>
    <n v="4"/>
    <n v="0.8"/>
    <s v="Yes"/>
  </r>
  <r>
    <s v="Attendee 10"/>
    <d v="2024-07-01T00:00:00"/>
    <s v="attendee10@company.com"/>
    <x v="4"/>
    <n v="5"/>
    <n v="2"/>
    <n v="0.4"/>
    <s v="Yes"/>
  </r>
  <r>
    <s v="Attendee 11"/>
    <d v="2024-07-01T00:00:00"/>
    <s v="attendee11@company.com"/>
    <x v="0"/>
    <n v="5"/>
    <n v="3"/>
    <n v="0.6"/>
    <s v="No"/>
  </r>
  <r>
    <s v="Attendee 12"/>
    <d v="2024-07-01T00:00:00"/>
    <s v="attendee12@company.com"/>
    <x v="1"/>
    <n v="5"/>
    <n v="0"/>
    <n v="0"/>
    <s v="No"/>
  </r>
  <r>
    <s v="Attendee 13"/>
    <d v="2024-07-01T00:00:00"/>
    <s v="attendee13@company.com"/>
    <x v="2"/>
    <n v="5"/>
    <n v="3"/>
    <n v="0.6"/>
    <s v="No"/>
  </r>
  <r>
    <s v="Attendee 14"/>
    <d v="2024-07-01T00:00:00"/>
    <s v="attendee14@company.com"/>
    <x v="3"/>
    <n v="5"/>
    <n v="3"/>
    <n v="0.6"/>
    <s v="Yes"/>
  </r>
  <r>
    <s v="Attendee 15"/>
    <d v="2024-07-01T00:00:00"/>
    <s v="attendee15@company.com"/>
    <x v="4"/>
    <n v="5"/>
    <n v="3"/>
    <n v="0.6"/>
    <s v="Yes"/>
  </r>
  <r>
    <s v="Attendee 16"/>
    <d v="2024-07-01T00:00:00"/>
    <s v="attendee16@company.com"/>
    <x v="0"/>
    <n v="5"/>
    <n v="2"/>
    <n v="0.4"/>
    <s v="No"/>
  </r>
  <r>
    <s v="Attendee 17"/>
    <d v="2024-07-01T00:00:00"/>
    <s v="attendee17@company.com"/>
    <x v="1"/>
    <n v="5"/>
    <n v="3"/>
    <n v="0.6"/>
    <s v="No"/>
  </r>
  <r>
    <s v="Attendee 18"/>
    <d v="2024-07-01T00:00:00"/>
    <s v="attendee18@company.com"/>
    <x v="2"/>
    <n v="5"/>
    <n v="3"/>
    <n v="0.6"/>
    <s v="No"/>
  </r>
  <r>
    <s v="Attendee 19"/>
    <d v="2024-07-01T00:00:00"/>
    <s v="attendee19@company.com"/>
    <x v="3"/>
    <n v="5"/>
    <n v="3"/>
    <n v="0.6"/>
    <s v="Yes"/>
  </r>
  <r>
    <s v="Attendee 20"/>
    <d v="2024-07-01T00:00:00"/>
    <s v="attendee20@company.com"/>
    <x v="4"/>
    <n v="5"/>
    <n v="2"/>
    <n v="0.4"/>
    <s v="Yes"/>
  </r>
  <r>
    <s v="Attendee 21"/>
    <d v="2024-07-01T00:00:00"/>
    <s v="attendee21@company.com"/>
    <x v="0"/>
    <n v="5"/>
    <n v="3"/>
    <n v="0.6"/>
    <s v="No"/>
  </r>
  <r>
    <s v="Attendee 22"/>
    <d v="2024-07-01T00:00:00"/>
    <s v="attendee22@company.com"/>
    <x v="1"/>
    <n v="5"/>
    <n v="1"/>
    <n v="0.2"/>
    <s v="No"/>
  </r>
  <r>
    <s v="Attendee 23"/>
    <d v="2024-07-01T00:00:00"/>
    <s v="attendee23@company.com"/>
    <x v="2"/>
    <n v="5"/>
    <n v="3"/>
    <n v="0.6"/>
    <s v="No"/>
  </r>
  <r>
    <s v="Attendee 24"/>
    <d v="2024-07-01T00:00:00"/>
    <s v="attendee24@company.com"/>
    <x v="3"/>
    <n v="5"/>
    <n v="2"/>
    <n v="0.4"/>
    <s v="Yes"/>
  </r>
  <r>
    <s v="Attendee 25"/>
    <d v="2024-07-01T00:00:00"/>
    <s v="attendee25@company.com"/>
    <x v="4"/>
    <n v="5"/>
    <n v="2"/>
    <n v="0.4"/>
    <s v="Yes"/>
  </r>
  <r>
    <s v="Attendee 26"/>
    <d v="2024-07-01T00:00:00"/>
    <s v="attendee26@company.com"/>
    <x v="0"/>
    <n v="5"/>
    <n v="2"/>
    <n v="0.4"/>
    <s v="No"/>
  </r>
  <r>
    <s v="Attendee 27"/>
    <d v="2024-07-01T00:00:00"/>
    <s v="attendee27@company.com"/>
    <x v="1"/>
    <n v="5"/>
    <n v="4"/>
    <n v="0.8"/>
    <s v="Yes"/>
  </r>
  <r>
    <s v="Attendee 28"/>
    <d v="2024-07-01T00:00:00"/>
    <s v="attendee28@company.com"/>
    <x v="2"/>
    <n v="5"/>
    <n v="0"/>
    <n v="0"/>
    <s v="No"/>
  </r>
  <r>
    <s v="Attendee 29"/>
    <d v="2024-07-01T00:00:00"/>
    <s v="attendee29@company.com"/>
    <x v="3"/>
    <n v="5"/>
    <n v="3"/>
    <n v="0.6"/>
    <s v="Yes"/>
  </r>
  <r>
    <s v="Attendee 30"/>
    <d v="2024-07-01T00:00:00"/>
    <s v="attendee30@company.com"/>
    <x v="4"/>
    <n v="5"/>
    <n v="4"/>
    <n v="0.8"/>
    <s v="Yes"/>
  </r>
  <r>
    <s v="Attendee 31"/>
    <d v="2024-07-01T00:00:00"/>
    <s v="attendee31@company.com"/>
    <x v="0"/>
    <n v="5"/>
    <n v="2"/>
    <n v="0.4"/>
    <s v="No"/>
  </r>
  <r>
    <s v="Attendee 32"/>
    <d v="2024-07-01T00:00:00"/>
    <s v="attendee32@company.com"/>
    <x v="1"/>
    <n v="5"/>
    <n v="2"/>
    <n v="0.4"/>
    <s v="No"/>
  </r>
  <r>
    <s v="Attendee 33"/>
    <d v="2024-07-01T00:00:00"/>
    <s v="attendee33@company.com"/>
    <x v="2"/>
    <n v="5"/>
    <n v="5"/>
    <n v="1"/>
    <s v="Yes"/>
  </r>
  <r>
    <s v="Attendee 34"/>
    <d v="2024-07-01T00:00:00"/>
    <s v="attendee34@company.com"/>
    <x v="3"/>
    <n v="5"/>
    <n v="2"/>
    <n v="0.4"/>
    <s v="Yes"/>
  </r>
  <r>
    <s v="Attendee 35"/>
    <d v="2024-07-01T00:00:00"/>
    <s v="attendee35@company.com"/>
    <x v="4"/>
    <n v="5"/>
    <n v="3"/>
    <n v="0.6"/>
    <s v="Yes"/>
  </r>
  <r>
    <s v="Attendee 36"/>
    <d v="2024-07-01T00:00:00"/>
    <s v="attendee36@company.com"/>
    <x v="0"/>
    <n v="5"/>
    <n v="3"/>
    <n v="0.6"/>
    <s v="No"/>
  </r>
  <r>
    <s v="Attendee 37"/>
    <d v="2024-07-01T00:00:00"/>
    <s v="attendee37@company.com"/>
    <x v="1"/>
    <n v="5"/>
    <n v="4"/>
    <n v="0.8"/>
    <s v="Yes"/>
  </r>
  <r>
    <s v="Attendee 38"/>
    <d v="2024-07-01T00:00:00"/>
    <s v="attendee38@company.com"/>
    <x v="2"/>
    <n v="5"/>
    <n v="3"/>
    <n v="0.6"/>
    <s v="No"/>
  </r>
  <r>
    <s v="Attendee 39"/>
    <d v="2024-07-01T00:00:00"/>
    <s v="attendee39@company.com"/>
    <x v="3"/>
    <n v="5"/>
    <n v="4"/>
    <n v="0.8"/>
    <s v="Yes"/>
  </r>
  <r>
    <s v="Attendee 40"/>
    <d v="2024-07-01T00:00:00"/>
    <s v="attendee40@company.com"/>
    <x v="4"/>
    <n v="5"/>
    <n v="1"/>
    <n v="0.2"/>
    <s v="No"/>
  </r>
  <r>
    <s v="Attendee 41"/>
    <d v="2024-07-01T00:00:00"/>
    <s v="attendee41@company.com"/>
    <x v="0"/>
    <n v="5"/>
    <n v="4"/>
    <n v="0.8"/>
    <s v="Yes"/>
  </r>
  <r>
    <s v="Attendee 42"/>
    <d v="2024-07-01T00:00:00"/>
    <s v="attendee42@company.com"/>
    <x v="1"/>
    <n v="5"/>
    <n v="1"/>
    <n v="0.2"/>
    <s v="No"/>
  </r>
  <r>
    <s v="Attendee 43"/>
    <d v="2024-07-01T00:00:00"/>
    <s v="attendee43@company.com"/>
    <x v="2"/>
    <n v="5"/>
    <n v="2"/>
    <n v="0.4"/>
    <s v="No"/>
  </r>
  <r>
    <s v="Attendee 44"/>
    <d v="2024-07-01T00:00:00"/>
    <s v="attendee44@company.com"/>
    <x v="3"/>
    <n v="5"/>
    <n v="2"/>
    <n v="0.4"/>
    <s v="Yes"/>
  </r>
  <r>
    <s v="Attendee 45"/>
    <d v="2024-07-01T00:00:00"/>
    <s v="attendee45@company.com"/>
    <x v="4"/>
    <n v="5"/>
    <n v="3"/>
    <n v="0.6"/>
    <s v="Yes"/>
  </r>
  <r>
    <s v="Attendee 46"/>
    <d v="2024-07-01T00:00:00"/>
    <s v="attendee46@company.com"/>
    <x v="0"/>
    <n v="5"/>
    <n v="2"/>
    <n v="0.4"/>
    <s v="No"/>
  </r>
  <r>
    <s v="Attendee 47"/>
    <d v="2024-07-01T00:00:00"/>
    <s v="attendee47@company.com"/>
    <x v="1"/>
    <n v="5"/>
    <n v="4"/>
    <n v="0.8"/>
    <s v="Yes"/>
  </r>
  <r>
    <s v="Attendee 48"/>
    <d v="2024-07-01T00:00:00"/>
    <s v="attendee48@company.com"/>
    <x v="2"/>
    <n v="5"/>
    <n v="0"/>
    <n v="0"/>
    <s v="No"/>
  </r>
  <r>
    <s v="Attendee 49"/>
    <d v="2024-07-01T00:00:00"/>
    <s v="attendee49@company.com"/>
    <x v="3"/>
    <n v="5"/>
    <n v="2"/>
    <n v="0.4"/>
    <s v="Yes"/>
  </r>
  <r>
    <s v="Attendee 50"/>
    <d v="2024-07-01T00:00:00"/>
    <s v="attendee50@company.com"/>
    <x v="4"/>
    <n v="5"/>
    <n v="1"/>
    <n v="0.2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CE07D-FC77-4A19-96B4-95992B3505DA}" name="pvtDeptAttendanc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8">
    <pivotField compact="0" outline="0" showAll="0"/>
    <pivotField compact="0" numFmtId="165" outline="0" showAll="0"/>
    <pivotField compact="0" outline="0" showAll="0"/>
    <pivotField axis="axisRow" compact="0" outline="0" showAll="0">
      <items count="6">
        <item x="4"/>
        <item x="2"/>
        <item x="3"/>
        <item x="0"/>
        <item x="1"/>
        <item t="default"/>
      </items>
    </pivotField>
    <pivotField compact="0" outline="0" showAll="0"/>
    <pivotField compact="0" outline="0" showAll="0"/>
    <pivotField dataField="1" compact="0" numFmtId="166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g attendance rate" fld="6" subtotal="average" baseField="0" baseItem="0" numFmtId="166"/>
  </dataFields>
  <formats count="32">
    <format dxfId="117">
      <pivotArea collapsedLevelsAreSubtotals="1" fieldPosition="0">
        <references count="1">
          <reference field="3" count="1">
            <x v="0"/>
          </reference>
        </references>
      </pivotArea>
    </format>
    <format dxfId="116">
      <pivotArea collapsedLevelsAreSubtotals="1" fieldPosition="0">
        <references count="1">
          <reference field="3" count="1">
            <x v="1"/>
          </reference>
        </references>
      </pivotArea>
    </format>
    <format dxfId="115">
      <pivotArea collapsedLevelsAreSubtotals="1" fieldPosition="0">
        <references count="1">
          <reference field="3" count="1">
            <x v="2"/>
          </reference>
        </references>
      </pivotArea>
    </format>
    <format dxfId="114">
      <pivotArea collapsedLevelsAreSubtotals="1" fieldPosition="0">
        <references count="1">
          <reference field="3" count="1">
            <x v="3"/>
          </reference>
        </references>
      </pivotArea>
    </format>
    <format dxfId="113">
      <pivotArea collapsedLevelsAreSubtotals="1" fieldPosition="0">
        <references count="1">
          <reference field="3" count="1">
            <x v="4"/>
          </reference>
        </references>
      </pivotArea>
    </format>
    <format dxfId="112">
      <pivotArea grandRow="1" outline="0" collapsedLevelsAreSubtotals="1" fieldPosition="0"/>
    </format>
    <format dxfId="111">
      <pivotArea field="3" type="button" dataOnly="0" labelOnly="1" outline="0" axis="axisRow" fieldPosition="0"/>
    </format>
    <format dxfId="110">
      <pivotArea dataOnly="0" labelOnly="1" outline="0" axis="axisValues" fieldPosition="0"/>
    </format>
    <format dxfId="109">
      <pivotArea field="3" type="button" dataOnly="0" labelOnly="1" outline="0" axis="axisRow" fieldPosition="0"/>
    </format>
    <format dxfId="108">
      <pivotArea dataOnly="0" labelOnly="1" outline="0" axis="axisValues" fieldPosition="0"/>
    </format>
    <format dxfId="107">
      <pivotArea field="3" type="button" dataOnly="0" labelOnly="1" outline="0" axis="axisRow" fieldPosition="0"/>
    </format>
    <format dxfId="106">
      <pivotArea dataOnly="0" labelOnly="1" outline="0" axis="axisValues" fieldPosition="0"/>
    </format>
    <format dxfId="105">
      <pivotArea outline="0" fieldPosition="0">
        <references count="1">
          <reference field="3" count="1" selected="0">
            <x v="1"/>
          </reference>
        </references>
      </pivotArea>
    </format>
    <format dxfId="104">
      <pivotArea dataOnly="0" labelOnly="1" outline="0" fieldPosition="0">
        <references count="1">
          <reference field="3" count="1">
            <x v="1"/>
          </reference>
        </references>
      </pivotArea>
    </format>
    <format dxfId="103">
      <pivotArea outline="0" fieldPosition="0">
        <references count="1">
          <reference field="3" count="1" selected="0">
            <x v="3"/>
          </reference>
        </references>
      </pivotArea>
    </format>
    <format dxfId="102">
      <pivotArea dataOnly="0" labelOnly="1" outline="0" fieldPosition="0">
        <references count="1">
          <reference field="3" count="1">
            <x v="3"/>
          </reference>
        </references>
      </pivotArea>
    </format>
    <format dxfId="101">
      <pivotArea outline="0" fieldPosition="0">
        <references count="1">
          <reference field="3" count="1" selected="0">
            <x v="0"/>
          </reference>
        </references>
      </pivotArea>
    </format>
    <format dxfId="100">
      <pivotArea dataOnly="0" labelOnly="1" outline="0" fieldPosition="0">
        <references count="1">
          <reference field="3" count="1">
            <x v="0"/>
          </reference>
        </references>
      </pivotArea>
    </format>
    <format dxfId="99">
      <pivotArea outline="0" fieldPosition="0">
        <references count="1">
          <reference field="3" count="1" selected="0">
            <x v="2"/>
          </reference>
        </references>
      </pivotArea>
    </format>
    <format dxfId="98">
      <pivotArea dataOnly="0" labelOnly="1" outline="0" fieldPosition="0">
        <references count="1">
          <reference field="3" count="1">
            <x v="2"/>
          </reference>
        </references>
      </pivotArea>
    </format>
    <format dxfId="97">
      <pivotArea outline="0" fieldPosition="0">
        <references count="1">
          <reference field="3" count="1" selected="0">
            <x v="4"/>
          </reference>
        </references>
      </pivotArea>
    </format>
    <format dxfId="96">
      <pivotArea dataOnly="0" labelOnly="1" outline="0" fieldPosition="0">
        <references count="1">
          <reference field="3" count="1">
            <x v="4"/>
          </reference>
        </references>
      </pivotArea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grandRow="1" outline="0" collapsedLevelsAreSubtotals="1" fieldPosition="0"/>
    </format>
    <format dxfId="92">
      <pivotArea dataOnly="0" labelOnly="1" grandRow="1" outline="0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3" type="button" dataOnly="0" labelOnly="1" outline="0" axis="axisRow" fieldPosition="0"/>
    </format>
    <format dxfId="88">
      <pivotArea dataOnly="0" labelOnly="1" outline="0" fieldPosition="0">
        <references count="1">
          <reference field="3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5EA35-8337-4942-960F-D0275A73B131}" name="pvtDayAttend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:J7" firstHeaderRow="0" firstDataRow="1" firstDataCol="1"/>
  <pivotFields count="6">
    <pivotField showAll="0"/>
    <pivotField axis="axisRow" numFmtId="15" showAll="0">
      <items count="6">
        <item x="0"/>
        <item x="1"/>
        <item x="2"/>
        <item x="3"/>
        <item x="4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Individuals attended" fld="3" baseField="0" baseItem="0"/>
    <dataField name="Attendance rate" fld="3" subtotal="average" baseField="0" baseItem="0"/>
  </dataFields>
  <formats count="58">
    <format dxfId="71">
      <pivotArea dataOnly="0" labelOnly="1" fieldPosition="0">
        <references count="1">
          <reference field="1" count="1">
            <x v="0"/>
          </reference>
        </references>
      </pivotArea>
    </format>
    <format dxfId="70">
      <pivotArea dataOnly="0" labelOnly="1" fieldPosition="0">
        <references count="1">
          <reference field="1" count="1">
            <x v="1"/>
          </reference>
        </references>
      </pivotArea>
    </format>
    <format dxfId="69">
      <pivotArea dataOnly="0" labelOnly="1" fieldPosition="0">
        <references count="1">
          <reference field="1" count="1">
            <x v="2"/>
          </reference>
        </references>
      </pivotArea>
    </format>
    <format dxfId="68">
      <pivotArea dataOnly="0" labelOnly="1" fieldPosition="0">
        <references count="1">
          <reference field="1" count="1">
            <x v="3"/>
          </reference>
        </references>
      </pivotArea>
    </format>
    <format dxfId="67">
      <pivotArea dataOnly="0" labelOnly="1" fieldPosition="0">
        <references count="1">
          <reference field="1" count="1">
            <x v="4"/>
          </reference>
        </references>
      </pivotArea>
    </format>
    <format dxfId="66">
      <pivotArea field="1" type="button" dataOnly="0" labelOnly="1" outline="0" axis="axisRow" fieldPosition="0"/>
    </format>
    <format dxfId="65">
      <pivotArea dataOnly="0" labelOnly="1" outline="0" axis="axisValues" fieldPosition="0"/>
    </format>
    <format dxfId="64">
      <pivotArea field="1" type="button" dataOnly="0" labelOnly="1" outline="0" axis="axisRow" fieldPosition="0"/>
    </format>
    <format dxfId="63">
      <pivotArea dataOnly="0" labelOnly="1" outline="0" axis="axisValues" fieldPosition="0"/>
    </format>
    <format dxfId="62">
      <pivotArea field="1" type="button" dataOnly="0" labelOnly="1" outline="0" axis="axisRow" fieldPosition="0"/>
    </format>
    <format dxfId="61">
      <pivotArea dataOnly="0" labelOnly="1" outline="0" axis="axisValues" fieldPosition="0"/>
    </format>
    <format dxfId="60">
      <pivotArea field="1" type="button" dataOnly="0" labelOnly="1" outline="0" axis="axisRow" fieldPosition="0"/>
    </format>
    <format dxfId="59">
      <pivotArea dataOnly="0" labelOnly="1" outline="0" axis="axisValues" fieldPosition="0"/>
    </format>
    <format dxfId="58">
      <pivotArea collapsedLevelsAreSubtotals="1" fieldPosition="0">
        <references count="1">
          <reference field="1" count="1">
            <x v="1"/>
          </reference>
        </references>
      </pivotArea>
    </format>
    <format dxfId="57">
      <pivotArea dataOnly="0" labelOnly="1" fieldPosition="0">
        <references count="1">
          <reference field="1" count="1">
            <x v="1"/>
          </reference>
        </references>
      </pivotArea>
    </format>
    <format dxfId="56">
      <pivotArea collapsedLevelsAreSubtotals="1" fieldPosition="0">
        <references count="1">
          <reference field="1" count="1">
            <x v="3"/>
          </reference>
        </references>
      </pivotArea>
    </format>
    <format dxfId="55">
      <pivotArea dataOnly="0" labelOnly="1" fieldPosition="0">
        <references count="1">
          <reference field="1" count="1">
            <x v="3"/>
          </reference>
        </references>
      </pivotArea>
    </format>
    <format dxfId="54">
      <pivotArea collapsedLevelsAreSubtotals="1" fieldPosition="0">
        <references count="1">
          <reference field="1" count="1">
            <x v="0"/>
          </reference>
        </references>
      </pivotArea>
    </format>
    <format dxfId="53">
      <pivotArea dataOnly="0" labelOnly="1" fieldPosition="0">
        <references count="1">
          <reference field="1" count="1">
            <x v="0"/>
          </reference>
        </references>
      </pivotArea>
    </format>
    <format dxfId="52">
      <pivotArea collapsedLevelsAreSubtotals="1" fieldPosition="0">
        <references count="1">
          <reference field="1" count="1">
            <x v="2"/>
          </reference>
        </references>
      </pivotArea>
    </format>
    <format dxfId="51">
      <pivotArea dataOnly="0" labelOnly="1" fieldPosition="0">
        <references count="1">
          <reference field="1" count="1">
            <x v="2"/>
          </reference>
        </references>
      </pivotArea>
    </format>
    <format dxfId="50">
      <pivotArea collapsedLevelsAreSubtotals="1" fieldPosition="0">
        <references count="1">
          <reference field="1" count="1">
            <x v="4"/>
          </reference>
        </references>
      </pivotArea>
    </format>
    <format dxfId="49">
      <pivotArea dataOnly="0" labelOnly="1" fieldPosition="0">
        <references count="1">
          <reference field="1" count="1">
            <x v="4"/>
          </reference>
        </references>
      </pivotArea>
    </format>
    <format dxfId="48">
      <pivotArea grandRow="1" outline="0" collapsedLevelsAreSubtotals="1" fieldPosition="0"/>
    </format>
    <format dxfId="47">
      <pivotArea dataOnly="0" labelOnly="1" grandRow="1" outline="0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dataOnly="0" labelOnly="1" fieldPosition="0">
        <references count="1">
          <reference field="1" count="1">
            <x v="0"/>
          </reference>
        </references>
      </pivotArea>
    </format>
    <format dxfId="37">
      <pivotArea dataOnly="0" labelOnly="1" fieldPosition="0">
        <references count="1">
          <reference field="1" count="1">
            <x v="1"/>
          </reference>
        </references>
      </pivotArea>
    </format>
    <format dxfId="36">
      <pivotArea dataOnly="0" labelOnly="1" fieldPosition="0">
        <references count="1">
          <reference field="1" count="1">
            <x v="2"/>
          </reference>
        </references>
      </pivotArea>
    </format>
    <format dxfId="35">
      <pivotArea dataOnly="0" labelOnly="1" fieldPosition="0">
        <references count="1">
          <reference field="1" count="1">
            <x v="3"/>
          </reference>
        </references>
      </pivotArea>
    </format>
    <format dxfId="34">
      <pivotArea dataOnly="0" labelOnly="1" fieldPosition="0">
        <references count="1">
          <reference field="1" count="1">
            <x v="4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2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1"/>
          </reference>
          <reference field="1" count="1">
            <x v="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2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1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1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892C91-CCA1-4E33-9E83-5FD937CC65EB}" name="tbl_AttendanceTracker" displayName="tbl_AttendanceTracker" ref="A1:H51" totalsRowShown="0" headerRowDxfId="123" headerRowCellStyle="Report Header">
  <autoFilter ref="A1:H51" xr:uid="{8D892C91-CCA1-4E33-9E83-5FD937CC65EB}"/>
  <sortState xmlns:xlrd2="http://schemas.microsoft.com/office/spreadsheetml/2017/richdata2" ref="A2:H51">
    <sortCondition descending="1" ref="G1:G51"/>
  </sortState>
  <tableColumns count="8">
    <tableColumn id="1" xr3:uid="{652865FD-81BC-4E36-A722-AE39DB1870A9}" name="Name" dataDxfId="122"/>
    <tableColumn id="2" xr3:uid="{C4074FAE-B245-4CD5-A7C9-331215905411}" name="Month" dataDxfId="121"/>
    <tableColumn id="3" xr3:uid="{11374E93-0DB4-40E5-AEBA-D30CE8366BBE}" name="Contact" dataDxfId="120">
      <calculatedColumnFormula>_xlfn.XLOOKUP(A2, List1_ContactInfo!A:A, List1_ContactInfo!B:B)</calculatedColumnFormula>
    </tableColumn>
    <tableColumn id="4" xr3:uid="{891C1E56-7B1F-4A85-9CFE-87BB50CAA847}" name="Group/Department">
      <calculatedColumnFormula>_xlfn.XLOOKUP(A2, List2_Department!A:A, List2_Department!B:B)</calculatedColumnFormula>
    </tableColumn>
    <tableColumn id="5" xr3:uid="{6CB5EDC7-3181-4A95-B292-71D3CC6C5D59}" name="Total days present">
      <calculatedColumnFormula>DATE(2024,7,5)-DATE(2024,7,1)+1</calculatedColumnFormula>
    </tableColumn>
    <tableColumn id="6" xr3:uid="{1CBA6C1D-8149-40EB-81EC-0FFECAFAC8D9}" name="Actual days present" dataDxfId="119"/>
    <tableColumn id="7" xr3:uid="{1EB18C14-F231-487D-8D44-544391F21FF3}" name="Attendance percentage"/>
    <tableColumn id="8" xr3:uid="{B07E65E3-A23B-4AC9-9170-3C7AA56D58B6}" name="Attendance requirement met" dataDxfId="1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E7B31F-8715-4D97-921D-87B4251DEF56}" name="tbl_ContactInfo" displayName="tbl_ContactInfo" ref="A1:B58" totalsRowShown="0" headerRowDxfId="85" dataDxfId="84" tableBorderDxfId="83" headerRowCellStyle="Report Header">
  <autoFilter ref="A1:B58" xr:uid="{34E7B31F-8715-4D97-921D-87B4251DEF56}"/>
  <tableColumns count="2">
    <tableColumn id="1" xr3:uid="{5882E18D-A188-44E1-91CB-269E1F1E5CCF}" name="Name" dataDxfId="82"/>
    <tableColumn id="2" xr3:uid="{5306DB16-C2C4-4294-8402-3D12554017CA}" name="Email Address" dataDxfId="8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886EAF-AF1C-493A-8833-88255A0B9475}" name="tbl_Department" displayName="tbl_Department" ref="A1:B51" totalsRowShown="0" headerRowDxfId="80" dataDxfId="79" tableBorderDxfId="78" headerRowCellStyle="Report Header">
  <autoFilter ref="A1:B51" xr:uid="{63886EAF-AF1C-493A-8833-88255A0B9475}"/>
  <tableColumns count="2">
    <tableColumn id="1" xr3:uid="{019D8D75-1685-4871-90E0-D75D59D06F63}" name="Name" dataDxfId="77"/>
    <tableColumn id="2" xr3:uid="{D401055D-73B5-4C63-84E9-C9294D2EEDF9}" name="Department" dataDxfId="7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30A40B-A49A-4812-BA3C-5B13B8F26340}" name="tbl_DepartmentLegend" displayName="tbl_DepartmentLegend" ref="D2:E7" totalsRowShown="0" headerRowDxfId="75" dataDxfId="74" headerRowCellStyle="Report Header">
  <autoFilter ref="D2:E7" xr:uid="{1D30A40B-A49A-4812-BA3C-5B13B8F26340}"/>
  <tableColumns count="2">
    <tableColumn id="1" xr3:uid="{4891784E-0B0B-4F4E-94DC-01883F539C1D}" name="Department " dataDxfId="73"/>
    <tableColumn id="2" xr3:uid="{32A1F857-FCF7-4F01-AA0D-95B008B1E632}" name="Group" dataDxfId="7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E71E6-44F6-4D65-99B4-C0E3A1953947}" name="tbl_AttendanceDetails" displayName="tbl_AttendanceDetails" ref="A1:F251" totalsRowShown="0" headerRowDxfId="13" headerRowCellStyle="Report Header">
  <autoFilter ref="A1:F251" xr:uid="{C71E71E6-44F6-4D65-99B4-C0E3A1953947}"/>
  <sortState xmlns:xlrd2="http://schemas.microsoft.com/office/spreadsheetml/2017/richdata2" ref="A2:F251">
    <sortCondition ref="A1:A251"/>
  </sortState>
  <tableColumns count="6">
    <tableColumn id="1" xr3:uid="{1BA19E8C-8C9A-43AE-8384-50544F532A88}" name="Name" dataDxfId="12"/>
    <tableColumn id="2" xr3:uid="{98B7DD0F-3D85-4B60-AFE0-B3B6433018B5}" name="Date" dataDxfId="11"/>
    <tableColumn id="3" xr3:uid="{4E50B17E-9B2D-4DF5-8927-D0E920A9781A}" name="Attended" dataDxfId="10"/>
    <tableColumn id="4" xr3:uid="{610EA87F-8EEE-40C5-828B-98BDC1652727}" name="Present (1/0)">
      <calculatedColumnFormula>IF(C2="Yes",1,0)</calculatedColumnFormula>
    </tableColumn>
    <tableColumn id="5" xr3:uid="{29541A6A-6D3B-4D03-B236-CD6F1BB14012}" name="Attendance status"/>
    <tableColumn id="6" xr3:uid="{EA6BB908-7BF3-4BB4-A489-5747B909FD99}" name="Da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0F4EFA-5A32-42C0-9729-FD2C4640F31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3ada8b5-7f6e-44dd-8dc8-6698011f29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44E3-DBAB-4D76-AF79-B31415DB9FC8}">
  <dimension ref="A1:H51"/>
  <sheetViews>
    <sheetView showGridLines="0" zoomScale="74" workbookViewId="0">
      <pane ySplit="1" topLeftCell="A15" activePane="bottomLeft" state="frozen"/>
      <selection pane="bottomLeft" activeCell="I14" sqref="I14"/>
    </sheetView>
  </sheetViews>
  <sheetFormatPr defaultRowHeight="14.4" x14ac:dyDescent="0.3"/>
  <cols>
    <col min="1" max="1" width="16.6640625" customWidth="1"/>
    <col min="2" max="2" width="13.88671875" style="2" customWidth="1"/>
    <col min="3" max="3" width="30.5546875" style="64" customWidth="1"/>
    <col min="4" max="4" width="24.109375" customWidth="1"/>
    <col min="5" max="5" width="14.77734375" customWidth="1"/>
    <col min="6" max="6" width="24.109375" customWidth="1"/>
    <col min="7" max="7" width="26.88671875" customWidth="1"/>
    <col min="8" max="8" width="32.44140625" customWidth="1"/>
  </cols>
  <sheetData>
    <row r="1" spans="1:8" ht="25.95" customHeight="1" x14ac:dyDescent="0.3">
      <c r="A1" s="7" t="s">
        <v>0</v>
      </c>
      <c r="B1" s="29" t="s">
        <v>1</v>
      </c>
      <c r="C1" s="7" t="s">
        <v>2</v>
      </c>
      <c r="D1" s="7" t="s">
        <v>3</v>
      </c>
      <c r="E1" s="7" t="s">
        <v>169</v>
      </c>
      <c r="F1" s="7" t="s">
        <v>124</v>
      </c>
      <c r="G1" s="7" t="s">
        <v>126</v>
      </c>
      <c r="H1" s="10" t="s">
        <v>127</v>
      </c>
    </row>
    <row r="2" spans="1:8" x14ac:dyDescent="0.3">
      <c r="A2" s="1" t="s">
        <v>36</v>
      </c>
      <c r="B2" s="3">
        <v>45474</v>
      </c>
      <c r="C2" s="63" t="str">
        <f>_xlfn.XLOOKUP(A2, List1_ContactInfo!A:A, List1_ContactInfo!B:B)</f>
        <v>attendee33@company.com</v>
      </c>
      <c r="D2" t="str">
        <f>_xlfn.XLOOKUP(A2, List2_Department!A:A, List2_Department!B:B)</f>
        <v>HR</v>
      </c>
      <c r="E2">
        <f t="shared" ref="E2:E33" si="0">DATE(2024,7,5)-DATE(2024,7,1)+1</f>
        <v>5</v>
      </c>
      <c r="F2">
        <f>SUMIF(tbl_AttendanceDetails[Name],A2,tbl_AttendanceDetails[Present (1/0)])</f>
        <v>5</v>
      </c>
      <c r="G2" s="9">
        <f>tbl_AttendanceTracker[[#This Row],[Actual days present]]/tbl_AttendanceTracker[[#This Row],[Total days present]]</f>
        <v>1</v>
      </c>
      <c r="H2" s="11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3" spans="1:8" x14ac:dyDescent="0.3">
      <c r="A3" s="1" t="s">
        <v>10</v>
      </c>
      <c r="B3" s="3">
        <v>45474</v>
      </c>
      <c r="C3" s="63" t="str">
        <f>_xlfn.XLOOKUP(A3, List1_ContactInfo!A:A, List1_ContactInfo!B:B)</f>
        <v>attendee7@company.com</v>
      </c>
      <c r="D3" t="str">
        <f>_xlfn.XLOOKUP(A3, List2_Department!A:A, List2_Department!B:B)</f>
        <v>Sales</v>
      </c>
      <c r="E3">
        <f t="shared" si="0"/>
        <v>5</v>
      </c>
      <c r="F3">
        <f>SUMIF(tbl_AttendanceDetails[Name],A3,tbl_AttendanceDetails[Present (1/0)])</f>
        <v>4</v>
      </c>
      <c r="G3" s="9">
        <f>tbl_AttendanceTracker[[#This Row],[Actual days present]]/tbl_AttendanceTracker[[#This Row],[Total days present]]</f>
        <v>0.8</v>
      </c>
      <c r="H3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4" spans="1:8" x14ac:dyDescent="0.3">
      <c r="A4" s="1" t="s">
        <v>12</v>
      </c>
      <c r="B4" s="3">
        <v>45474</v>
      </c>
      <c r="C4" s="63" t="str">
        <f>_xlfn.XLOOKUP(A4, List1_ContactInfo!A:A, List1_ContactInfo!B:B)</f>
        <v>attendee9@company.com</v>
      </c>
      <c r="D4" t="str">
        <f>_xlfn.XLOOKUP(A4, List2_Department!A:A, List2_Department!B:B)</f>
        <v>IT</v>
      </c>
      <c r="E4">
        <f t="shared" si="0"/>
        <v>5</v>
      </c>
      <c r="F4">
        <f>SUMIF(tbl_AttendanceDetails[Name],A4,tbl_AttendanceDetails[Present (1/0)])</f>
        <v>4</v>
      </c>
      <c r="G4" s="9">
        <f>tbl_AttendanceTracker[[#This Row],[Actual days present]]/tbl_AttendanceTracker[[#This Row],[Total days present]]</f>
        <v>0.8</v>
      </c>
      <c r="H4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5" spans="1:8" x14ac:dyDescent="0.3">
      <c r="A5" s="1" t="s">
        <v>30</v>
      </c>
      <c r="B5" s="3">
        <v>45474</v>
      </c>
      <c r="C5" s="63" t="str">
        <f>_xlfn.XLOOKUP(A5, List1_ContactInfo!A:A, List1_ContactInfo!B:B)</f>
        <v>attendee27@company.com</v>
      </c>
      <c r="D5" t="str">
        <f>_xlfn.XLOOKUP(A5, List2_Department!A:A, List2_Department!B:B)</f>
        <v>Sales</v>
      </c>
      <c r="E5">
        <f t="shared" si="0"/>
        <v>5</v>
      </c>
      <c r="F5">
        <f>SUMIF(tbl_AttendanceDetails[Name],A5,tbl_AttendanceDetails[Present (1/0)])</f>
        <v>4</v>
      </c>
      <c r="G5" s="9">
        <f>tbl_AttendanceTracker[[#This Row],[Actual days present]]/tbl_AttendanceTracker[[#This Row],[Total days present]]</f>
        <v>0.8</v>
      </c>
      <c r="H5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6" spans="1:8" x14ac:dyDescent="0.3">
      <c r="A6" s="1" t="s">
        <v>33</v>
      </c>
      <c r="B6" s="3">
        <v>45474</v>
      </c>
      <c r="C6" s="63" t="str">
        <f>_xlfn.XLOOKUP(A6, List1_ContactInfo!A:A, List1_ContactInfo!B:B)</f>
        <v>attendee30@company.com</v>
      </c>
      <c r="D6" t="str">
        <f>_xlfn.XLOOKUP(A6, List2_Department!A:A, List2_Department!B:B)</f>
        <v>Finance</v>
      </c>
      <c r="E6">
        <f t="shared" si="0"/>
        <v>5</v>
      </c>
      <c r="F6">
        <f>SUMIF(tbl_AttendanceDetails[Name],A6,tbl_AttendanceDetails[Present (1/0)])</f>
        <v>4</v>
      </c>
      <c r="G6" s="9">
        <f>tbl_AttendanceTracker[[#This Row],[Actual days present]]/tbl_AttendanceTracker[[#This Row],[Total days present]]</f>
        <v>0.8</v>
      </c>
      <c r="H6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7" spans="1:8" x14ac:dyDescent="0.3">
      <c r="A7" s="1" t="s">
        <v>40</v>
      </c>
      <c r="B7" s="3">
        <v>45474</v>
      </c>
      <c r="C7" s="63" t="str">
        <f>_xlfn.XLOOKUP(A7, List1_ContactInfo!A:A, List1_ContactInfo!B:B)</f>
        <v>attendee37@company.com</v>
      </c>
      <c r="D7" t="str">
        <f>_xlfn.XLOOKUP(A7, List2_Department!A:A, List2_Department!B:B)</f>
        <v>Sales</v>
      </c>
      <c r="E7">
        <f t="shared" si="0"/>
        <v>5</v>
      </c>
      <c r="F7">
        <f>SUMIF(tbl_AttendanceDetails[Name],A7,tbl_AttendanceDetails[Present (1/0)])</f>
        <v>4</v>
      </c>
      <c r="G7" s="9">
        <f>tbl_AttendanceTracker[[#This Row],[Actual days present]]/tbl_AttendanceTracker[[#This Row],[Total days present]]</f>
        <v>0.8</v>
      </c>
      <c r="H7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8" spans="1:8" x14ac:dyDescent="0.3">
      <c r="A8" s="1" t="s">
        <v>42</v>
      </c>
      <c r="B8" s="3">
        <v>45474</v>
      </c>
      <c r="C8" s="63" t="str">
        <f>_xlfn.XLOOKUP(A8, List1_ContactInfo!A:A, List1_ContactInfo!B:B)</f>
        <v>attendee39@company.com</v>
      </c>
      <c r="D8" t="str">
        <f>_xlfn.XLOOKUP(A8, List2_Department!A:A, List2_Department!B:B)</f>
        <v>IT</v>
      </c>
      <c r="E8">
        <f t="shared" si="0"/>
        <v>5</v>
      </c>
      <c r="F8">
        <f>SUMIF(tbl_AttendanceDetails[Name],A8,tbl_AttendanceDetails[Present (1/0)])</f>
        <v>4</v>
      </c>
      <c r="G8" s="9">
        <f>tbl_AttendanceTracker[[#This Row],[Actual days present]]/tbl_AttendanceTracker[[#This Row],[Total days present]]</f>
        <v>0.8</v>
      </c>
      <c r="H8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9" spans="1:8" x14ac:dyDescent="0.3">
      <c r="A9" s="1" t="s">
        <v>44</v>
      </c>
      <c r="B9" s="3">
        <v>45474</v>
      </c>
      <c r="C9" s="63" t="str">
        <f>_xlfn.XLOOKUP(A9, List1_ContactInfo!A:A, List1_ContactInfo!B:B)</f>
        <v>attendee41@company.com</v>
      </c>
      <c r="D9" t="str">
        <f>_xlfn.XLOOKUP(A9, List2_Department!A:A, List2_Department!B:B)</f>
        <v>Marketing</v>
      </c>
      <c r="E9">
        <f t="shared" si="0"/>
        <v>5</v>
      </c>
      <c r="F9">
        <f>SUMIF(tbl_AttendanceDetails[Name],A9,tbl_AttendanceDetails[Present (1/0)])</f>
        <v>4</v>
      </c>
      <c r="G9" s="9">
        <f>tbl_AttendanceTracker[[#This Row],[Actual days present]]/tbl_AttendanceTracker[[#This Row],[Total days present]]</f>
        <v>0.8</v>
      </c>
      <c r="H9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10" spans="1:8" x14ac:dyDescent="0.3">
      <c r="A10" s="1" t="s">
        <v>50</v>
      </c>
      <c r="B10" s="3">
        <v>45474</v>
      </c>
      <c r="C10" s="63" t="str">
        <f>_xlfn.XLOOKUP(A10, List1_ContactInfo!A:A, List1_ContactInfo!B:B)</f>
        <v>attendee47@company.com</v>
      </c>
      <c r="D10" t="str">
        <f>_xlfn.XLOOKUP(A10, List2_Department!A:A, List2_Department!B:B)</f>
        <v>Sales</v>
      </c>
      <c r="E10">
        <f t="shared" si="0"/>
        <v>5</v>
      </c>
      <c r="F10">
        <f>SUMIF(tbl_AttendanceDetails[Name],A10,tbl_AttendanceDetails[Present (1/0)])</f>
        <v>4</v>
      </c>
      <c r="G10" s="9">
        <f>tbl_AttendanceTracker[[#This Row],[Actual days present]]/tbl_AttendanceTracker[[#This Row],[Total days present]]</f>
        <v>0.8</v>
      </c>
      <c r="H10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11" spans="1:8" x14ac:dyDescent="0.3">
      <c r="A11" s="1" t="s">
        <v>5</v>
      </c>
      <c r="B11" s="3">
        <v>45474</v>
      </c>
      <c r="C11" s="63" t="str">
        <f>_xlfn.XLOOKUP(A11, List1_ContactInfo!A:A, List1_ContactInfo!B:B)</f>
        <v>attendee2@company.com</v>
      </c>
      <c r="D11" t="str">
        <f>_xlfn.XLOOKUP(A11, List2_Department!A:A, List2_Department!B:B)</f>
        <v>Sales</v>
      </c>
      <c r="E11">
        <f t="shared" si="0"/>
        <v>5</v>
      </c>
      <c r="F11">
        <f>SUMIF(tbl_AttendanceDetails[Name],A11,tbl_AttendanceDetails[Present (1/0)])</f>
        <v>3</v>
      </c>
      <c r="G11" s="9">
        <f>tbl_AttendanceTracker[[#This Row],[Actual days present]]/tbl_AttendanceTracker[[#This Row],[Total days present]]</f>
        <v>0.6</v>
      </c>
      <c r="H11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12" spans="1:8" x14ac:dyDescent="0.3">
      <c r="A12" s="1" t="s">
        <v>8</v>
      </c>
      <c r="B12" s="3">
        <v>45474</v>
      </c>
      <c r="C12" s="63" t="str">
        <f>_xlfn.XLOOKUP(A12, List1_ContactInfo!A:A, List1_ContactInfo!B:B)</f>
        <v>attendee5@company.com</v>
      </c>
      <c r="D12" t="str">
        <f>_xlfn.XLOOKUP(A12, List2_Department!A:A, List2_Department!B:B)</f>
        <v>Finance</v>
      </c>
      <c r="E12">
        <f t="shared" si="0"/>
        <v>5</v>
      </c>
      <c r="F12">
        <f>SUMIF(tbl_AttendanceDetails[Name],A12,tbl_AttendanceDetails[Present (1/0)])</f>
        <v>3</v>
      </c>
      <c r="G12" s="9">
        <f>tbl_AttendanceTracker[[#This Row],[Actual days present]]/tbl_AttendanceTracker[[#This Row],[Total days present]]</f>
        <v>0.6</v>
      </c>
      <c r="H12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13" spans="1:8" x14ac:dyDescent="0.3">
      <c r="A13" s="1" t="s">
        <v>9</v>
      </c>
      <c r="B13" s="3">
        <v>45474</v>
      </c>
      <c r="C13" s="63" t="str">
        <f>_xlfn.XLOOKUP(A13, List1_ContactInfo!A:A, List1_ContactInfo!B:B)</f>
        <v>attendee6@company.com</v>
      </c>
      <c r="D13" t="str">
        <f>_xlfn.XLOOKUP(A13, List2_Department!A:A, List2_Department!B:B)</f>
        <v>Marketing</v>
      </c>
      <c r="E13">
        <f t="shared" si="0"/>
        <v>5</v>
      </c>
      <c r="F13">
        <f>SUMIF(tbl_AttendanceDetails[Name],A13,tbl_AttendanceDetails[Present (1/0)])</f>
        <v>3</v>
      </c>
      <c r="G13" s="9">
        <f>tbl_AttendanceTracker[[#This Row],[Actual days present]]/tbl_AttendanceTracker[[#This Row],[Total days present]]</f>
        <v>0.6</v>
      </c>
      <c r="H13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14" spans="1:8" x14ac:dyDescent="0.3">
      <c r="A14" s="1" t="s">
        <v>11</v>
      </c>
      <c r="B14" s="3">
        <v>45474</v>
      </c>
      <c r="C14" s="63" t="str">
        <f>_xlfn.XLOOKUP(A14, List1_ContactInfo!A:A, List1_ContactInfo!B:B)</f>
        <v>attendee8@company.com</v>
      </c>
      <c r="D14" t="str">
        <f>_xlfn.XLOOKUP(A14, List2_Department!A:A, List2_Department!B:B)</f>
        <v>HR</v>
      </c>
      <c r="E14">
        <f t="shared" si="0"/>
        <v>5</v>
      </c>
      <c r="F14">
        <f>SUMIF(tbl_AttendanceDetails[Name],A14,tbl_AttendanceDetails[Present (1/0)])</f>
        <v>3</v>
      </c>
      <c r="G14" s="9">
        <f>tbl_AttendanceTracker[[#This Row],[Actual days present]]/tbl_AttendanceTracker[[#This Row],[Total days present]]</f>
        <v>0.6</v>
      </c>
      <c r="H14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15" spans="1:8" x14ac:dyDescent="0.3">
      <c r="A15" s="1" t="s">
        <v>14</v>
      </c>
      <c r="B15" s="3">
        <v>45474</v>
      </c>
      <c r="C15" s="63" t="str">
        <f>_xlfn.XLOOKUP(A15, List1_ContactInfo!A:A, List1_ContactInfo!B:B)</f>
        <v>attendee11@company.com</v>
      </c>
      <c r="D15" t="str">
        <f>_xlfn.XLOOKUP(A15, List2_Department!A:A, List2_Department!B:B)</f>
        <v>Marketing</v>
      </c>
      <c r="E15">
        <f t="shared" si="0"/>
        <v>5</v>
      </c>
      <c r="F15">
        <f>SUMIF(tbl_AttendanceDetails[Name],A15,tbl_AttendanceDetails[Present (1/0)])</f>
        <v>3</v>
      </c>
      <c r="G15" s="9">
        <f>tbl_AttendanceTracker[[#This Row],[Actual days present]]/tbl_AttendanceTracker[[#This Row],[Total days present]]</f>
        <v>0.6</v>
      </c>
      <c r="H15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16" spans="1:8" x14ac:dyDescent="0.3">
      <c r="A16" s="1" t="s">
        <v>16</v>
      </c>
      <c r="B16" s="3">
        <v>45474</v>
      </c>
      <c r="C16" s="63" t="str">
        <f>_xlfn.XLOOKUP(A16, List1_ContactInfo!A:A, List1_ContactInfo!B:B)</f>
        <v>attendee13@company.com</v>
      </c>
      <c r="D16" t="str">
        <f>_xlfn.XLOOKUP(A16, List2_Department!A:A, List2_Department!B:B)</f>
        <v>HR</v>
      </c>
      <c r="E16">
        <f t="shared" si="0"/>
        <v>5</v>
      </c>
      <c r="F16">
        <f>SUMIF(tbl_AttendanceDetails[Name],A16,tbl_AttendanceDetails[Present (1/0)])</f>
        <v>3</v>
      </c>
      <c r="G16" s="9">
        <f>tbl_AttendanceTracker[[#This Row],[Actual days present]]/tbl_AttendanceTracker[[#This Row],[Total days present]]</f>
        <v>0.6</v>
      </c>
      <c r="H16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17" spans="1:8" x14ac:dyDescent="0.3">
      <c r="A17" s="1" t="s">
        <v>17</v>
      </c>
      <c r="B17" s="3">
        <v>45474</v>
      </c>
      <c r="C17" s="63" t="str">
        <f>_xlfn.XLOOKUP(A17, List1_ContactInfo!A:A, List1_ContactInfo!B:B)</f>
        <v>attendee14@company.com</v>
      </c>
      <c r="D17" t="str">
        <f>_xlfn.XLOOKUP(A17, List2_Department!A:A, List2_Department!B:B)</f>
        <v>IT</v>
      </c>
      <c r="E17">
        <f t="shared" si="0"/>
        <v>5</v>
      </c>
      <c r="F17">
        <f>SUMIF(tbl_AttendanceDetails[Name],A17,tbl_AttendanceDetails[Present (1/0)])</f>
        <v>3</v>
      </c>
      <c r="G17" s="9">
        <f>tbl_AttendanceTracker[[#This Row],[Actual days present]]/tbl_AttendanceTracker[[#This Row],[Total days present]]</f>
        <v>0.6</v>
      </c>
      <c r="H17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18" spans="1:8" x14ac:dyDescent="0.3">
      <c r="A18" s="1" t="s">
        <v>18</v>
      </c>
      <c r="B18" s="3">
        <v>45474</v>
      </c>
      <c r="C18" s="63" t="str">
        <f>_xlfn.XLOOKUP(A18, List1_ContactInfo!A:A, List1_ContactInfo!B:B)</f>
        <v>attendee15@company.com</v>
      </c>
      <c r="D18" t="str">
        <f>_xlfn.XLOOKUP(A18, List2_Department!A:A, List2_Department!B:B)</f>
        <v>Finance</v>
      </c>
      <c r="E18">
        <f t="shared" si="0"/>
        <v>5</v>
      </c>
      <c r="F18">
        <f>SUMIF(tbl_AttendanceDetails[Name],A18,tbl_AttendanceDetails[Present (1/0)])</f>
        <v>3</v>
      </c>
      <c r="G18" s="9">
        <f>tbl_AttendanceTracker[[#This Row],[Actual days present]]/tbl_AttendanceTracker[[#This Row],[Total days present]]</f>
        <v>0.6</v>
      </c>
      <c r="H18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19" spans="1:8" x14ac:dyDescent="0.3">
      <c r="A19" s="1" t="s">
        <v>20</v>
      </c>
      <c r="B19" s="3">
        <v>45474</v>
      </c>
      <c r="C19" s="63" t="str">
        <f>_xlfn.XLOOKUP(A19, List1_ContactInfo!A:A, List1_ContactInfo!B:B)</f>
        <v>attendee17@company.com</v>
      </c>
      <c r="D19" t="str">
        <f>_xlfn.XLOOKUP(A19, List2_Department!A:A, List2_Department!B:B)</f>
        <v>Sales</v>
      </c>
      <c r="E19">
        <f t="shared" si="0"/>
        <v>5</v>
      </c>
      <c r="F19">
        <f>SUMIF(tbl_AttendanceDetails[Name],A19,tbl_AttendanceDetails[Present (1/0)])</f>
        <v>3</v>
      </c>
      <c r="G19" s="9">
        <f>tbl_AttendanceTracker[[#This Row],[Actual days present]]/tbl_AttendanceTracker[[#This Row],[Total days present]]</f>
        <v>0.6</v>
      </c>
      <c r="H19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20" spans="1:8" x14ac:dyDescent="0.3">
      <c r="A20" s="1" t="s">
        <v>21</v>
      </c>
      <c r="B20" s="3">
        <v>45474</v>
      </c>
      <c r="C20" s="63" t="str">
        <f>_xlfn.XLOOKUP(A20, List1_ContactInfo!A:A, List1_ContactInfo!B:B)</f>
        <v>attendee18@company.com</v>
      </c>
      <c r="D20" t="str">
        <f>_xlfn.XLOOKUP(A20, List2_Department!A:A, List2_Department!B:B)</f>
        <v>HR</v>
      </c>
      <c r="E20">
        <f t="shared" si="0"/>
        <v>5</v>
      </c>
      <c r="F20">
        <f>SUMIF(tbl_AttendanceDetails[Name],A20,tbl_AttendanceDetails[Present (1/0)])</f>
        <v>3</v>
      </c>
      <c r="G20" s="9">
        <f>tbl_AttendanceTracker[[#This Row],[Actual days present]]/tbl_AttendanceTracker[[#This Row],[Total days present]]</f>
        <v>0.6</v>
      </c>
      <c r="H20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21" spans="1:8" x14ac:dyDescent="0.3">
      <c r="A21" s="1" t="s">
        <v>22</v>
      </c>
      <c r="B21" s="3">
        <v>45474</v>
      </c>
      <c r="C21" s="63" t="str">
        <f>_xlfn.XLOOKUP(A21, List1_ContactInfo!A:A, List1_ContactInfo!B:B)</f>
        <v>attendee19@company.com</v>
      </c>
      <c r="D21" t="str">
        <f>_xlfn.XLOOKUP(A21, List2_Department!A:A, List2_Department!B:B)</f>
        <v>IT</v>
      </c>
      <c r="E21">
        <f t="shared" si="0"/>
        <v>5</v>
      </c>
      <c r="F21">
        <f>SUMIF(tbl_AttendanceDetails[Name],A21,tbl_AttendanceDetails[Present (1/0)])</f>
        <v>3</v>
      </c>
      <c r="G21" s="9">
        <f>tbl_AttendanceTracker[[#This Row],[Actual days present]]/tbl_AttendanceTracker[[#This Row],[Total days present]]</f>
        <v>0.6</v>
      </c>
      <c r="H21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22" spans="1:8" x14ac:dyDescent="0.3">
      <c r="A22" s="1" t="s">
        <v>24</v>
      </c>
      <c r="B22" s="3">
        <v>45474</v>
      </c>
      <c r="C22" s="63" t="str">
        <f>_xlfn.XLOOKUP(A22, List1_ContactInfo!A:A, List1_ContactInfo!B:B)</f>
        <v>attendee21@company.com</v>
      </c>
      <c r="D22" t="str">
        <f>_xlfn.XLOOKUP(A22, List2_Department!A:A, List2_Department!B:B)</f>
        <v>Marketing</v>
      </c>
      <c r="E22">
        <f t="shared" si="0"/>
        <v>5</v>
      </c>
      <c r="F22">
        <f>SUMIF(tbl_AttendanceDetails[Name],A22,tbl_AttendanceDetails[Present (1/0)])</f>
        <v>3</v>
      </c>
      <c r="G22" s="9">
        <f>tbl_AttendanceTracker[[#This Row],[Actual days present]]/tbl_AttendanceTracker[[#This Row],[Total days present]]</f>
        <v>0.6</v>
      </c>
      <c r="H22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23" spans="1:8" x14ac:dyDescent="0.3">
      <c r="A23" s="1" t="s">
        <v>26</v>
      </c>
      <c r="B23" s="3">
        <v>45474</v>
      </c>
      <c r="C23" s="63" t="str">
        <f>_xlfn.XLOOKUP(A23, List1_ContactInfo!A:A, List1_ContactInfo!B:B)</f>
        <v>attendee23@company.com</v>
      </c>
      <c r="D23" t="str">
        <f>_xlfn.XLOOKUP(A23, List2_Department!A:A, List2_Department!B:B)</f>
        <v>HR</v>
      </c>
      <c r="E23">
        <f t="shared" si="0"/>
        <v>5</v>
      </c>
      <c r="F23">
        <f>SUMIF(tbl_AttendanceDetails[Name],A23,tbl_AttendanceDetails[Present (1/0)])</f>
        <v>3</v>
      </c>
      <c r="G23" s="9">
        <f>tbl_AttendanceTracker[[#This Row],[Actual days present]]/tbl_AttendanceTracker[[#This Row],[Total days present]]</f>
        <v>0.6</v>
      </c>
      <c r="H23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24" spans="1:8" x14ac:dyDescent="0.3">
      <c r="A24" s="1" t="s">
        <v>32</v>
      </c>
      <c r="B24" s="3">
        <v>45474</v>
      </c>
      <c r="C24" s="63" t="str">
        <f>_xlfn.XLOOKUP(A24, List1_ContactInfo!A:A, List1_ContactInfo!B:B)</f>
        <v>attendee29@company.com</v>
      </c>
      <c r="D24" t="str">
        <f>_xlfn.XLOOKUP(A24, List2_Department!A:A, List2_Department!B:B)</f>
        <v>IT</v>
      </c>
      <c r="E24">
        <f t="shared" si="0"/>
        <v>5</v>
      </c>
      <c r="F24">
        <f>SUMIF(tbl_AttendanceDetails[Name],A24,tbl_AttendanceDetails[Present (1/0)])</f>
        <v>3</v>
      </c>
      <c r="G24" s="9">
        <f>tbl_AttendanceTracker[[#This Row],[Actual days present]]/tbl_AttendanceTracker[[#This Row],[Total days present]]</f>
        <v>0.6</v>
      </c>
      <c r="H24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25" spans="1:8" x14ac:dyDescent="0.3">
      <c r="A25" s="1" t="s">
        <v>38</v>
      </c>
      <c r="B25" s="3">
        <v>45474</v>
      </c>
      <c r="C25" s="63" t="str">
        <f>_xlfn.XLOOKUP(A25, List1_ContactInfo!A:A, List1_ContactInfo!B:B)</f>
        <v>attendee35@company.com</v>
      </c>
      <c r="D25" t="str">
        <f>_xlfn.XLOOKUP(A25, List2_Department!A:A, List2_Department!B:B)</f>
        <v>Finance</v>
      </c>
      <c r="E25">
        <f t="shared" si="0"/>
        <v>5</v>
      </c>
      <c r="F25">
        <f>SUMIF(tbl_AttendanceDetails[Name],A25,tbl_AttendanceDetails[Present (1/0)])</f>
        <v>3</v>
      </c>
      <c r="G25" s="9">
        <f>tbl_AttendanceTracker[[#This Row],[Actual days present]]/tbl_AttendanceTracker[[#This Row],[Total days present]]</f>
        <v>0.6</v>
      </c>
      <c r="H25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26" spans="1:8" x14ac:dyDescent="0.3">
      <c r="A26" s="1" t="s">
        <v>39</v>
      </c>
      <c r="B26" s="3">
        <v>45474</v>
      </c>
      <c r="C26" s="63" t="str">
        <f>_xlfn.XLOOKUP(A26, List1_ContactInfo!A:A, List1_ContactInfo!B:B)</f>
        <v>attendee36@company.com</v>
      </c>
      <c r="D26" t="str">
        <f>_xlfn.XLOOKUP(A26, List2_Department!A:A, List2_Department!B:B)</f>
        <v>Marketing</v>
      </c>
      <c r="E26">
        <f t="shared" si="0"/>
        <v>5</v>
      </c>
      <c r="F26">
        <f>SUMIF(tbl_AttendanceDetails[Name],A26,tbl_AttendanceDetails[Present (1/0)])</f>
        <v>3</v>
      </c>
      <c r="G26" s="9">
        <f>tbl_AttendanceTracker[[#This Row],[Actual days present]]/tbl_AttendanceTracker[[#This Row],[Total days present]]</f>
        <v>0.6</v>
      </c>
      <c r="H26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27" spans="1:8" x14ac:dyDescent="0.3">
      <c r="A27" s="1" t="s">
        <v>41</v>
      </c>
      <c r="B27" s="3">
        <v>45474</v>
      </c>
      <c r="C27" s="63" t="str">
        <f>_xlfn.XLOOKUP(A27, List1_ContactInfo!A:A, List1_ContactInfo!B:B)</f>
        <v>attendee38@company.com</v>
      </c>
      <c r="D27" t="str">
        <f>_xlfn.XLOOKUP(A27, List2_Department!A:A, List2_Department!B:B)</f>
        <v>HR</v>
      </c>
      <c r="E27">
        <f t="shared" si="0"/>
        <v>5</v>
      </c>
      <c r="F27">
        <f>SUMIF(tbl_AttendanceDetails[Name],A27,tbl_AttendanceDetails[Present (1/0)])</f>
        <v>3</v>
      </c>
      <c r="G27" s="9">
        <f>tbl_AttendanceTracker[[#This Row],[Actual days present]]/tbl_AttendanceTracker[[#This Row],[Total days present]]</f>
        <v>0.6</v>
      </c>
      <c r="H27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28" spans="1:8" x14ac:dyDescent="0.3">
      <c r="A28" s="1" t="s">
        <v>48</v>
      </c>
      <c r="B28" s="3">
        <v>45474</v>
      </c>
      <c r="C28" s="63" t="str">
        <f>_xlfn.XLOOKUP(A28, List1_ContactInfo!A:A, List1_ContactInfo!B:B)</f>
        <v>attendee45@company.com</v>
      </c>
      <c r="D28" t="str">
        <f>_xlfn.XLOOKUP(A28, List2_Department!A:A, List2_Department!B:B)</f>
        <v>Finance</v>
      </c>
      <c r="E28">
        <f t="shared" si="0"/>
        <v>5</v>
      </c>
      <c r="F28">
        <f>SUMIF(tbl_AttendanceDetails[Name],A28,tbl_AttendanceDetails[Present (1/0)])</f>
        <v>3</v>
      </c>
      <c r="G28" s="9">
        <f>tbl_AttendanceTracker[[#This Row],[Actual days present]]/tbl_AttendanceTracker[[#This Row],[Total days present]]</f>
        <v>0.6</v>
      </c>
      <c r="H28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29" spans="1:8" x14ac:dyDescent="0.3">
      <c r="A29" t="s">
        <v>4</v>
      </c>
      <c r="B29" s="3">
        <v>45474</v>
      </c>
      <c r="C29" s="63" t="str">
        <f>_xlfn.XLOOKUP(A29, List1_ContactInfo!A:A, List1_ContactInfo!B:B)</f>
        <v>attendee1@company.com</v>
      </c>
      <c r="D29" t="str">
        <f>_xlfn.XLOOKUP(A29, List2_Department!A:A, List2_Department!B:B)</f>
        <v>Marketing</v>
      </c>
      <c r="E29">
        <f t="shared" si="0"/>
        <v>5</v>
      </c>
      <c r="F29">
        <f>SUMIF(tbl_AttendanceDetails[Name],A29,tbl_AttendanceDetails[Present (1/0)])</f>
        <v>2</v>
      </c>
      <c r="G29" s="9">
        <f>tbl_AttendanceTracker[[#This Row],[Actual days present]]/tbl_AttendanceTracker[[#This Row],[Total days present]]</f>
        <v>0.4</v>
      </c>
      <c r="H29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30" spans="1:8" x14ac:dyDescent="0.3">
      <c r="A30" s="1" t="s">
        <v>6</v>
      </c>
      <c r="B30" s="3">
        <v>45474</v>
      </c>
      <c r="C30" s="63" t="str">
        <f>_xlfn.XLOOKUP(A30, List1_ContactInfo!A:A, List1_ContactInfo!B:B)</f>
        <v>attendee3@company.com</v>
      </c>
      <c r="D30" t="str">
        <f>_xlfn.XLOOKUP(A30, List2_Department!A:A, List2_Department!B:B)</f>
        <v>HR</v>
      </c>
      <c r="E30">
        <f t="shared" si="0"/>
        <v>5</v>
      </c>
      <c r="F30">
        <f>SUMIF(tbl_AttendanceDetails[Name],A30,tbl_AttendanceDetails[Present (1/0)])</f>
        <v>2</v>
      </c>
      <c r="G30" s="9">
        <f>tbl_AttendanceTracker[[#This Row],[Actual days present]]/tbl_AttendanceTracker[[#This Row],[Total days present]]</f>
        <v>0.4</v>
      </c>
      <c r="H30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31" spans="1:8" x14ac:dyDescent="0.3">
      <c r="A31" s="1" t="s">
        <v>7</v>
      </c>
      <c r="B31" s="3">
        <v>45474</v>
      </c>
      <c r="C31" s="63" t="str">
        <f>_xlfn.XLOOKUP(A31, List1_ContactInfo!A:A, List1_ContactInfo!B:B)</f>
        <v>attendee4@company.com</v>
      </c>
      <c r="D31" t="str">
        <f>_xlfn.XLOOKUP(A31, List2_Department!A:A, List2_Department!B:B)</f>
        <v>IT</v>
      </c>
      <c r="E31">
        <f t="shared" si="0"/>
        <v>5</v>
      </c>
      <c r="F31">
        <f>SUMIF(tbl_AttendanceDetails[Name],A31,tbl_AttendanceDetails[Present (1/0)])</f>
        <v>2</v>
      </c>
      <c r="G31" s="9">
        <f>tbl_AttendanceTracker[[#This Row],[Actual days present]]/tbl_AttendanceTracker[[#This Row],[Total days present]]</f>
        <v>0.4</v>
      </c>
      <c r="H31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32" spans="1:8" x14ac:dyDescent="0.3">
      <c r="A32" s="1" t="s">
        <v>13</v>
      </c>
      <c r="B32" s="3">
        <v>45474</v>
      </c>
      <c r="C32" s="63" t="str">
        <f>_xlfn.XLOOKUP(A32, List1_ContactInfo!A:A, List1_ContactInfo!B:B)</f>
        <v>attendee10@company.com</v>
      </c>
      <c r="D32" t="str">
        <f>_xlfn.XLOOKUP(A32, List2_Department!A:A, List2_Department!B:B)</f>
        <v>Finance</v>
      </c>
      <c r="E32">
        <f t="shared" si="0"/>
        <v>5</v>
      </c>
      <c r="F32">
        <f>SUMIF(tbl_AttendanceDetails[Name],A32,tbl_AttendanceDetails[Present (1/0)])</f>
        <v>2</v>
      </c>
      <c r="G32" s="9">
        <f>tbl_AttendanceTracker[[#This Row],[Actual days present]]/tbl_AttendanceTracker[[#This Row],[Total days present]]</f>
        <v>0.4</v>
      </c>
      <c r="H32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33" spans="1:8" x14ac:dyDescent="0.3">
      <c r="A33" s="1" t="s">
        <v>19</v>
      </c>
      <c r="B33" s="3">
        <v>45474</v>
      </c>
      <c r="C33" s="63" t="str">
        <f>_xlfn.XLOOKUP(A33, List1_ContactInfo!A:A, List1_ContactInfo!B:B)</f>
        <v>attendee16@company.com</v>
      </c>
      <c r="D33" t="str">
        <f>_xlfn.XLOOKUP(A33, List2_Department!A:A, List2_Department!B:B)</f>
        <v>Marketing</v>
      </c>
      <c r="E33">
        <f t="shared" si="0"/>
        <v>5</v>
      </c>
      <c r="F33">
        <f>SUMIF(tbl_AttendanceDetails[Name],A33,tbl_AttendanceDetails[Present (1/0)])</f>
        <v>2</v>
      </c>
      <c r="G33" s="9">
        <f>tbl_AttendanceTracker[[#This Row],[Actual days present]]/tbl_AttendanceTracker[[#This Row],[Total days present]]</f>
        <v>0.4</v>
      </c>
      <c r="H33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34" spans="1:8" x14ac:dyDescent="0.3">
      <c r="A34" s="1" t="s">
        <v>23</v>
      </c>
      <c r="B34" s="3">
        <v>45474</v>
      </c>
      <c r="C34" s="63" t="str">
        <f>_xlfn.XLOOKUP(A34, List1_ContactInfo!A:A, List1_ContactInfo!B:B)</f>
        <v>attendee20@company.com</v>
      </c>
      <c r="D34" t="str">
        <f>_xlfn.XLOOKUP(A34, List2_Department!A:A, List2_Department!B:B)</f>
        <v>Finance</v>
      </c>
      <c r="E34">
        <f t="shared" ref="E34:E51" si="1">DATE(2024,7,5)-DATE(2024,7,1)+1</f>
        <v>5</v>
      </c>
      <c r="F34">
        <f>SUMIF(tbl_AttendanceDetails[Name],A34,tbl_AttendanceDetails[Present (1/0)])</f>
        <v>2</v>
      </c>
      <c r="G34" s="9">
        <f>tbl_AttendanceTracker[[#This Row],[Actual days present]]/tbl_AttendanceTracker[[#This Row],[Total days present]]</f>
        <v>0.4</v>
      </c>
      <c r="H34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35" spans="1:8" x14ac:dyDescent="0.3">
      <c r="A35" s="1" t="s">
        <v>27</v>
      </c>
      <c r="B35" s="3">
        <v>45474</v>
      </c>
      <c r="C35" s="63" t="str">
        <f>_xlfn.XLOOKUP(A35, List1_ContactInfo!A:A, List1_ContactInfo!B:B)</f>
        <v>attendee24@company.com</v>
      </c>
      <c r="D35" t="str">
        <f>_xlfn.XLOOKUP(A35, List2_Department!A:A, List2_Department!B:B)</f>
        <v>IT</v>
      </c>
      <c r="E35">
        <f t="shared" si="1"/>
        <v>5</v>
      </c>
      <c r="F35">
        <f>SUMIF(tbl_AttendanceDetails[Name],A35,tbl_AttendanceDetails[Present (1/0)])</f>
        <v>2</v>
      </c>
      <c r="G35" s="9">
        <f>tbl_AttendanceTracker[[#This Row],[Actual days present]]/tbl_AttendanceTracker[[#This Row],[Total days present]]</f>
        <v>0.4</v>
      </c>
      <c r="H35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36" spans="1:8" x14ac:dyDescent="0.3">
      <c r="A36" s="1" t="s">
        <v>28</v>
      </c>
      <c r="B36" s="3">
        <v>45474</v>
      </c>
      <c r="C36" s="63" t="str">
        <f>_xlfn.XLOOKUP(A36, List1_ContactInfo!A:A, List1_ContactInfo!B:B)</f>
        <v>attendee25@company.com</v>
      </c>
      <c r="D36" t="str">
        <f>_xlfn.XLOOKUP(A36, List2_Department!A:A, List2_Department!B:B)</f>
        <v>Finance</v>
      </c>
      <c r="E36">
        <f t="shared" si="1"/>
        <v>5</v>
      </c>
      <c r="F36">
        <f>SUMIF(tbl_AttendanceDetails[Name],A36,tbl_AttendanceDetails[Present (1/0)])</f>
        <v>2</v>
      </c>
      <c r="G36" s="9">
        <f>tbl_AttendanceTracker[[#This Row],[Actual days present]]/tbl_AttendanceTracker[[#This Row],[Total days present]]</f>
        <v>0.4</v>
      </c>
      <c r="H36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37" spans="1:8" x14ac:dyDescent="0.3">
      <c r="A37" s="1" t="s">
        <v>29</v>
      </c>
      <c r="B37" s="3">
        <v>45474</v>
      </c>
      <c r="C37" s="63" t="str">
        <f>_xlfn.XLOOKUP(A37, List1_ContactInfo!A:A, List1_ContactInfo!B:B)</f>
        <v>attendee26@company.com</v>
      </c>
      <c r="D37" t="str">
        <f>_xlfn.XLOOKUP(A37, List2_Department!A:A, List2_Department!B:B)</f>
        <v>Marketing</v>
      </c>
      <c r="E37">
        <f t="shared" si="1"/>
        <v>5</v>
      </c>
      <c r="F37">
        <f>SUMIF(tbl_AttendanceDetails[Name],A37,tbl_AttendanceDetails[Present (1/0)])</f>
        <v>2</v>
      </c>
      <c r="G37" s="9">
        <f>tbl_AttendanceTracker[[#This Row],[Actual days present]]/tbl_AttendanceTracker[[#This Row],[Total days present]]</f>
        <v>0.4</v>
      </c>
      <c r="H37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38" spans="1:8" x14ac:dyDescent="0.3">
      <c r="A38" s="1" t="s">
        <v>34</v>
      </c>
      <c r="B38" s="3">
        <v>45474</v>
      </c>
      <c r="C38" s="63" t="str">
        <f>_xlfn.XLOOKUP(A38, List1_ContactInfo!A:A, List1_ContactInfo!B:B)</f>
        <v>attendee31@company.com</v>
      </c>
      <c r="D38" t="str">
        <f>_xlfn.XLOOKUP(A38, List2_Department!A:A, List2_Department!B:B)</f>
        <v>Marketing</v>
      </c>
      <c r="E38">
        <f t="shared" si="1"/>
        <v>5</v>
      </c>
      <c r="F38">
        <f>SUMIF(tbl_AttendanceDetails[Name],A38,tbl_AttendanceDetails[Present (1/0)])</f>
        <v>2</v>
      </c>
      <c r="G38" s="9">
        <f>tbl_AttendanceTracker[[#This Row],[Actual days present]]/tbl_AttendanceTracker[[#This Row],[Total days present]]</f>
        <v>0.4</v>
      </c>
      <c r="H38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39" spans="1:8" x14ac:dyDescent="0.3">
      <c r="A39" s="1" t="s">
        <v>35</v>
      </c>
      <c r="B39" s="3">
        <v>45474</v>
      </c>
      <c r="C39" s="63" t="str">
        <f>_xlfn.XLOOKUP(A39, List1_ContactInfo!A:A, List1_ContactInfo!B:B)</f>
        <v>attendee32@company.com</v>
      </c>
      <c r="D39" t="str">
        <f>_xlfn.XLOOKUP(A39, List2_Department!A:A, List2_Department!B:B)</f>
        <v>Sales</v>
      </c>
      <c r="E39">
        <f t="shared" si="1"/>
        <v>5</v>
      </c>
      <c r="F39">
        <f>SUMIF(tbl_AttendanceDetails[Name],A39,tbl_AttendanceDetails[Present (1/0)])</f>
        <v>2</v>
      </c>
      <c r="G39" s="9">
        <f>tbl_AttendanceTracker[[#This Row],[Actual days present]]/tbl_AttendanceTracker[[#This Row],[Total days present]]</f>
        <v>0.4</v>
      </c>
      <c r="H39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40" spans="1:8" x14ac:dyDescent="0.3">
      <c r="A40" s="1" t="s">
        <v>37</v>
      </c>
      <c r="B40" s="3">
        <v>45474</v>
      </c>
      <c r="C40" s="63" t="str">
        <f>_xlfn.XLOOKUP(A40, List1_ContactInfo!A:A, List1_ContactInfo!B:B)</f>
        <v>attendee34@company.com</v>
      </c>
      <c r="D40" t="str">
        <f>_xlfn.XLOOKUP(A40, List2_Department!A:A, List2_Department!B:B)</f>
        <v>IT</v>
      </c>
      <c r="E40">
        <f t="shared" si="1"/>
        <v>5</v>
      </c>
      <c r="F40">
        <f>SUMIF(tbl_AttendanceDetails[Name],A40,tbl_AttendanceDetails[Present (1/0)])</f>
        <v>2</v>
      </c>
      <c r="G40" s="9">
        <f>tbl_AttendanceTracker[[#This Row],[Actual days present]]/tbl_AttendanceTracker[[#This Row],[Total days present]]</f>
        <v>0.4</v>
      </c>
      <c r="H40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41" spans="1:8" x14ac:dyDescent="0.3">
      <c r="A41" s="1" t="s">
        <v>46</v>
      </c>
      <c r="B41" s="3">
        <v>45474</v>
      </c>
      <c r="C41" s="63" t="str">
        <f>_xlfn.XLOOKUP(A41, List1_ContactInfo!A:A, List1_ContactInfo!B:B)</f>
        <v>attendee43@company.com</v>
      </c>
      <c r="D41" t="str">
        <f>_xlfn.XLOOKUP(A41, List2_Department!A:A, List2_Department!B:B)</f>
        <v>HR</v>
      </c>
      <c r="E41">
        <f t="shared" si="1"/>
        <v>5</v>
      </c>
      <c r="F41">
        <f>SUMIF(tbl_AttendanceDetails[Name],A41,tbl_AttendanceDetails[Present (1/0)])</f>
        <v>2</v>
      </c>
      <c r="G41" s="9">
        <f>tbl_AttendanceTracker[[#This Row],[Actual days present]]/tbl_AttendanceTracker[[#This Row],[Total days present]]</f>
        <v>0.4</v>
      </c>
      <c r="H41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42" spans="1:8" x14ac:dyDescent="0.3">
      <c r="A42" s="1" t="s">
        <v>47</v>
      </c>
      <c r="B42" s="3">
        <v>45474</v>
      </c>
      <c r="C42" s="63" t="str">
        <f>_xlfn.XLOOKUP(A42, List1_ContactInfo!A:A, List1_ContactInfo!B:B)</f>
        <v>attendee44@company.com</v>
      </c>
      <c r="D42" t="str">
        <f>_xlfn.XLOOKUP(A42, List2_Department!A:A, List2_Department!B:B)</f>
        <v>IT</v>
      </c>
      <c r="E42">
        <f t="shared" si="1"/>
        <v>5</v>
      </c>
      <c r="F42">
        <f>SUMIF(tbl_AttendanceDetails[Name],A42,tbl_AttendanceDetails[Present (1/0)])</f>
        <v>2</v>
      </c>
      <c r="G42" s="9">
        <f>tbl_AttendanceTracker[[#This Row],[Actual days present]]/tbl_AttendanceTracker[[#This Row],[Total days present]]</f>
        <v>0.4</v>
      </c>
      <c r="H42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43" spans="1:8" x14ac:dyDescent="0.3">
      <c r="A43" s="1" t="s">
        <v>49</v>
      </c>
      <c r="B43" s="3">
        <v>45474</v>
      </c>
      <c r="C43" s="63" t="str">
        <f>_xlfn.XLOOKUP(A43, List1_ContactInfo!A:A, List1_ContactInfo!B:B)</f>
        <v>attendee46@company.com</v>
      </c>
      <c r="D43" t="str">
        <f>_xlfn.XLOOKUP(A43, List2_Department!A:A, List2_Department!B:B)</f>
        <v>Marketing</v>
      </c>
      <c r="E43">
        <f t="shared" si="1"/>
        <v>5</v>
      </c>
      <c r="F43">
        <f>SUMIF(tbl_AttendanceDetails[Name],A43,tbl_AttendanceDetails[Present (1/0)])</f>
        <v>2</v>
      </c>
      <c r="G43" s="9">
        <f>tbl_AttendanceTracker[[#This Row],[Actual days present]]/tbl_AttendanceTracker[[#This Row],[Total days present]]</f>
        <v>0.4</v>
      </c>
      <c r="H43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44" spans="1:8" x14ac:dyDescent="0.3">
      <c r="A44" s="1" t="s">
        <v>52</v>
      </c>
      <c r="B44" s="3">
        <v>45474</v>
      </c>
      <c r="C44" s="63" t="str">
        <f>_xlfn.XLOOKUP(A44, List1_ContactInfo!A:A, List1_ContactInfo!B:B)</f>
        <v>attendee49@company.com</v>
      </c>
      <c r="D44" t="str">
        <f>_xlfn.XLOOKUP(A44, List2_Department!A:A, List2_Department!B:B)</f>
        <v>IT</v>
      </c>
      <c r="E44">
        <f t="shared" si="1"/>
        <v>5</v>
      </c>
      <c r="F44">
        <f>SUMIF(tbl_AttendanceDetails[Name],A44,tbl_AttendanceDetails[Present (1/0)])</f>
        <v>2</v>
      </c>
      <c r="G44" s="9">
        <f>tbl_AttendanceTracker[[#This Row],[Actual days present]]/tbl_AttendanceTracker[[#This Row],[Total days present]]</f>
        <v>0.4</v>
      </c>
      <c r="H44" s="12" t="str">
        <f>IF(tbl_AttendanceTracker[[#This Row],[Attendance percentage]]&gt;=IF(OR(tbl_AttendanceTracker[[#This Row],[Group/Department]]="IT",tbl_AttendanceTracker[[#This Row],[Group/Department]]="Finance"),40%,80%),"Yes","No")</f>
        <v>Yes</v>
      </c>
    </row>
    <row r="45" spans="1:8" x14ac:dyDescent="0.3">
      <c r="A45" s="1" t="s">
        <v>25</v>
      </c>
      <c r="B45" s="3">
        <v>45474</v>
      </c>
      <c r="C45" s="63" t="str">
        <f>_xlfn.XLOOKUP(A45, List1_ContactInfo!A:A, List1_ContactInfo!B:B)</f>
        <v>attendee22@company.com</v>
      </c>
      <c r="D45" t="str">
        <f>_xlfn.XLOOKUP(A45, List2_Department!A:A, List2_Department!B:B)</f>
        <v>Sales</v>
      </c>
      <c r="E45">
        <f t="shared" si="1"/>
        <v>5</v>
      </c>
      <c r="F45">
        <f>SUMIF(tbl_AttendanceDetails[Name],A45,tbl_AttendanceDetails[Present (1/0)])</f>
        <v>1</v>
      </c>
      <c r="G45" s="9">
        <f>tbl_AttendanceTracker[[#This Row],[Actual days present]]/tbl_AttendanceTracker[[#This Row],[Total days present]]</f>
        <v>0.2</v>
      </c>
      <c r="H45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46" spans="1:8" x14ac:dyDescent="0.3">
      <c r="A46" s="1" t="s">
        <v>43</v>
      </c>
      <c r="B46" s="3">
        <v>45474</v>
      </c>
      <c r="C46" s="63" t="str">
        <f>_xlfn.XLOOKUP(A46, List1_ContactInfo!A:A, List1_ContactInfo!B:B)</f>
        <v>attendee40@company.com</v>
      </c>
      <c r="D46" t="str">
        <f>_xlfn.XLOOKUP(A46, List2_Department!A:A, List2_Department!B:B)</f>
        <v>Finance</v>
      </c>
      <c r="E46">
        <f t="shared" si="1"/>
        <v>5</v>
      </c>
      <c r="F46">
        <f>SUMIF(tbl_AttendanceDetails[Name],A46,tbl_AttendanceDetails[Present (1/0)])</f>
        <v>1</v>
      </c>
      <c r="G46" s="9">
        <f>tbl_AttendanceTracker[[#This Row],[Actual days present]]/tbl_AttendanceTracker[[#This Row],[Total days present]]</f>
        <v>0.2</v>
      </c>
      <c r="H46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47" spans="1:8" x14ac:dyDescent="0.3">
      <c r="A47" s="1" t="s">
        <v>45</v>
      </c>
      <c r="B47" s="3">
        <v>45474</v>
      </c>
      <c r="C47" s="63" t="str">
        <f>_xlfn.XLOOKUP(A47, List1_ContactInfo!A:A, List1_ContactInfo!B:B)</f>
        <v>attendee42@company.com</v>
      </c>
      <c r="D47" t="str">
        <f>_xlfn.XLOOKUP(A47, List2_Department!A:A, List2_Department!B:B)</f>
        <v>Sales</v>
      </c>
      <c r="E47">
        <f t="shared" si="1"/>
        <v>5</v>
      </c>
      <c r="F47">
        <f>SUMIF(tbl_AttendanceDetails[Name],A47,tbl_AttendanceDetails[Present (1/0)])</f>
        <v>1</v>
      </c>
      <c r="G47" s="9">
        <f>tbl_AttendanceTracker[[#This Row],[Actual days present]]/tbl_AttendanceTracker[[#This Row],[Total days present]]</f>
        <v>0.2</v>
      </c>
      <c r="H47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48" spans="1:8" x14ac:dyDescent="0.3">
      <c r="A48" s="1" t="s">
        <v>53</v>
      </c>
      <c r="B48" s="3">
        <v>45474</v>
      </c>
      <c r="C48" s="63" t="str">
        <f>_xlfn.XLOOKUP(A48, List1_ContactInfo!A:A, List1_ContactInfo!B:B)</f>
        <v>attendee50@company.com</v>
      </c>
      <c r="D48" t="str">
        <f>_xlfn.XLOOKUP(A48, List2_Department!A:A, List2_Department!B:B)</f>
        <v>Finance</v>
      </c>
      <c r="E48">
        <f t="shared" si="1"/>
        <v>5</v>
      </c>
      <c r="F48">
        <f>SUMIF(tbl_AttendanceDetails[Name],A48,tbl_AttendanceDetails[Present (1/0)])</f>
        <v>1</v>
      </c>
      <c r="G48" s="9">
        <f>tbl_AttendanceTracker[[#This Row],[Actual days present]]/tbl_AttendanceTracker[[#This Row],[Total days present]]</f>
        <v>0.2</v>
      </c>
      <c r="H48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49" spans="1:8" x14ac:dyDescent="0.3">
      <c r="A49" s="1" t="s">
        <v>15</v>
      </c>
      <c r="B49" s="3">
        <v>45474</v>
      </c>
      <c r="C49" s="63" t="str">
        <f>_xlfn.XLOOKUP(A49, List1_ContactInfo!A:A, List1_ContactInfo!B:B)</f>
        <v>attendee12@company.com</v>
      </c>
      <c r="D49" t="str">
        <f>_xlfn.XLOOKUP(A49, List2_Department!A:A, List2_Department!B:B)</f>
        <v>Sales</v>
      </c>
      <c r="E49">
        <f t="shared" si="1"/>
        <v>5</v>
      </c>
      <c r="F49">
        <f>SUMIF(tbl_AttendanceDetails[Name],A49,tbl_AttendanceDetails[Present (1/0)])</f>
        <v>0</v>
      </c>
      <c r="G49" s="9">
        <f>tbl_AttendanceTracker[[#This Row],[Actual days present]]/tbl_AttendanceTracker[[#This Row],[Total days present]]</f>
        <v>0</v>
      </c>
      <c r="H49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50" spans="1:8" x14ac:dyDescent="0.3">
      <c r="A50" s="1" t="s">
        <v>31</v>
      </c>
      <c r="B50" s="3">
        <v>45474</v>
      </c>
      <c r="C50" s="63" t="str">
        <f>_xlfn.XLOOKUP(A50, List1_ContactInfo!A:A, List1_ContactInfo!B:B)</f>
        <v>attendee28@company.com</v>
      </c>
      <c r="D50" t="str">
        <f>_xlfn.XLOOKUP(A50, List2_Department!A:A, List2_Department!B:B)</f>
        <v>HR</v>
      </c>
      <c r="E50">
        <f t="shared" si="1"/>
        <v>5</v>
      </c>
      <c r="F50">
        <f>SUMIF(tbl_AttendanceDetails[Name],A50,tbl_AttendanceDetails[Present (1/0)])</f>
        <v>0</v>
      </c>
      <c r="G50" s="9">
        <f>tbl_AttendanceTracker[[#This Row],[Actual days present]]/tbl_AttendanceTracker[[#This Row],[Total days present]]</f>
        <v>0</v>
      </c>
      <c r="H50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  <row r="51" spans="1:8" x14ac:dyDescent="0.3">
      <c r="A51" s="1" t="s">
        <v>51</v>
      </c>
      <c r="B51" s="3">
        <v>45474</v>
      </c>
      <c r="C51" s="63" t="str">
        <f>_xlfn.XLOOKUP(A51, List1_ContactInfo!A:A, List1_ContactInfo!B:B)</f>
        <v>attendee48@company.com</v>
      </c>
      <c r="D51" t="str">
        <f>_xlfn.XLOOKUP(A51, List2_Department!A:A, List2_Department!B:B)</f>
        <v>HR</v>
      </c>
      <c r="E51">
        <f t="shared" si="1"/>
        <v>5</v>
      </c>
      <c r="F51">
        <f>SUMIF(tbl_AttendanceDetails[Name],A51,tbl_AttendanceDetails[Present (1/0)])</f>
        <v>0</v>
      </c>
      <c r="G51" s="9">
        <f>tbl_AttendanceTracker[[#This Row],[Actual days present]]/tbl_AttendanceTracker[[#This Row],[Total days present]]</f>
        <v>0</v>
      </c>
      <c r="H51" s="12" t="str">
        <f>IF(tbl_AttendanceTracker[[#This Row],[Attendance percentage]]&gt;=IF(OR(tbl_AttendanceTracker[[#This Row],[Group/Department]]="IT",tbl_AttendanceTracker[[#This Row],[Group/Department]]="Finance"),40%,80%),"Yes","No")</f>
        <v>No</v>
      </c>
    </row>
  </sheetData>
  <conditionalFormatting sqref="A2:A51">
    <cfRule type="expression" dxfId="9" priority="3">
      <formula>COUNTIF($A$2:$A$51,A2)&gt;1</formula>
    </cfRule>
  </conditionalFormatting>
  <conditionalFormatting sqref="D2:D51">
    <cfRule type="containsText" dxfId="8" priority="4" operator="containsText" text="Marketing">
      <formula>NOT(ISERROR(SEARCH("Marketing",D2)))</formula>
    </cfRule>
    <cfRule type="containsText" dxfId="7" priority="5" operator="containsText" text="Sales">
      <formula>NOT(ISERROR(SEARCH("Sales",D2)))</formula>
    </cfRule>
    <cfRule type="containsText" dxfId="6" priority="6" operator="containsText" text="HR">
      <formula>NOT(ISERROR(SEARCH("HR",D2)))</formula>
    </cfRule>
    <cfRule type="containsText" dxfId="5" priority="7" operator="containsText" text="IT">
      <formula>NOT(ISERROR(SEARCH("IT",D2)))</formula>
    </cfRule>
    <cfRule type="containsText" dxfId="4" priority="8" operator="containsText" text="Finance">
      <formula>NOT(ISERROR(SEARCH("Finance",D2)))</formula>
    </cfRule>
  </conditionalFormatting>
  <conditionalFormatting sqref="F2:F51">
    <cfRule type="colorScale" priority="12">
      <colorScale>
        <cfvo type="min"/>
        <cfvo type="percent" val="50"/>
        <cfvo type="max"/>
        <color rgb="FFF8696B"/>
        <color rgb="FFFFEB84"/>
        <color rgb="FF63BE7B"/>
      </colorScale>
    </cfRule>
  </conditionalFormatting>
  <conditionalFormatting sqref="H2:H51">
    <cfRule type="cellIs" dxfId="3" priority="10" operator="equal">
      <formula>"Yes"</formula>
    </cfRule>
    <cfRule type="cellIs" dxfId="2" priority="1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C597-DC90-4C8C-9095-01BC1BA2AA47}">
  <dimension ref="A1:E9"/>
  <sheetViews>
    <sheetView showGridLines="0" zoomScale="92" workbookViewId="0">
      <selection activeCell="C18" sqref="C18"/>
    </sheetView>
  </sheetViews>
  <sheetFormatPr defaultRowHeight="14.4" x14ac:dyDescent="0.3"/>
  <cols>
    <col min="1" max="1" width="23.5546875" customWidth="1"/>
    <col min="2" max="2" width="18.21875" bestFit="1" customWidth="1"/>
    <col min="3" max="3" width="4.44140625" customWidth="1"/>
    <col min="4" max="4" width="55.5546875" customWidth="1"/>
    <col min="5" max="5" width="35.21875" customWidth="1"/>
  </cols>
  <sheetData>
    <row r="1" spans="1:5" ht="30" customHeight="1" x14ac:dyDescent="0.3">
      <c r="A1" s="65" t="s">
        <v>138</v>
      </c>
      <c r="B1" s="65"/>
      <c r="C1" s="65"/>
      <c r="D1" s="65"/>
      <c r="E1" s="65"/>
    </row>
    <row r="2" spans="1:5" x14ac:dyDescent="0.3">
      <c r="A2" s="14" t="s">
        <v>149</v>
      </c>
      <c r="B2" s="14"/>
      <c r="C2" s="14"/>
      <c r="D2" s="14" t="s">
        <v>150</v>
      </c>
      <c r="E2" s="14"/>
    </row>
    <row r="3" spans="1:5" ht="22.05" customHeight="1" x14ac:dyDescent="0.3">
      <c r="A3" s="15" t="s">
        <v>3</v>
      </c>
      <c r="B3" s="19" t="s">
        <v>137</v>
      </c>
      <c r="D3" s="27" t="s">
        <v>139</v>
      </c>
      <c r="E3" s="28" t="s">
        <v>134</v>
      </c>
    </row>
    <row r="4" spans="1:5" ht="22.05" customHeight="1" x14ac:dyDescent="0.3">
      <c r="A4" s="16" t="s">
        <v>116</v>
      </c>
      <c r="B4" s="20">
        <v>0.48</v>
      </c>
      <c r="D4" s="26" t="s">
        <v>140</v>
      </c>
      <c r="E4" s="26" t="str">
        <f>INDEX(A4:A8,MATCH(MAX(B4:B8),B4:B8,0))&amp;" ("&amp;TEXT(MAX(B4:B8),"0.0%")&amp;")"</f>
        <v>IT (54.0%)</v>
      </c>
    </row>
    <row r="5" spans="1:5" ht="22.05" customHeight="1" x14ac:dyDescent="0.3">
      <c r="A5" s="17" t="s">
        <v>112</v>
      </c>
      <c r="B5" s="21">
        <v>0.48000000000000009</v>
      </c>
      <c r="D5" s="24" t="s">
        <v>141</v>
      </c>
      <c r="E5" s="24" t="str" cm="1">
        <f t="array" ref="E5">_xlfn.TEXTJOIN(", ",TRUE,IF(tbl_AttendanceTracker[Attendance percentage]=MAX(tbl_AttendanceTracker[Attendance percentage]),tbl_AttendanceTracker[Name],""))&amp;" ("&amp;TEXT(MAX(tbl_AttendanceTracker[Attendance percentage]),"0.0%")&amp;")"</f>
        <v>Attendee 33 (100.0%)</v>
      </c>
    </row>
    <row r="6" spans="1:5" ht="22.05" customHeight="1" x14ac:dyDescent="0.3">
      <c r="A6" s="16" t="s">
        <v>114</v>
      </c>
      <c r="B6" s="20">
        <v>0.54000000000000015</v>
      </c>
      <c r="D6" s="23" t="s">
        <v>142</v>
      </c>
      <c r="E6" s="23">
        <f>COUNTIF(tbl_AttendanceTracker[Actual days present],1)</f>
        <v>4</v>
      </c>
    </row>
    <row r="7" spans="1:5" ht="22.05" customHeight="1" x14ac:dyDescent="0.3">
      <c r="A7" s="17" t="s">
        <v>107</v>
      </c>
      <c r="B7" s="21">
        <v>0.52</v>
      </c>
      <c r="D7" s="24" t="s">
        <v>143</v>
      </c>
      <c r="E7" s="25">
        <f>COUNTIF(tbl_AttendanceTracker[Attendance requirement met],"Yes")/COUNTA(tbl_AttendanceTracker[Name])</f>
        <v>0.48</v>
      </c>
    </row>
    <row r="8" spans="1:5" ht="21.6" customHeight="1" x14ac:dyDescent="0.3">
      <c r="A8" s="16" t="s">
        <v>110</v>
      </c>
      <c r="B8" s="20">
        <v>0.52</v>
      </c>
    </row>
    <row r="9" spans="1:5" ht="21.6" customHeight="1" x14ac:dyDescent="0.3">
      <c r="A9" s="18" t="s">
        <v>130</v>
      </c>
      <c r="B9" s="22">
        <v>0.50800000000000001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3485-160E-402E-BD86-045FC9138C69}">
  <dimension ref="A1:AC51"/>
  <sheetViews>
    <sheetView showGridLines="0" zoomScale="76" workbookViewId="0">
      <pane ySplit="1" topLeftCell="A2" activePane="bottomLeft" state="frozen"/>
      <selection pane="bottomLeft" activeCell="H13" sqref="H13"/>
    </sheetView>
  </sheetViews>
  <sheetFormatPr defaultRowHeight="14.4" outlineLevelCol="1" x14ac:dyDescent="0.3"/>
  <cols>
    <col min="1" max="8" width="20" customWidth="1"/>
    <col min="10" max="12" width="8.88671875" customWidth="1"/>
    <col min="26" max="28" width="0" hidden="1" customWidth="1" outlineLevel="1"/>
    <col min="29" max="29" width="8.88671875" collapsed="1"/>
  </cols>
  <sheetData>
    <row r="1" spans="1:28" ht="30" customHeight="1" x14ac:dyDescent="0.3">
      <c r="A1" s="65" t="s">
        <v>151</v>
      </c>
      <c r="B1" s="65"/>
      <c r="C1" s="65"/>
      <c r="D1" s="65"/>
      <c r="E1" s="65"/>
      <c r="F1" s="65"/>
      <c r="G1" s="65"/>
      <c r="H1" s="65"/>
      <c r="Z1" s="62" t="s">
        <v>168</v>
      </c>
    </row>
    <row r="2" spans="1:28" x14ac:dyDescent="0.3">
      <c r="Z2" t="str">
        <f>'Attendance tracker'!A2</f>
        <v>Attendee 33</v>
      </c>
      <c r="AA2" t="str">
        <f>'Attendance tracker'!D2</f>
        <v>HR</v>
      </c>
      <c r="AB2">
        <f>'Attendance tracker'!G2</f>
        <v>1</v>
      </c>
    </row>
    <row r="3" spans="1:28" x14ac:dyDescent="0.3">
      <c r="A3" s="14" t="s">
        <v>152</v>
      </c>
      <c r="B3" s="14"/>
      <c r="C3" s="14"/>
      <c r="D3" s="14"/>
      <c r="E3" s="14"/>
      <c r="F3" s="14"/>
      <c r="G3" s="14"/>
      <c r="H3" s="14"/>
      <c r="Z3" t="str">
        <f>'Attendance tracker'!A3</f>
        <v>Attendee 7</v>
      </c>
      <c r="AA3" t="str">
        <f>'Attendance tracker'!D3</f>
        <v>Sales</v>
      </c>
      <c r="AB3">
        <f>'Attendance tracker'!G3</f>
        <v>0.8</v>
      </c>
    </row>
    <row r="4" spans="1:28" x14ac:dyDescent="0.3">
      <c r="A4" s="66" t="s">
        <v>153</v>
      </c>
      <c r="B4" s="67"/>
      <c r="C4" s="47" t="s">
        <v>154</v>
      </c>
      <c r="D4" s="48"/>
      <c r="E4" s="47" t="s">
        <v>155</v>
      </c>
      <c r="F4" s="48"/>
      <c r="G4" s="47" t="s">
        <v>156</v>
      </c>
      <c r="H4" s="49"/>
      <c r="Z4" t="str">
        <f>'Attendance tracker'!A4</f>
        <v>Attendee 9</v>
      </c>
      <c r="AA4" t="str">
        <f>'Attendance tracker'!D4</f>
        <v>IT</v>
      </c>
      <c r="AB4">
        <f>'Attendance tracker'!G4</f>
        <v>0.8</v>
      </c>
    </row>
    <row r="5" spans="1:28" ht="25.8" x14ac:dyDescent="0.3">
      <c r="A5" s="68">
        <f>SUM(tbl_AttendanceTracker[Actual days present])/SUM(tbl_AttendanceTracker[Total days present])</f>
        <v>0.50800000000000001</v>
      </c>
      <c r="B5" s="69"/>
      <c r="C5" s="46">
        <f>COUNTIF(tbl_AttendanceTracker[Attendance requirement met],"Yes")/COUNTA(tbl_AttendanceTracker[Name])</f>
        <v>0.48</v>
      </c>
      <c r="D5" s="45"/>
      <c r="E5" s="50">
        <f>COUNTIF(tbl_AttendanceTracker[Actual days present],5)</f>
        <v>1</v>
      </c>
      <c r="F5" s="51"/>
      <c r="G5" s="52">
        <f>AVERAGE(tbl_AttendanceTracker[Actual days present])</f>
        <v>2.54</v>
      </c>
      <c r="H5" s="53"/>
      <c r="Z5" t="str">
        <f>'Attendance tracker'!A5</f>
        <v>Attendee 27</v>
      </c>
      <c r="AA5" t="str">
        <f>'Attendance tracker'!D5</f>
        <v>Sales</v>
      </c>
      <c r="AB5">
        <f>'Attendance tracker'!G5</f>
        <v>0.8</v>
      </c>
    </row>
    <row r="6" spans="1:28" x14ac:dyDescent="0.3">
      <c r="Z6" t="str">
        <f>'Attendance tracker'!A6</f>
        <v>Attendee 30</v>
      </c>
      <c r="AA6" t="str">
        <f>'Attendance tracker'!D6</f>
        <v>Finance</v>
      </c>
      <c r="AB6">
        <f>'Attendance tracker'!G6</f>
        <v>0.8</v>
      </c>
    </row>
    <row r="7" spans="1:28" x14ac:dyDescent="0.3">
      <c r="A7" s="14" t="s">
        <v>157</v>
      </c>
      <c r="Z7" t="str">
        <f>'Attendance tracker'!A7</f>
        <v>Attendee 37</v>
      </c>
      <c r="AA7" t="str">
        <f>'Attendance tracker'!D7</f>
        <v>Sales</v>
      </c>
      <c r="AB7">
        <f>'Attendance tracker'!G7</f>
        <v>0.8</v>
      </c>
    </row>
    <row r="8" spans="1:28" x14ac:dyDescent="0.3">
      <c r="A8" s="33" t="s">
        <v>109</v>
      </c>
      <c r="B8" s="33" t="s">
        <v>105</v>
      </c>
      <c r="C8" s="33" t="s">
        <v>158</v>
      </c>
      <c r="D8" s="33" t="s">
        <v>159</v>
      </c>
      <c r="E8" s="33" t="s">
        <v>160</v>
      </c>
      <c r="F8" s="33" t="s">
        <v>161</v>
      </c>
      <c r="Z8" t="str">
        <f>'Attendance tracker'!A8</f>
        <v>Attendee 39</v>
      </c>
      <c r="AA8" t="str">
        <f>'Attendance tracker'!D8</f>
        <v>IT</v>
      </c>
      <c r="AB8">
        <f>'Attendance tracker'!G8</f>
        <v>0.8</v>
      </c>
    </row>
    <row r="9" spans="1:28" x14ac:dyDescent="0.3">
      <c r="A9" s="58" t="s">
        <v>111</v>
      </c>
      <c r="B9" s="34" t="s">
        <v>107</v>
      </c>
      <c r="C9" s="54">
        <v>0.8</v>
      </c>
      <c r="D9" s="55">
        <f>AVERAGEIF(tbl_AttendanceTracker[Group/Department],B9,tbl_AttendanceTracker[Attendance percentage])</f>
        <v>0.52000000000000013</v>
      </c>
      <c r="E9" s="34">
        <f>COUNTIF(tbl_AttendanceTracker[Group/Department],B9)</f>
        <v>10</v>
      </c>
      <c r="F9" s="55">
        <f>COUNTIFS(tbl_AttendanceTracker[Group/Department],B9,tbl_AttendanceTracker[Attendance requirement met],"Yes")/E9</f>
        <v>0.1</v>
      </c>
      <c r="Z9" t="str">
        <f>'Attendance tracker'!A9</f>
        <v>Attendee 41</v>
      </c>
      <c r="AA9" t="str">
        <f>'Attendance tracker'!D9</f>
        <v>Marketing</v>
      </c>
      <c r="AB9">
        <f>'Attendance tracker'!G9</f>
        <v>0.8</v>
      </c>
    </row>
    <row r="10" spans="1:28" x14ac:dyDescent="0.3">
      <c r="A10" s="59" t="s">
        <v>113</v>
      </c>
      <c r="B10" s="32" t="s">
        <v>110</v>
      </c>
      <c r="C10" s="56">
        <v>0.8</v>
      </c>
      <c r="D10" s="57">
        <f>AVERAGEIF(tbl_AttendanceTracker[Group/Department],B10,tbl_AttendanceTracker[Attendance percentage])</f>
        <v>0.52000000000000013</v>
      </c>
      <c r="E10" s="32">
        <f>COUNTIF(tbl_AttendanceTracker[Group/Department],B10)</f>
        <v>10</v>
      </c>
      <c r="F10" s="57">
        <f>COUNTIFS(tbl_AttendanceTracker[Group/Department],B10,tbl_AttendanceTracker[Attendance requirement met],"Yes")/E10</f>
        <v>0.4</v>
      </c>
      <c r="Z10" t="str">
        <f>'Attendance tracker'!A10</f>
        <v>Attendee 47</v>
      </c>
      <c r="AA10" t="str">
        <f>'Attendance tracker'!D10</f>
        <v>Sales</v>
      </c>
      <c r="AB10">
        <f>'Attendance tracker'!G10</f>
        <v>0.8</v>
      </c>
    </row>
    <row r="11" spans="1:28" x14ac:dyDescent="0.3">
      <c r="A11" s="58" t="s">
        <v>115</v>
      </c>
      <c r="B11" s="34" t="s">
        <v>112</v>
      </c>
      <c r="C11" s="54">
        <v>0.8</v>
      </c>
      <c r="D11" s="55">
        <f>AVERAGEIF(tbl_AttendanceTracker[Group/Department],B11,tbl_AttendanceTracker[Attendance percentage])</f>
        <v>0.48000000000000009</v>
      </c>
      <c r="E11" s="34">
        <f>COUNTIF(tbl_AttendanceTracker[Group/Department],B11)</f>
        <v>10</v>
      </c>
      <c r="F11" s="55">
        <f>COUNTIFS(tbl_AttendanceTracker[Group/Department],B11,tbl_AttendanceTracker[Attendance requirement met],"Yes")/E11</f>
        <v>0.1</v>
      </c>
      <c r="Z11" t="str">
        <f>'Attendance tracker'!A11</f>
        <v>Attendee 2</v>
      </c>
      <c r="AA11" t="str">
        <f>'Attendance tracker'!D11</f>
        <v>Sales</v>
      </c>
      <c r="AB11">
        <f>'Attendance tracker'!G11</f>
        <v>0.6</v>
      </c>
    </row>
    <row r="12" spans="1:28" x14ac:dyDescent="0.3">
      <c r="A12" s="59" t="s">
        <v>117</v>
      </c>
      <c r="B12" s="32" t="s">
        <v>114</v>
      </c>
      <c r="C12" s="56">
        <v>0.4</v>
      </c>
      <c r="D12" s="57">
        <f>AVERAGEIF(tbl_AttendanceTracker[Group/Department],B12,tbl_AttendanceTracker[Attendance percentage])</f>
        <v>0.54000000000000015</v>
      </c>
      <c r="E12" s="32">
        <f>COUNTIF(tbl_AttendanceTracker[Group/Department],B12)</f>
        <v>10</v>
      </c>
      <c r="F12" s="57">
        <f>COUNTIFS(tbl_AttendanceTracker[Group/Department],B12,tbl_AttendanceTracker[Attendance requirement met],"Yes")/E12</f>
        <v>1</v>
      </c>
      <c r="Z12" t="str">
        <f>'Attendance tracker'!A12</f>
        <v>Attendee 5</v>
      </c>
      <c r="AA12" t="str">
        <f>'Attendance tracker'!D12</f>
        <v>Finance</v>
      </c>
      <c r="AB12">
        <f>'Attendance tracker'!G12</f>
        <v>0.6</v>
      </c>
    </row>
    <row r="13" spans="1:28" x14ac:dyDescent="0.3">
      <c r="A13" s="58" t="s">
        <v>118</v>
      </c>
      <c r="B13" s="34" t="s">
        <v>116</v>
      </c>
      <c r="C13" s="54">
        <v>0.4</v>
      </c>
      <c r="D13" s="55">
        <f>AVERAGEIF(tbl_AttendanceTracker[Group/Department],B13,tbl_AttendanceTracker[Attendance percentage])</f>
        <v>0.48000000000000009</v>
      </c>
      <c r="E13" s="34">
        <f>COUNTIF(tbl_AttendanceTracker[Group/Department],B13)</f>
        <v>10</v>
      </c>
      <c r="F13" s="55">
        <f>COUNTIFS(tbl_AttendanceTracker[Group/Department],B13,tbl_AttendanceTracker[Attendance requirement met],"Yes")/E13</f>
        <v>0.8</v>
      </c>
      <c r="Z13" t="str">
        <f>'Attendance tracker'!A13</f>
        <v>Attendee 6</v>
      </c>
      <c r="AA13" t="str">
        <f>'Attendance tracker'!D13</f>
        <v>Marketing</v>
      </c>
      <c r="AB13">
        <f>'Attendance tracker'!G13</f>
        <v>0.6</v>
      </c>
    </row>
    <row r="14" spans="1:28" x14ac:dyDescent="0.3">
      <c r="Z14" t="str">
        <f>'Attendance tracker'!A14</f>
        <v>Attendee 8</v>
      </c>
      <c r="AA14" t="str">
        <f>'Attendance tracker'!D14</f>
        <v>HR</v>
      </c>
      <c r="AB14">
        <f>'Attendance tracker'!G14</f>
        <v>0.6</v>
      </c>
    </row>
    <row r="15" spans="1:28" x14ac:dyDescent="0.3">
      <c r="A15" s="14" t="s">
        <v>162</v>
      </c>
      <c r="B15" s="13"/>
      <c r="C15" s="13"/>
      <c r="D15" s="13"/>
      <c r="E15" s="13"/>
      <c r="F15" s="13"/>
      <c r="G15" s="13"/>
      <c r="H15" s="13"/>
      <c r="Z15" t="str">
        <f>'Attendance tracker'!A15</f>
        <v>Attendee 11</v>
      </c>
      <c r="AA15" t="str">
        <f>'Attendance tracker'!D15</f>
        <v>Marketing</v>
      </c>
      <c r="AB15">
        <f>'Attendance tracker'!G15</f>
        <v>0.6</v>
      </c>
    </row>
    <row r="16" spans="1:28" x14ac:dyDescent="0.3">
      <c r="A16" s="33" t="s">
        <v>163</v>
      </c>
      <c r="B16" s="33" t="s">
        <v>164</v>
      </c>
      <c r="C16" s="33" t="s">
        <v>165</v>
      </c>
      <c r="Z16" t="str">
        <f>'Attendance tracker'!A16</f>
        <v>Attendee 13</v>
      </c>
      <c r="AA16" t="str">
        <f>'Attendance tracker'!D16</f>
        <v>HR</v>
      </c>
      <c r="AB16">
        <f>'Attendance tracker'!G16</f>
        <v>0.6</v>
      </c>
    </row>
    <row r="17" spans="1:28" x14ac:dyDescent="0.3">
      <c r="A17" s="58">
        <v>0</v>
      </c>
      <c r="B17" s="34">
        <f>COUNTIF(tbl_AttendanceTracker[Actual days present],A17)</f>
        <v>3</v>
      </c>
      <c r="C17" s="55">
        <f>B17/SUM($B$17:$B$22)</f>
        <v>0.06</v>
      </c>
      <c r="Z17" t="str">
        <f>'Attendance tracker'!A17</f>
        <v>Attendee 14</v>
      </c>
      <c r="AA17" t="str">
        <f>'Attendance tracker'!D17</f>
        <v>IT</v>
      </c>
      <c r="AB17">
        <f>'Attendance tracker'!G17</f>
        <v>0.6</v>
      </c>
    </row>
    <row r="18" spans="1:28" x14ac:dyDescent="0.3">
      <c r="A18" s="59">
        <v>1</v>
      </c>
      <c r="B18" s="32">
        <f>COUNTIF(tbl_AttendanceTracker[Actual days present],A18)</f>
        <v>4</v>
      </c>
      <c r="C18" s="57">
        <f t="shared" ref="C18:C22" si="0">B18/SUM($B$17:$B$22)</f>
        <v>0.08</v>
      </c>
      <c r="Z18" t="str">
        <f>'Attendance tracker'!A18</f>
        <v>Attendee 15</v>
      </c>
      <c r="AA18" t="str">
        <f>'Attendance tracker'!D18</f>
        <v>Finance</v>
      </c>
      <c r="AB18">
        <f>'Attendance tracker'!G18</f>
        <v>0.6</v>
      </c>
    </row>
    <row r="19" spans="1:28" x14ac:dyDescent="0.3">
      <c r="A19" s="58">
        <v>2</v>
      </c>
      <c r="B19" s="34">
        <f>COUNTIF(tbl_AttendanceTracker[Actual days present],A19)</f>
        <v>16</v>
      </c>
      <c r="C19" s="55">
        <f t="shared" si="0"/>
        <v>0.32</v>
      </c>
      <c r="Z19" t="str">
        <f>'Attendance tracker'!A19</f>
        <v>Attendee 17</v>
      </c>
      <c r="AA19" t="str">
        <f>'Attendance tracker'!D19</f>
        <v>Sales</v>
      </c>
      <c r="AB19">
        <f>'Attendance tracker'!G19</f>
        <v>0.6</v>
      </c>
    </row>
    <row r="20" spans="1:28" x14ac:dyDescent="0.3">
      <c r="A20" s="59">
        <v>3</v>
      </c>
      <c r="B20" s="32">
        <f>COUNTIF(tbl_AttendanceTracker[Actual days present],A20)</f>
        <v>18</v>
      </c>
      <c r="C20" s="57">
        <f t="shared" si="0"/>
        <v>0.36</v>
      </c>
      <c r="Z20" t="str">
        <f>'Attendance tracker'!A20</f>
        <v>Attendee 18</v>
      </c>
      <c r="AA20" t="str">
        <f>'Attendance tracker'!D20</f>
        <v>HR</v>
      </c>
      <c r="AB20">
        <f>'Attendance tracker'!G20</f>
        <v>0.6</v>
      </c>
    </row>
    <row r="21" spans="1:28" x14ac:dyDescent="0.3">
      <c r="A21" s="58">
        <v>4</v>
      </c>
      <c r="B21" s="34">
        <f>COUNTIF(tbl_AttendanceTracker[Actual days present],A21)</f>
        <v>8</v>
      </c>
      <c r="C21" s="55">
        <f t="shared" si="0"/>
        <v>0.16</v>
      </c>
      <c r="Z21" t="str">
        <f>'Attendance tracker'!A21</f>
        <v>Attendee 19</v>
      </c>
      <c r="AA21" t="str">
        <f>'Attendance tracker'!D21</f>
        <v>IT</v>
      </c>
      <c r="AB21">
        <f>'Attendance tracker'!G21</f>
        <v>0.6</v>
      </c>
    </row>
    <row r="22" spans="1:28" x14ac:dyDescent="0.3">
      <c r="A22" s="59">
        <v>5</v>
      </c>
      <c r="B22" s="32">
        <f>COUNTIF(tbl_AttendanceTracker[Actual days present],A22)</f>
        <v>1</v>
      </c>
      <c r="C22" s="57">
        <f t="shared" si="0"/>
        <v>0.02</v>
      </c>
      <c r="Z22" t="str">
        <f>'Attendance tracker'!A22</f>
        <v>Attendee 21</v>
      </c>
      <c r="AA22" t="str">
        <f>'Attendance tracker'!D22</f>
        <v>Marketing</v>
      </c>
      <c r="AB22">
        <f>'Attendance tracker'!G22</f>
        <v>0.6</v>
      </c>
    </row>
    <row r="23" spans="1:28" x14ac:dyDescent="0.3">
      <c r="Z23" t="str">
        <f>'Attendance tracker'!A23</f>
        <v>Attendee 23</v>
      </c>
      <c r="AA23" t="str">
        <f>'Attendance tracker'!D23</f>
        <v>HR</v>
      </c>
      <c r="AB23">
        <f>'Attendance tracker'!G23</f>
        <v>0.6</v>
      </c>
    </row>
    <row r="24" spans="1:28" x14ac:dyDescent="0.3">
      <c r="A24" s="14" t="s">
        <v>166</v>
      </c>
      <c r="Z24" t="str">
        <f>'Attendance tracker'!A24</f>
        <v>Attendee 29</v>
      </c>
      <c r="AA24" t="str">
        <f>'Attendance tracker'!D24</f>
        <v>IT</v>
      </c>
      <c r="AB24">
        <f>'Attendance tracker'!G24</f>
        <v>0.6</v>
      </c>
    </row>
    <row r="25" spans="1:28" x14ac:dyDescent="0.3">
      <c r="A25" s="33" t="s">
        <v>0</v>
      </c>
      <c r="B25" s="33" t="s">
        <v>105</v>
      </c>
      <c r="C25" s="33" t="s">
        <v>167</v>
      </c>
      <c r="Z25" t="str">
        <f>'Attendance tracker'!A25</f>
        <v>Attendee 35</v>
      </c>
      <c r="AA25" t="str">
        <f>'Attendance tracker'!D25</f>
        <v>Finance</v>
      </c>
      <c r="AB25">
        <f>'Attendance tracker'!G25</f>
        <v>0.6</v>
      </c>
    </row>
    <row r="26" spans="1:28" x14ac:dyDescent="0.3">
      <c r="A26" s="60" t="str" cm="1">
        <f t="array" ref="A26:C51">_xlfn._xlws.SORT(_xlfn._xlws.FILTER(Z2:AB51,'Attendance tracker'!H2:H51="No"),3,1)</f>
        <v>Attendee 12</v>
      </c>
      <c r="B26" s="34" t="str">
        <v>Sales</v>
      </c>
      <c r="C26" s="55">
        <v>0</v>
      </c>
      <c r="Z26" t="str">
        <f>'Attendance tracker'!A26</f>
        <v>Attendee 36</v>
      </c>
      <c r="AA26" t="str">
        <f>'Attendance tracker'!D26</f>
        <v>Marketing</v>
      </c>
      <c r="AB26">
        <f>'Attendance tracker'!G26</f>
        <v>0.6</v>
      </c>
    </row>
    <row r="27" spans="1:28" x14ac:dyDescent="0.3">
      <c r="A27" s="61" t="str">
        <v>Attendee 28</v>
      </c>
      <c r="B27" s="32" t="str">
        <v>HR</v>
      </c>
      <c r="C27" s="57">
        <v>0</v>
      </c>
      <c r="Z27" t="str">
        <f>'Attendance tracker'!A27</f>
        <v>Attendee 38</v>
      </c>
      <c r="AA27" t="str">
        <f>'Attendance tracker'!D27</f>
        <v>HR</v>
      </c>
      <c r="AB27">
        <f>'Attendance tracker'!G27</f>
        <v>0.6</v>
      </c>
    </row>
    <row r="28" spans="1:28" x14ac:dyDescent="0.3">
      <c r="A28" s="60" t="str">
        <v>Attendee 48</v>
      </c>
      <c r="B28" s="34" t="str">
        <v>HR</v>
      </c>
      <c r="C28" s="55">
        <v>0</v>
      </c>
      <c r="Z28" t="str">
        <f>'Attendance tracker'!A28</f>
        <v>Attendee 45</v>
      </c>
      <c r="AA28" t="str">
        <f>'Attendance tracker'!D28</f>
        <v>Finance</v>
      </c>
      <c r="AB28">
        <f>'Attendance tracker'!G28</f>
        <v>0.6</v>
      </c>
    </row>
    <row r="29" spans="1:28" x14ac:dyDescent="0.3">
      <c r="A29" s="61" t="str">
        <v>Attendee 22</v>
      </c>
      <c r="B29" s="32" t="str">
        <v>Sales</v>
      </c>
      <c r="C29" s="57">
        <v>0.2</v>
      </c>
      <c r="Z29" t="str">
        <f>'Attendance tracker'!A29</f>
        <v>Attendee 1</v>
      </c>
      <c r="AA29" t="str">
        <f>'Attendance tracker'!D29</f>
        <v>Marketing</v>
      </c>
      <c r="AB29">
        <f>'Attendance tracker'!G29</f>
        <v>0.4</v>
      </c>
    </row>
    <row r="30" spans="1:28" x14ac:dyDescent="0.3">
      <c r="A30" s="60" t="str">
        <v>Attendee 40</v>
      </c>
      <c r="B30" s="34" t="str">
        <v>Finance</v>
      </c>
      <c r="C30" s="55">
        <v>0.2</v>
      </c>
      <c r="Z30" t="str">
        <f>'Attendance tracker'!A30</f>
        <v>Attendee 3</v>
      </c>
      <c r="AA30" t="str">
        <f>'Attendance tracker'!D30</f>
        <v>HR</v>
      </c>
      <c r="AB30">
        <f>'Attendance tracker'!G30</f>
        <v>0.4</v>
      </c>
    </row>
    <row r="31" spans="1:28" x14ac:dyDescent="0.3">
      <c r="A31" s="61" t="str">
        <v>Attendee 42</v>
      </c>
      <c r="B31" s="32" t="str">
        <v>Sales</v>
      </c>
      <c r="C31" s="57">
        <v>0.2</v>
      </c>
      <c r="Z31" t="str">
        <f>'Attendance tracker'!A31</f>
        <v>Attendee 4</v>
      </c>
      <c r="AA31" t="str">
        <f>'Attendance tracker'!D31</f>
        <v>IT</v>
      </c>
      <c r="AB31">
        <f>'Attendance tracker'!G31</f>
        <v>0.4</v>
      </c>
    </row>
    <row r="32" spans="1:28" x14ac:dyDescent="0.3">
      <c r="A32" s="60" t="str">
        <v>Attendee 50</v>
      </c>
      <c r="B32" s="34" t="str">
        <v>Finance</v>
      </c>
      <c r="C32" s="55">
        <v>0.2</v>
      </c>
      <c r="Z32" t="str">
        <f>'Attendance tracker'!A32</f>
        <v>Attendee 10</v>
      </c>
      <c r="AA32" t="str">
        <f>'Attendance tracker'!D32</f>
        <v>Finance</v>
      </c>
      <c r="AB32">
        <f>'Attendance tracker'!G32</f>
        <v>0.4</v>
      </c>
    </row>
    <row r="33" spans="1:28" x14ac:dyDescent="0.3">
      <c r="A33" s="61" t="str">
        <v>Attendee 1</v>
      </c>
      <c r="B33" s="32" t="str">
        <v>Marketing</v>
      </c>
      <c r="C33" s="57">
        <v>0.4</v>
      </c>
      <c r="Z33" t="str">
        <f>'Attendance tracker'!A33</f>
        <v>Attendee 16</v>
      </c>
      <c r="AA33" t="str">
        <f>'Attendance tracker'!D33</f>
        <v>Marketing</v>
      </c>
      <c r="AB33">
        <f>'Attendance tracker'!G33</f>
        <v>0.4</v>
      </c>
    </row>
    <row r="34" spans="1:28" x14ac:dyDescent="0.3">
      <c r="A34" s="60" t="str">
        <v>Attendee 3</v>
      </c>
      <c r="B34" s="34" t="str">
        <v>HR</v>
      </c>
      <c r="C34" s="55">
        <v>0.4</v>
      </c>
      <c r="Z34" t="str">
        <f>'Attendance tracker'!A34</f>
        <v>Attendee 20</v>
      </c>
      <c r="AA34" t="str">
        <f>'Attendance tracker'!D34</f>
        <v>Finance</v>
      </c>
      <c r="AB34">
        <f>'Attendance tracker'!G34</f>
        <v>0.4</v>
      </c>
    </row>
    <row r="35" spans="1:28" x14ac:dyDescent="0.3">
      <c r="A35" s="61" t="str">
        <v>Attendee 16</v>
      </c>
      <c r="B35" s="32" t="str">
        <v>Marketing</v>
      </c>
      <c r="C35" s="57">
        <v>0.4</v>
      </c>
      <c r="Z35" t="str">
        <f>'Attendance tracker'!A35</f>
        <v>Attendee 24</v>
      </c>
      <c r="AA35" t="str">
        <f>'Attendance tracker'!D35</f>
        <v>IT</v>
      </c>
      <c r="AB35">
        <f>'Attendance tracker'!G35</f>
        <v>0.4</v>
      </c>
    </row>
    <row r="36" spans="1:28" x14ac:dyDescent="0.3">
      <c r="A36" s="60" t="str">
        <v>Attendee 26</v>
      </c>
      <c r="B36" s="34" t="str">
        <v>Marketing</v>
      </c>
      <c r="C36" s="55">
        <v>0.4</v>
      </c>
      <c r="Z36" t="str">
        <f>'Attendance tracker'!A36</f>
        <v>Attendee 25</v>
      </c>
      <c r="AA36" t="str">
        <f>'Attendance tracker'!D36</f>
        <v>Finance</v>
      </c>
      <c r="AB36">
        <f>'Attendance tracker'!G36</f>
        <v>0.4</v>
      </c>
    </row>
    <row r="37" spans="1:28" x14ac:dyDescent="0.3">
      <c r="A37" s="61" t="str">
        <v>Attendee 31</v>
      </c>
      <c r="B37" s="32" t="str">
        <v>Marketing</v>
      </c>
      <c r="C37" s="57">
        <v>0.4</v>
      </c>
      <c r="Z37" t="str">
        <f>'Attendance tracker'!A37</f>
        <v>Attendee 26</v>
      </c>
      <c r="AA37" t="str">
        <f>'Attendance tracker'!D37</f>
        <v>Marketing</v>
      </c>
      <c r="AB37">
        <f>'Attendance tracker'!G37</f>
        <v>0.4</v>
      </c>
    </row>
    <row r="38" spans="1:28" x14ac:dyDescent="0.3">
      <c r="A38" s="60" t="str">
        <v>Attendee 32</v>
      </c>
      <c r="B38" s="34" t="str">
        <v>Sales</v>
      </c>
      <c r="C38" s="55">
        <v>0.4</v>
      </c>
      <c r="Z38" t="str">
        <f>'Attendance tracker'!A38</f>
        <v>Attendee 31</v>
      </c>
      <c r="AA38" t="str">
        <f>'Attendance tracker'!D38</f>
        <v>Marketing</v>
      </c>
      <c r="AB38">
        <f>'Attendance tracker'!G38</f>
        <v>0.4</v>
      </c>
    </row>
    <row r="39" spans="1:28" x14ac:dyDescent="0.3">
      <c r="A39" s="61" t="str">
        <v>Attendee 43</v>
      </c>
      <c r="B39" s="32" t="str">
        <v>HR</v>
      </c>
      <c r="C39" s="57">
        <v>0.4</v>
      </c>
      <c r="Z39" t="str">
        <f>'Attendance tracker'!A39</f>
        <v>Attendee 32</v>
      </c>
      <c r="AA39" t="str">
        <f>'Attendance tracker'!D39</f>
        <v>Sales</v>
      </c>
      <c r="AB39">
        <f>'Attendance tracker'!G39</f>
        <v>0.4</v>
      </c>
    </row>
    <row r="40" spans="1:28" x14ac:dyDescent="0.3">
      <c r="A40" s="60" t="str">
        <v>Attendee 46</v>
      </c>
      <c r="B40" s="34" t="str">
        <v>Marketing</v>
      </c>
      <c r="C40" s="55">
        <v>0.4</v>
      </c>
      <c r="Z40" t="str">
        <f>'Attendance tracker'!A40</f>
        <v>Attendee 34</v>
      </c>
      <c r="AA40" t="str">
        <f>'Attendance tracker'!D40</f>
        <v>IT</v>
      </c>
      <c r="AB40">
        <f>'Attendance tracker'!G40</f>
        <v>0.4</v>
      </c>
    </row>
    <row r="41" spans="1:28" x14ac:dyDescent="0.3">
      <c r="A41" s="61" t="str">
        <v>Attendee 2</v>
      </c>
      <c r="B41" s="32" t="str">
        <v>Sales</v>
      </c>
      <c r="C41" s="57">
        <v>0.6</v>
      </c>
      <c r="Z41" t="str">
        <f>'Attendance tracker'!A41</f>
        <v>Attendee 43</v>
      </c>
      <c r="AA41" t="str">
        <f>'Attendance tracker'!D41</f>
        <v>HR</v>
      </c>
      <c r="AB41">
        <f>'Attendance tracker'!G41</f>
        <v>0.4</v>
      </c>
    </row>
    <row r="42" spans="1:28" x14ac:dyDescent="0.3">
      <c r="A42" s="60" t="str">
        <v>Attendee 6</v>
      </c>
      <c r="B42" s="34" t="str">
        <v>Marketing</v>
      </c>
      <c r="C42" s="55">
        <v>0.6</v>
      </c>
      <c r="Z42" t="str">
        <f>'Attendance tracker'!A42</f>
        <v>Attendee 44</v>
      </c>
      <c r="AA42" t="str">
        <f>'Attendance tracker'!D42</f>
        <v>IT</v>
      </c>
      <c r="AB42">
        <f>'Attendance tracker'!G42</f>
        <v>0.4</v>
      </c>
    </row>
    <row r="43" spans="1:28" x14ac:dyDescent="0.3">
      <c r="A43" s="61" t="str">
        <v>Attendee 8</v>
      </c>
      <c r="B43" s="32" t="str">
        <v>HR</v>
      </c>
      <c r="C43" s="57">
        <v>0.6</v>
      </c>
      <c r="Z43" t="str">
        <f>'Attendance tracker'!A43</f>
        <v>Attendee 46</v>
      </c>
      <c r="AA43" t="str">
        <f>'Attendance tracker'!D43</f>
        <v>Marketing</v>
      </c>
      <c r="AB43">
        <f>'Attendance tracker'!G43</f>
        <v>0.4</v>
      </c>
    </row>
    <row r="44" spans="1:28" x14ac:dyDescent="0.3">
      <c r="A44" s="60" t="str">
        <v>Attendee 11</v>
      </c>
      <c r="B44" s="34" t="str">
        <v>Marketing</v>
      </c>
      <c r="C44" s="55">
        <v>0.6</v>
      </c>
      <c r="Z44" t="str">
        <f>'Attendance tracker'!A44</f>
        <v>Attendee 49</v>
      </c>
      <c r="AA44" t="str">
        <f>'Attendance tracker'!D44</f>
        <v>IT</v>
      </c>
      <c r="AB44">
        <f>'Attendance tracker'!G44</f>
        <v>0.4</v>
      </c>
    </row>
    <row r="45" spans="1:28" x14ac:dyDescent="0.3">
      <c r="A45" s="61" t="str">
        <v>Attendee 13</v>
      </c>
      <c r="B45" s="32" t="str">
        <v>HR</v>
      </c>
      <c r="C45" s="57">
        <v>0.6</v>
      </c>
      <c r="Z45" t="str">
        <f>'Attendance tracker'!A45</f>
        <v>Attendee 22</v>
      </c>
      <c r="AA45" t="str">
        <f>'Attendance tracker'!D45</f>
        <v>Sales</v>
      </c>
      <c r="AB45">
        <f>'Attendance tracker'!G45</f>
        <v>0.2</v>
      </c>
    </row>
    <row r="46" spans="1:28" x14ac:dyDescent="0.3">
      <c r="A46" s="60" t="str">
        <v>Attendee 17</v>
      </c>
      <c r="B46" s="34" t="str">
        <v>Sales</v>
      </c>
      <c r="C46" s="55">
        <v>0.6</v>
      </c>
      <c r="Z46" t="str">
        <f>'Attendance tracker'!A46</f>
        <v>Attendee 40</v>
      </c>
      <c r="AA46" t="str">
        <f>'Attendance tracker'!D46</f>
        <v>Finance</v>
      </c>
      <c r="AB46">
        <f>'Attendance tracker'!G46</f>
        <v>0.2</v>
      </c>
    </row>
    <row r="47" spans="1:28" x14ac:dyDescent="0.3">
      <c r="A47" s="61" t="str">
        <v>Attendee 18</v>
      </c>
      <c r="B47" s="32" t="str">
        <v>HR</v>
      </c>
      <c r="C47" s="57">
        <v>0.6</v>
      </c>
      <c r="Z47" t="str">
        <f>'Attendance tracker'!A47</f>
        <v>Attendee 42</v>
      </c>
      <c r="AA47" t="str">
        <f>'Attendance tracker'!D47</f>
        <v>Sales</v>
      </c>
      <c r="AB47">
        <f>'Attendance tracker'!G47</f>
        <v>0.2</v>
      </c>
    </row>
    <row r="48" spans="1:28" x14ac:dyDescent="0.3">
      <c r="A48" s="60" t="str">
        <v>Attendee 21</v>
      </c>
      <c r="B48" s="34" t="str">
        <v>Marketing</v>
      </c>
      <c r="C48" s="55">
        <v>0.6</v>
      </c>
      <c r="Z48" t="str">
        <f>'Attendance tracker'!A48</f>
        <v>Attendee 50</v>
      </c>
      <c r="AA48" t="str">
        <f>'Attendance tracker'!D48</f>
        <v>Finance</v>
      </c>
      <c r="AB48">
        <f>'Attendance tracker'!G48</f>
        <v>0.2</v>
      </c>
    </row>
    <row r="49" spans="1:28" x14ac:dyDescent="0.3">
      <c r="A49" s="61" t="str">
        <v>Attendee 23</v>
      </c>
      <c r="B49" s="32" t="str">
        <v>HR</v>
      </c>
      <c r="C49" s="57">
        <v>0.6</v>
      </c>
      <c r="Z49" t="str">
        <f>'Attendance tracker'!A49</f>
        <v>Attendee 12</v>
      </c>
      <c r="AA49" t="str">
        <f>'Attendance tracker'!D49</f>
        <v>Sales</v>
      </c>
      <c r="AB49">
        <f>'Attendance tracker'!G49</f>
        <v>0</v>
      </c>
    </row>
    <row r="50" spans="1:28" x14ac:dyDescent="0.3">
      <c r="A50" s="60" t="str">
        <v>Attendee 36</v>
      </c>
      <c r="B50" s="34" t="str">
        <v>Marketing</v>
      </c>
      <c r="C50" s="55">
        <v>0.6</v>
      </c>
      <c r="Z50" t="str">
        <f>'Attendance tracker'!A50</f>
        <v>Attendee 28</v>
      </c>
      <c r="AA50" t="str">
        <f>'Attendance tracker'!D50</f>
        <v>HR</v>
      </c>
      <c r="AB50">
        <f>'Attendance tracker'!G50</f>
        <v>0</v>
      </c>
    </row>
    <row r="51" spans="1:28" x14ac:dyDescent="0.3">
      <c r="A51" s="61" t="str">
        <v>Attendee 38</v>
      </c>
      <c r="B51" s="32" t="str">
        <v>HR</v>
      </c>
      <c r="C51" s="57">
        <v>0.6</v>
      </c>
      <c r="Z51" t="str">
        <f>'Attendance tracker'!A51</f>
        <v>Attendee 48</v>
      </c>
      <c r="AA51" t="str">
        <f>'Attendance tracker'!D51</f>
        <v>HR</v>
      </c>
      <c r="AB51">
        <f>'Attendance tracker'!G51</f>
        <v>0</v>
      </c>
    </row>
  </sheetData>
  <mergeCells count="3">
    <mergeCell ref="A1:H1"/>
    <mergeCell ref="A4:B4"/>
    <mergeCell ref="A5:B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AC2-C040-44E5-99B8-686899B219D4}">
  <dimension ref="A1:B1007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defaultColWidth="14.44140625" defaultRowHeight="15" customHeight="1" x14ac:dyDescent="0.3"/>
  <cols>
    <col min="1" max="1" width="22.21875" customWidth="1"/>
    <col min="2" max="2" width="38.88671875" customWidth="1"/>
    <col min="3" max="26" width="8.88671875" customWidth="1"/>
  </cols>
  <sheetData>
    <row r="1" spans="1:2" ht="25.95" customHeight="1" x14ac:dyDescent="0.3">
      <c r="A1" s="8" t="s">
        <v>0</v>
      </c>
      <c r="B1" s="8" t="s">
        <v>54</v>
      </c>
    </row>
    <row r="2" spans="1:2" ht="14.4" x14ac:dyDescent="0.3">
      <c r="A2" s="4" t="s">
        <v>4</v>
      </c>
      <c r="B2" s="4" t="s">
        <v>55</v>
      </c>
    </row>
    <row r="3" spans="1:2" ht="14.4" x14ac:dyDescent="0.3">
      <c r="A3" s="4" t="s">
        <v>5</v>
      </c>
      <c r="B3" s="4" t="s">
        <v>56</v>
      </c>
    </row>
    <row r="4" spans="1:2" ht="14.4" x14ac:dyDescent="0.3">
      <c r="A4" s="4" t="s">
        <v>6</v>
      </c>
      <c r="B4" s="4" t="s">
        <v>57</v>
      </c>
    </row>
    <row r="5" spans="1:2" ht="14.4" x14ac:dyDescent="0.3">
      <c r="A5" s="4" t="s">
        <v>7</v>
      </c>
      <c r="B5" s="4" t="s">
        <v>58</v>
      </c>
    </row>
    <row r="6" spans="1:2" ht="14.4" x14ac:dyDescent="0.3">
      <c r="A6" s="4" t="s">
        <v>8</v>
      </c>
      <c r="B6" s="4" t="s">
        <v>59</v>
      </c>
    </row>
    <row r="7" spans="1:2" ht="14.4" x14ac:dyDescent="0.3">
      <c r="A7" s="4" t="s">
        <v>9</v>
      </c>
      <c r="B7" s="4" t="s">
        <v>60</v>
      </c>
    </row>
    <row r="8" spans="1:2" ht="14.4" x14ac:dyDescent="0.3">
      <c r="A8" s="4" t="s">
        <v>10</v>
      </c>
      <c r="B8" s="4" t="s">
        <v>61</v>
      </c>
    </row>
    <row r="9" spans="1:2" ht="14.4" x14ac:dyDescent="0.3">
      <c r="A9" s="4" t="s">
        <v>11</v>
      </c>
      <c r="B9" s="4" t="s">
        <v>62</v>
      </c>
    </row>
    <row r="10" spans="1:2" ht="14.4" x14ac:dyDescent="0.3">
      <c r="A10" s="4" t="s">
        <v>12</v>
      </c>
      <c r="B10" s="4" t="s">
        <v>63</v>
      </c>
    </row>
    <row r="11" spans="1:2" ht="14.4" x14ac:dyDescent="0.3">
      <c r="A11" s="4" t="s">
        <v>13</v>
      </c>
      <c r="B11" s="4" t="s">
        <v>64</v>
      </c>
    </row>
    <row r="12" spans="1:2" ht="14.4" x14ac:dyDescent="0.3">
      <c r="A12" s="4" t="s">
        <v>14</v>
      </c>
      <c r="B12" s="4" t="s">
        <v>65</v>
      </c>
    </row>
    <row r="13" spans="1:2" ht="14.4" x14ac:dyDescent="0.3">
      <c r="A13" s="4" t="s">
        <v>15</v>
      </c>
      <c r="B13" s="4" t="s">
        <v>66</v>
      </c>
    </row>
    <row r="14" spans="1:2" ht="14.4" x14ac:dyDescent="0.3">
      <c r="A14" s="4" t="s">
        <v>16</v>
      </c>
      <c r="B14" s="4" t="s">
        <v>67</v>
      </c>
    </row>
    <row r="15" spans="1:2" ht="14.4" x14ac:dyDescent="0.3">
      <c r="A15" s="4" t="s">
        <v>17</v>
      </c>
      <c r="B15" s="4" t="s">
        <v>68</v>
      </c>
    </row>
    <row r="16" spans="1:2" ht="14.4" x14ac:dyDescent="0.3">
      <c r="A16" s="4" t="s">
        <v>18</v>
      </c>
      <c r="B16" s="4" t="s">
        <v>69</v>
      </c>
    </row>
    <row r="17" spans="1:2" ht="14.4" x14ac:dyDescent="0.3">
      <c r="A17" s="4" t="s">
        <v>19</v>
      </c>
      <c r="B17" s="4" t="s">
        <v>70</v>
      </c>
    </row>
    <row r="18" spans="1:2" ht="14.4" x14ac:dyDescent="0.3">
      <c r="A18" s="4" t="s">
        <v>20</v>
      </c>
      <c r="B18" s="4" t="s">
        <v>71</v>
      </c>
    </row>
    <row r="19" spans="1:2" ht="14.4" x14ac:dyDescent="0.3">
      <c r="A19" s="4" t="s">
        <v>21</v>
      </c>
      <c r="B19" s="4" t="s">
        <v>72</v>
      </c>
    </row>
    <row r="20" spans="1:2" ht="14.4" x14ac:dyDescent="0.3">
      <c r="A20" s="4" t="s">
        <v>22</v>
      </c>
      <c r="B20" s="4" t="s">
        <v>73</v>
      </c>
    </row>
    <row r="21" spans="1:2" ht="15.75" customHeight="1" x14ac:dyDescent="0.3">
      <c r="A21" s="4" t="s">
        <v>23</v>
      </c>
      <c r="B21" s="4" t="s">
        <v>74</v>
      </c>
    </row>
    <row r="22" spans="1:2" ht="14.4" x14ac:dyDescent="0.3">
      <c r="A22" s="4" t="s">
        <v>10</v>
      </c>
      <c r="B22" s="4" t="s">
        <v>61</v>
      </c>
    </row>
    <row r="23" spans="1:2" ht="14.4" x14ac:dyDescent="0.3">
      <c r="A23" s="4" t="s">
        <v>11</v>
      </c>
      <c r="B23" s="4" t="s">
        <v>62</v>
      </c>
    </row>
    <row r="24" spans="1:2" ht="14.4" x14ac:dyDescent="0.3">
      <c r="A24" s="4" t="s">
        <v>12</v>
      </c>
      <c r="B24" s="4" t="s">
        <v>63</v>
      </c>
    </row>
    <row r="25" spans="1:2" ht="15.75" customHeight="1" x14ac:dyDescent="0.3">
      <c r="A25" s="4" t="s">
        <v>24</v>
      </c>
      <c r="B25" s="4" t="s">
        <v>75</v>
      </c>
    </row>
    <row r="26" spans="1:2" ht="15.75" customHeight="1" x14ac:dyDescent="0.3">
      <c r="A26" s="4" t="s">
        <v>25</v>
      </c>
      <c r="B26" s="4" t="s">
        <v>76</v>
      </c>
    </row>
    <row r="27" spans="1:2" ht="15.75" customHeight="1" x14ac:dyDescent="0.3">
      <c r="A27" s="4" t="s">
        <v>26</v>
      </c>
      <c r="B27" s="4" t="s">
        <v>77</v>
      </c>
    </row>
    <row r="28" spans="1:2" ht="15.75" customHeight="1" x14ac:dyDescent="0.3">
      <c r="A28" s="4" t="s">
        <v>27</v>
      </c>
      <c r="B28" s="4" t="s">
        <v>78</v>
      </c>
    </row>
    <row r="29" spans="1:2" ht="15.75" customHeight="1" x14ac:dyDescent="0.3">
      <c r="A29" s="4" t="s">
        <v>28</v>
      </c>
      <c r="B29" s="4" t="s">
        <v>79</v>
      </c>
    </row>
    <row r="30" spans="1:2" ht="15.75" customHeight="1" x14ac:dyDescent="0.3">
      <c r="A30" s="4" t="s">
        <v>29</v>
      </c>
      <c r="B30" s="4" t="s">
        <v>80</v>
      </c>
    </row>
    <row r="31" spans="1:2" ht="15.75" customHeight="1" x14ac:dyDescent="0.3">
      <c r="A31" s="4" t="s">
        <v>30</v>
      </c>
      <c r="B31" s="4" t="s">
        <v>81</v>
      </c>
    </row>
    <row r="32" spans="1:2" ht="15.75" customHeight="1" x14ac:dyDescent="0.3">
      <c r="A32" s="4" t="s">
        <v>31</v>
      </c>
      <c r="B32" s="4" t="s">
        <v>82</v>
      </c>
    </row>
    <row r="33" spans="1:2" ht="15.75" customHeight="1" x14ac:dyDescent="0.3">
      <c r="A33" s="4" t="s">
        <v>32</v>
      </c>
      <c r="B33" s="4" t="s">
        <v>83</v>
      </c>
    </row>
    <row r="34" spans="1:2" ht="15.75" customHeight="1" x14ac:dyDescent="0.3">
      <c r="A34" s="4" t="s">
        <v>33</v>
      </c>
      <c r="B34" s="4" t="s">
        <v>84</v>
      </c>
    </row>
    <row r="35" spans="1:2" ht="15.75" customHeight="1" x14ac:dyDescent="0.3">
      <c r="A35" s="4" t="s">
        <v>34</v>
      </c>
      <c r="B35" s="4" t="s">
        <v>85</v>
      </c>
    </row>
    <row r="36" spans="1:2" ht="15.75" customHeight="1" x14ac:dyDescent="0.3">
      <c r="A36" s="4" t="s">
        <v>35</v>
      </c>
      <c r="B36" s="4" t="s">
        <v>86</v>
      </c>
    </row>
    <row r="37" spans="1:2" ht="15.75" customHeight="1" x14ac:dyDescent="0.3">
      <c r="A37" s="4" t="s">
        <v>36</v>
      </c>
      <c r="B37" s="4" t="s">
        <v>87</v>
      </c>
    </row>
    <row r="38" spans="1:2" ht="15.75" customHeight="1" x14ac:dyDescent="0.3">
      <c r="A38" s="4" t="s">
        <v>37</v>
      </c>
      <c r="B38" s="4" t="s">
        <v>88</v>
      </c>
    </row>
    <row r="39" spans="1:2" ht="15.75" customHeight="1" x14ac:dyDescent="0.3">
      <c r="A39" s="4" t="s">
        <v>38</v>
      </c>
      <c r="B39" s="4" t="s">
        <v>89</v>
      </c>
    </row>
    <row r="40" spans="1:2" ht="15.75" customHeight="1" x14ac:dyDescent="0.3">
      <c r="A40" s="4" t="s">
        <v>39</v>
      </c>
      <c r="B40" s="4" t="s">
        <v>90</v>
      </c>
    </row>
    <row r="41" spans="1:2" ht="15.75" customHeight="1" x14ac:dyDescent="0.3">
      <c r="A41" s="4" t="s">
        <v>40</v>
      </c>
      <c r="B41" s="4" t="s">
        <v>91</v>
      </c>
    </row>
    <row r="42" spans="1:2" ht="15.75" customHeight="1" x14ac:dyDescent="0.3">
      <c r="A42" s="4" t="s">
        <v>41</v>
      </c>
      <c r="B42" s="4" t="s">
        <v>92</v>
      </c>
    </row>
    <row r="43" spans="1:2" ht="15.75" customHeight="1" x14ac:dyDescent="0.3">
      <c r="A43" s="4" t="s">
        <v>42</v>
      </c>
      <c r="B43" s="4" t="s">
        <v>93</v>
      </c>
    </row>
    <row r="44" spans="1:2" ht="15.75" customHeight="1" x14ac:dyDescent="0.3">
      <c r="A44" s="4" t="s">
        <v>43</v>
      </c>
      <c r="B44" s="4" t="s">
        <v>94</v>
      </c>
    </row>
    <row r="45" spans="1:2" ht="15.75" customHeight="1" x14ac:dyDescent="0.3">
      <c r="A45" s="4" t="s">
        <v>44</v>
      </c>
      <c r="B45" s="4" t="s">
        <v>95</v>
      </c>
    </row>
    <row r="46" spans="1:2" ht="15.75" customHeight="1" x14ac:dyDescent="0.3">
      <c r="A46" s="4" t="s">
        <v>45</v>
      </c>
      <c r="B46" s="4" t="s">
        <v>96</v>
      </c>
    </row>
    <row r="47" spans="1:2" ht="15.75" customHeight="1" x14ac:dyDescent="0.3">
      <c r="A47" s="4" t="s">
        <v>46</v>
      </c>
      <c r="B47" s="4" t="s">
        <v>97</v>
      </c>
    </row>
    <row r="48" spans="1:2" ht="15.75" customHeight="1" x14ac:dyDescent="0.3">
      <c r="A48" s="4" t="s">
        <v>31</v>
      </c>
      <c r="B48" s="4" t="s">
        <v>82</v>
      </c>
    </row>
    <row r="49" spans="1:2" ht="15.75" customHeight="1" x14ac:dyDescent="0.3">
      <c r="A49" s="4" t="s">
        <v>32</v>
      </c>
      <c r="B49" s="4" t="s">
        <v>83</v>
      </c>
    </row>
    <row r="50" spans="1:2" ht="15.75" customHeight="1" x14ac:dyDescent="0.3">
      <c r="A50" s="4" t="s">
        <v>33</v>
      </c>
      <c r="B50" s="4" t="s">
        <v>84</v>
      </c>
    </row>
    <row r="51" spans="1:2" ht="15.75" customHeight="1" x14ac:dyDescent="0.3">
      <c r="A51" s="4" t="s">
        <v>34</v>
      </c>
      <c r="B51" s="4" t="s">
        <v>85</v>
      </c>
    </row>
    <row r="52" spans="1:2" ht="15.75" customHeight="1" x14ac:dyDescent="0.3">
      <c r="A52" s="4" t="s">
        <v>47</v>
      </c>
      <c r="B52" s="4" t="s">
        <v>98</v>
      </c>
    </row>
    <row r="53" spans="1:2" ht="15.75" customHeight="1" x14ac:dyDescent="0.3">
      <c r="A53" s="4" t="s">
        <v>48</v>
      </c>
      <c r="B53" s="4" t="s">
        <v>99</v>
      </c>
    </row>
    <row r="54" spans="1:2" ht="15.75" customHeight="1" x14ac:dyDescent="0.3">
      <c r="A54" s="4" t="s">
        <v>49</v>
      </c>
      <c r="B54" s="4" t="s">
        <v>100</v>
      </c>
    </row>
    <row r="55" spans="1:2" ht="15.75" customHeight="1" x14ac:dyDescent="0.3">
      <c r="A55" s="4" t="s">
        <v>50</v>
      </c>
      <c r="B55" s="4" t="s">
        <v>101</v>
      </c>
    </row>
    <row r="56" spans="1:2" ht="15.75" customHeight="1" x14ac:dyDescent="0.3">
      <c r="A56" s="4" t="s">
        <v>51</v>
      </c>
      <c r="B56" s="4" t="s">
        <v>102</v>
      </c>
    </row>
    <row r="57" spans="1:2" ht="15.75" customHeight="1" x14ac:dyDescent="0.3">
      <c r="A57" s="4" t="s">
        <v>52</v>
      </c>
      <c r="B57" s="4" t="s">
        <v>103</v>
      </c>
    </row>
    <row r="58" spans="1:2" ht="15.75" customHeight="1" x14ac:dyDescent="0.3">
      <c r="A58" s="4" t="s">
        <v>53</v>
      </c>
      <c r="B58" s="4" t="s">
        <v>104</v>
      </c>
    </row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DAB6-B2B1-4F45-905B-AC04C8E9D56A}">
  <dimension ref="A1:E1000"/>
  <sheetViews>
    <sheetView showGridLines="0" workbookViewId="0">
      <pane ySplit="1" topLeftCell="A2" activePane="bottomLeft" state="frozen"/>
      <selection pane="bottomLeft" activeCell="B15" sqref="B15"/>
    </sheetView>
  </sheetViews>
  <sheetFormatPr defaultColWidth="14.44140625" defaultRowHeight="15" customHeight="1" x14ac:dyDescent="0.3"/>
  <cols>
    <col min="1" max="2" width="22.21875" customWidth="1"/>
    <col min="3" max="3" width="4.44140625" customWidth="1"/>
    <col min="4" max="4" width="20.33203125" customWidth="1"/>
    <col min="5" max="5" width="14.77734375" customWidth="1"/>
    <col min="6" max="26" width="8.88671875" customWidth="1"/>
  </cols>
  <sheetData>
    <row r="1" spans="1:5" ht="25.95" customHeight="1" x14ac:dyDescent="0.3">
      <c r="A1" s="8" t="s">
        <v>0</v>
      </c>
      <c r="B1" s="8" t="s">
        <v>105</v>
      </c>
      <c r="D1" s="70" t="s">
        <v>106</v>
      </c>
      <c r="E1" s="70"/>
    </row>
    <row r="2" spans="1:5" ht="14.4" x14ac:dyDescent="0.3">
      <c r="A2" s="4" t="s">
        <v>4</v>
      </c>
      <c r="B2" s="4" t="s">
        <v>107</v>
      </c>
      <c r="D2" s="8" t="s">
        <v>108</v>
      </c>
      <c r="E2" s="8" t="s">
        <v>109</v>
      </c>
    </row>
    <row r="3" spans="1:5" ht="14.4" x14ac:dyDescent="0.3">
      <c r="A3" s="4" t="s">
        <v>5</v>
      </c>
      <c r="B3" s="4" t="s">
        <v>110</v>
      </c>
      <c r="D3" s="4" t="s">
        <v>107</v>
      </c>
      <c r="E3" s="4" t="s">
        <v>111</v>
      </c>
    </row>
    <row r="4" spans="1:5" ht="14.4" x14ac:dyDescent="0.3">
      <c r="A4" s="4" t="s">
        <v>6</v>
      </c>
      <c r="B4" s="4" t="s">
        <v>112</v>
      </c>
      <c r="D4" s="4" t="s">
        <v>110</v>
      </c>
      <c r="E4" s="4" t="s">
        <v>113</v>
      </c>
    </row>
    <row r="5" spans="1:5" ht="14.4" x14ac:dyDescent="0.3">
      <c r="A5" s="4" t="s">
        <v>7</v>
      </c>
      <c r="B5" s="4" t="s">
        <v>114</v>
      </c>
      <c r="D5" s="4" t="s">
        <v>112</v>
      </c>
      <c r="E5" s="4" t="s">
        <v>115</v>
      </c>
    </row>
    <row r="6" spans="1:5" ht="14.4" x14ac:dyDescent="0.3">
      <c r="A6" s="4" t="s">
        <v>8</v>
      </c>
      <c r="B6" s="4" t="s">
        <v>116</v>
      </c>
      <c r="D6" s="4" t="s">
        <v>114</v>
      </c>
      <c r="E6" s="4" t="s">
        <v>117</v>
      </c>
    </row>
    <row r="7" spans="1:5" ht="14.4" x14ac:dyDescent="0.3">
      <c r="A7" s="4" t="s">
        <v>9</v>
      </c>
      <c r="B7" s="4" t="s">
        <v>107</v>
      </c>
      <c r="D7" s="4" t="s">
        <v>116</v>
      </c>
      <c r="E7" s="4" t="s">
        <v>118</v>
      </c>
    </row>
    <row r="8" spans="1:5" ht="14.4" x14ac:dyDescent="0.3">
      <c r="A8" s="4" t="s">
        <v>10</v>
      </c>
      <c r="B8" s="4" t="s">
        <v>110</v>
      </c>
      <c r="D8" s="4"/>
      <c r="E8" s="4"/>
    </row>
    <row r="9" spans="1:5" ht="14.4" x14ac:dyDescent="0.3">
      <c r="A9" s="4" t="s">
        <v>11</v>
      </c>
      <c r="B9" s="4" t="s">
        <v>112</v>
      </c>
      <c r="D9" s="4"/>
      <c r="E9" s="4"/>
    </row>
    <row r="10" spans="1:5" ht="14.4" x14ac:dyDescent="0.3">
      <c r="A10" s="4" t="s">
        <v>12</v>
      </c>
      <c r="B10" s="4" t="s">
        <v>114</v>
      </c>
    </row>
    <row r="11" spans="1:5" ht="14.4" x14ac:dyDescent="0.3">
      <c r="A11" s="4" t="s">
        <v>13</v>
      </c>
      <c r="B11" s="4" t="s">
        <v>116</v>
      </c>
    </row>
    <row r="12" spans="1:5" ht="14.4" x14ac:dyDescent="0.3">
      <c r="A12" s="4" t="s">
        <v>14</v>
      </c>
      <c r="B12" s="4" t="s">
        <v>107</v>
      </c>
    </row>
    <row r="13" spans="1:5" ht="14.4" x14ac:dyDescent="0.3">
      <c r="A13" s="4" t="s">
        <v>15</v>
      </c>
      <c r="B13" s="4" t="s">
        <v>110</v>
      </c>
    </row>
    <row r="14" spans="1:5" ht="14.4" x14ac:dyDescent="0.3">
      <c r="A14" s="4" t="s">
        <v>16</v>
      </c>
      <c r="B14" s="4" t="s">
        <v>112</v>
      </c>
    </row>
    <row r="15" spans="1:5" ht="14.4" x14ac:dyDescent="0.3">
      <c r="A15" s="4" t="s">
        <v>17</v>
      </c>
      <c r="B15" s="4" t="s">
        <v>114</v>
      </c>
    </row>
    <row r="16" spans="1:5" ht="14.4" x14ac:dyDescent="0.3">
      <c r="A16" s="4" t="s">
        <v>18</v>
      </c>
      <c r="B16" s="4" t="s">
        <v>116</v>
      </c>
    </row>
    <row r="17" spans="1:2" ht="14.4" x14ac:dyDescent="0.3">
      <c r="A17" s="4" t="s">
        <v>19</v>
      </c>
      <c r="B17" s="4" t="s">
        <v>107</v>
      </c>
    </row>
    <row r="18" spans="1:2" ht="14.4" x14ac:dyDescent="0.3">
      <c r="A18" s="4" t="s">
        <v>20</v>
      </c>
      <c r="B18" s="4" t="s">
        <v>110</v>
      </c>
    </row>
    <row r="19" spans="1:2" ht="14.4" x14ac:dyDescent="0.3">
      <c r="A19" s="4" t="s">
        <v>21</v>
      </c>
      <c r="B19" s="4" t="s">
        <v>112</v>
      </c>
    </row>
    <row r="20" spans="1:2" ht="14.4" x14ac:dyDescent="0.3">
      <c r="A20" s="4" t="s">
        <v>22</v>
      </c>
      <c r="B20" s="4" t="s">
        <v>114</v>
      </c>
    </row>
    <row r="21" spans="1:2" ht="15.75" customHeight="1" x14ac:dyDescent="0.3">
      <c r="A21" s="4" t="s">
        <v>23</v>
      </c>
      <c r="B21" s="4" t="s">
        <v>116</v>
      </c>
    </row>
    <row r="22" spans="1:2" ht="15.75" customHeight="1" x14ac:dyDescent="0.3">
      <c r="A22" s="4" t="s">
        <v>24</v>
      </c>
      <c r="B22" s="4" t="s">
        <v>107</v>
      </c>
    </row>
    <row r="23" spans="1:2" ht="15.75" customHeight="1" x14ac:dyDescent="0.3">
      <c r="A23" s="4" t="s">
        <v>25</v>
      </c>
      <c r="B23" s="4" t="s">
        <v>110</v>
      </c>
    </row>
    <row r="24" spans="1:2" ht="15.75" customHeight="1" x14ac:dyDescent="0.3">
      <c r="A24" s="4" t="s">
        <v>26</v>
      </c>
      <c r="B24" s="4" t="s">
        <v>112</v>
      </c>
    </row>
    <row r="25" spans="1:2" ht="15.75" customHeight="1" x14ac:dyDescent="0.3">
      <c r="A25" s="4" t="s">
        <v>27</v>
      </c>
      <c r="B25" s="4" t="s">
        <v>114</v>
      </c>
    </row>
    <row r="26" spans="1:2" ht="15.75" customHeight="1" x14ac:dyDescent="0.3">
      <c r="A26" s="4" t="s">
        <v>28</v>
      </c>
      <c r="B26" s="4" t="s">
        <v>116</v>
      </c>
    </row>
    <row r="27" spans="1:2" ht="15.75" customHeight="1" x14ac:dyDescent="0.3">
      <c r="A27" s="4" t="s">
        <v>29</v>
      </c>
      <c r="B27" s="4" t="s">
        <v>107</v>
      </c>
    </row>
    <row r="28" spans="1:2" ht="15.75" customHeight="1" x14ac:dyDescent="0.3">
      <c r="A28" s="4" t="s">
        <v>30</v>
      </c>
      <c r="B28" s="4" t="s">
        <v>110</v>
      </c>
    </row>
    <row r="29" spans="1:2" ht="15.75" customHeight="1" x14ac:dyDescent="0.3">
      <c r="A29" s="4" t="s">
        <v>31</v>
      </c>
      <c r="B29" s="4" t="s">
        <v>112</v>
      </c>
    </row>
    <row r="30" spans="1:2" ht="15.75" customHeight="1" x14ac:dyDescent="0.3">
      <c r="A30" s="4" t="s">
        <v>32</v>
      </c>
      <c r="B30" s="4" t="s">
        <v>114</v>
      </c>
    </row>
    <row r="31" spans="1:2" ht="15.75" customHeight="1" x14ac:dyDescent="0.3">
      <c r="A31" s="4" t="s">
        <v>33</v>
      </c>
      <c r="B31" s="4" t="s">
        <v>116</v>
      </c>
    </row>
    <row r="32" spans="1:2" ht="15.75" customHeight="1" x14ac:dyDescent="0.3">
      <c r="A32" s="4" t="s">
        <v>34</v>
      </c>
      <c r="B32" s="4" t="s">
        <v>107</v>
      </c>
    </row>
    <row r="33" spans="1:2" ht="15.75" customHeight="1" x14ac:dyDescent="0.3">
      <c r="A33" s="4" t="s">
        <v>35</v>
      </c>
      <c r="B33" s="4" t="s">
        <v>110</v>
      </c>
    </row>
    <row r="34" spans="1:2" ht="15.75" customHeight="1" x14ac:dyDescent="0.3">
      <c r="A34" s="4" t="s">
        <v>36</v>
      </c>
      <c r="B34" s="4" t="s">
        <v>112</v>
      </c>
    </row>
    <row r="35" spans="1:2" ht="15.75" customHeight="1" x14ac:dyDescent="0.3">
      <c r="A35" s="4" t="s">
        <v>37</v>
      </c>
      <c r="B35" s="4" t="s">
        <v>114</v>
      </c>
    </row>
    <row r="36" spans="1:2" ht="15.75" customHeight="1" x14ac:dyDescent="0.3">
      <c r="A36" s="4" t="s">
        <v>38</v>
      </c>
      <c r="B36" s="4" t="s">
        <v>116</v>
      </c>
    </row>
    <row r="37" spans="1:2" ht="15.75" customHeight="1" x14ac:dyDescent="0.3">
      <c r="A37" s="4" t="s">
        <v>39</v>
      </c>
      <c r="B37" s="4" t="s">
        <v>107</v>
      </c>
    </row>
    <row r="38" spans="1:2" ht="15.75" customHeight="1" x14ac:dyDescent="0.3">
      <c r="A38" s="4" t="s">
        <v>40</v>
      </c>
      <c r="B38" s="4" t="s">
        <v>110</v>
      </c>
    </row>
    <row r="39" spans="1:2" ht="15.75" customHeight="1" x14ac:dyDescent="0.3">
      <c r="A39" s="4" t="s">
        <v>41</v>
      </c>
      <c r="B39" s="4" t="s">
        <v>112</v>
      </c>
    </row>
    <row r="40" spans="1:2" ht="15.75" customHeight="1" x14ac:dyDescent="0.3">
      <c r="A40" s="4" t="s">
        <v>42</v>
      </c>
      <c r="B40" s="4" t="s">
        <v>114</v>
      </c>
    </row>
    <row r="41" spans="1:2" ht="15.75" customHeight="1" x14ac:dyDescent="0.3">
      <c r="A41" s="4" t="s">
        <v>43</v>
      </c>
      <c r="B41" s="4" t="s">
        <v>116</v>
      </c>
    </row>
    <row r="42" spans="1:2" ht="15.75" customHeight="1" x14ac:dyDescent="0.3">
      <c r="A42" s="4" t="s">
        <v>44</v>
      </c>
      <c r="B42" s="4" t="s">
        <v>107</v>
      </c>
    </row>
    <row r="43" spans="1:2" ht="15.75" customHeight="1" x14ac:dyDescent="0.3">
      <c r="A43" s="4" t="s">
        <v>45</v>
      </c>
      <c r="B43" s="4" t="s">
        <v>110</v>
      </c>
    </row>
    <row r="44" spans="1:2" ht="15.75" customHeight="1" x14ac:dyDescent="0.3">
      <c r="A44" s="4" t="s">
        <v>46</v>
      </c>
      <c r="B44" s="4" t="s">
        <v>112</v>
      </c>
    </row>
    <row r="45" spans="1:2" ht="15.75" customHeight="1" x14ac:dyDescent="0.3">
      <c r="A45" s="4" t="s">
        <v>47</v>
      </c>
      <c r="B45" s="4" t="s">
        <v>114</v>
      </c>
    </row>
    <row r="46" spans="1:2" ht="15.75" customHeight="1" x14ac:dyDescent="0.3">
      <c r="A46" s="4" t="s">
        <v>48</v>
      </c>
      <c r="B46" s="4" t="s">
        <v>116</v>
      </c>
    </row>
    <row r="47" spans="1:2" ht="15.75" customHeight="1" x14ac:dyDescent="0.3">
      <c r="A47" s="4" t="s">
        <v>49</v>
      </c>
      <c r="B47" s="4" t="s">
        <v>107</v>
      </c>
    </row>
    <row r="48" spans="1:2" ht="15.75" customHeight="1" x14ac:dyDescent="0.3">
      <c r="A48" s="4" t="s">
        <v>50</v>
      </c>
      <c r="B48" s="4" t="s">
        <v>110</v>
      </c>
    </row>
    <row r="49" spans="1:2" ht="15.75" customHeight="1" x14ac:dyDescent="0.3">
      <c r="A49" s="4" t="s">
        <v>51</v>
      </c>
      <c r="B49" s="4" t="s">
        <v>112</v>
      </c>
    </row>
    <row r="50" spans="1:2" ht="15.75" customHeight="1" x14ac:dyDescent="0.3">
      <c r="A50" s="4" t="s">
        <v>52</v>
      </c>
      <c r="B50" s="4" t="s">
        <v>114</v>
      </c>
    </row>
    <row r="51" spans="1:2" ht="15.75" customHeight="1" x14ac:dyDescent="0.3">
      <c r="A51" s="4" t="s">
        <v>53</v>
      </c>
      <c r="B51" s="4" t="s">
        <v>116</v>
      </c>
    </row>
    <row r="52" spans="1:2" ht="15.75" customHeight="1" x14ac:dyDescent="0.3"/>
    <row r="53" spans="1:2" ht="15.75" customHeight="1" x14ac:dyDescent="0.3"/>
    <row r="54" spans="1:2" ht="15.75" customHeight="1" x14ac:dyDescent="0.3"/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D1:E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1579-E287-41CC-BD1D-FFBEFE599B46}">
  <dimension ref="A1:P1000"/>
  <sheetViews>
    <sheetView showGridLines="0" topLeftCell="B1" zoomScale="75" workbookViewId="0">
      <pane ySplit="1" topLeftCell="A2" activePane="bottomLeft" state="frozen"/>
      <selection pane="bottomLeft" activeCell="I33" sqref="I33"/>
    </sheetView>
  </sheetViews>
  <sheetFormatPr defaultColWidth="14.44140625" defaultRowHeight="15" customHeight="1" x14ac:dyDescent="0.3"/>
  <cols>
    <col min="1" max="2" width="16.6640625" customWidth="1"/>
    <col min="3" max="3" width="14.77734375" customWidth="1"/>
    <col min="4" max="4" width="17.5546875" customWidth="1"/>
    <col min="5" max="5" width="24.109375" customWidth="1"/>
    <col min="6" max="6" width="17.5546875" customWidth="1"/>
    <col min="7" max="7" width="8.88671875" customWidth="1"/>
    <col min="8" max="8" width="16.6640625" bestFit="1" customWidth="1"/>
    <col min="9" max="9" width="19.5546875" bestFit="1" customWidth="1"/>
    <col min="10" max="10" width="15.33203125" bestFit="1" customWidth="1"/>
    <col min="11" max="11" width="8.88671875" customWidth="1"/>
    <col min="12" max="12" width="32.33203125" customWidth="1"/>
    <col min="13" max="13" width="18.5546875" customWidth="1"/>
    <col min="14" max="14" width="8.88671875" customWidth="1"/>
    <col min="15" max="15" width="10.6640625" bestFit="1" customWidth="1"/>
    <col min="16" max="16" width="19.5546875" bestFit="1" customWidth="1"/>
    <col min="17" max="22" width="8.88671875" customWidth="1"/>
  </cols>
  <sheetData>
    <row r="1" spans="1:16" ht="14.4" x14ac:dyDescent="0.3">
      <c r="A1" s="8" t="s">
        <v>0</v>
      </c>
      <c r="B1" s="8" t="s">
        <v>119</v>
      </c>
      <c r="C1" s="8" t="s">
        <v>120</v>
      </c>
      <c r="D1" s="8" t="s">
        <v>123</v>
      </c>
      <c r="E1" s="8" t="s">
        <v>125</v>
      </c>
      <c r="F1" s="8" t="s">
        <v>128</v>
      </c>
      <c r="H1" s="35" t="s">
        <v>129</v>
      </c>
      <c r="I1" s="35" t="s">
        <v>131</v>
      </c>
      <c r="J1" s="35" t="s">
        <v>132</v>
      </c>
      <c r="L1" s="30" t="s">
        <v>133</v>
      </c>
      <c r="M1" s="30" t="s">
        <v>134</v>
      </c>
      <c r="O1" s="33" t="s">
        <v>128</v>
      </c>
      <c r="P1" s="33" t="s">
        <v>131</v>
      </c>
    </row>
    <row r="2" spans="1:16" ht="14.4" x14ac:dyDescent="0.3">
      <c r="A2" s="4" t="s">
        <v>4</v>
      </c>
      <c r="B2" s="5">
        <v>45474</v>
      </c>
      <c r="C2" s="4" t="s">
        <v>121</v>
      </c>
      <c r="D2">
        <f t="shared" ref="D2:D65" si="0">IF(C2="Yes",1,0)</f>
        <v>1</v>
      </c>
      <c r="E2" t="str">
        <f t="shared" ref="E2:E65" si="1">IF(C2="Yes","Present","Absent")</f>
        <v>Present</v>
      </c>
      <c r="F2" t="str">
        <f>TEXT(tbl_AttendanceDetails[[#This Row],[Date]],"dddd")</f>
        <v>Monday</v>
      </c>
      <c r="H2" s="36">
        <v>45474</v>
      </c>
      <c r="I2" s="39">
        <v>25</v>
      </c>
      <c r="J2" s="42">
        <v>0.5</v>
      </c>
      <c r="L2" s="31" t="s">
        <v>135</v>
      </c>
      <c r="M2" s="31" t="str">
        <f>INDEX($O$2:$O$6,MATCH(MAX($P$2:$P$6),$P$2:$P$6,0))&amp;" ("&amp;TEXT(MAX($P$2:$P$6)/COUNTA(tbl_AttendanceTracker[Name]),"0.0%")&amp;")"</f>
        <v>Thursday (60.0%)</v>
      </c>
      <c r="O2" s="34" t="s">
        <v>144</v>
      </c>
      <c r="P2" s="34">
        <f>SUMIFS(tbl_AttendanceDetails[Present (1/0)],tbl_AttendanceDetails[Day],O2)</f>
        <v>25</v>
      </c>
    </row>
    <row r="3" spans="1:16" ht="14.4" x14ac:dyDescent="0.3">
      <c r="A3" s="4" t="s">
        <v>4</v>
      </c>
      <c r="B3" s="5">
        <v>45475</v>
      </c>
      <c r="C3" s="6" t="s">
        <v>122</v>
      </c>
      <c r="D3">
        <f t="shared" si="0"/>
        <v>0</v>
      </c>
      <c r="E3" t="str">
        <f t="shared" si="1"/>
        <v>Absent</v>
      </c>
      <c r="F3" t="str">
        <f>TEXT(tbl_AttendanceDetails[[#This Row],[Date]],"dddd")</f>
        <v>Tuesday</v>
      </c>
      <c r="H3" s="37">
        <v>45475</v>
      </c>
      <c r="I3" s="40">
        <v>25</v>
      </c>
      <c r="J3" s="43">
        <v>0.5</v>
      </c>
      <c r="L3" s="32" t="s">
        <v>136</v>
      </c>
      <c r="M3" s="32" t="str">
        <f>INDEX($O$2:$O$6,MATCH(MIN($P$2:$P$6),$P$2:$P$6,0))&amp;" ("&amp;TEXT(MIN($P$2:$P$6)/COUNTA(tbl_AttendanceTracker[Name]),"0.0%")&amp;")"</f>
        <v>Friday (46.0%)</v>
      </c>
      <c r="O3" s="32" t="s">
        <v>145</v>
      </c>
      <c r="P3" s="32">
        <f>SUMIFS(tbl_AttendanceDetails[Present (1/0)],tbl_AttendanceDetails[Day],O3)</f>
        <v>25</v>
      </c>
    </row>
    <row r="4" spans="1:16" ht="14.4" x14ac:dyDescent="0.3">
      <c r="A4" s="4" t="s">
        <v>4</v>
      </c>
      <c r="B4" s="5">
        <v>45476</v>
      </c>
      <c r="C4" s="6" t="s">
        <v>122</v>
      </c>
      <c r="D4">
        <f t="shared" si="0"/>
        <v>0</v>
      </c>
      <c r="E4" t="str">
        <f t="shared" si="1"/>
        <v>Absent</v>
      </c>
      <c r="F4" t="str">
        <f>TEXT(tbl_AttendanceDetails[[#This Row],[Date]],"dddd")</f>
        <v>Wednesday</v>
      </c>
      <c r="H4" s="36">
        <v>45476</v>
      </c>
      <c r="I4" s="39">
        <v>24</v>
      </c>
      <c r="J4" s="42">
        <v>0.48</v>
      </c>
      <c r="O4" s="34" t="s">
        <v>146</v>
      </c>
      <c r="P4" s="34">
        <f>SUMIFS(tbl_AttendanceDetails[Present (1/0)],tbl_AttendanceDetails[Day],O4)</f>
        <v>24</v>
      </c>
    </row>
    <row r="5" spans="1:16" ht="14.4" x14ac:dyDescent="0.3">
      <c r="A5" s="4" t="s">
        <v>4</v>
      </c>
      <c r="B5" s="5">
        <v>45477</v>
      </c>
      <c r="C5" s="6" t="s">
        <v>121</v>
      </c>
      <c r="D5">
        <f t="shared" si="0"/>
        <v>1</v>
      </c>
      <c r="E5" t="str">
        <f t="shared" si="1"/>
        <v>Present</v>
      </c>
      <c r="F5" t="str">
        <f>TEXT(tbl_AttendanceDetails[[#This Row],[Date]],"dddd")</f>
        <v>Thursday</v>
      </c>
      <c r="H5" s="37">
        <v>45477</v>
      </c>
      <c r="I5" s="40">
        <v>30</v>
      </c>
      <c r="J5" s="43">
        <v>0.6</v>
      </c>
      <c r="O5" s="32" t="s">
        <v>147</v>
      </c>
      <c r="P5" s="32">
        <f>SUMIFS(tbl_AttendanceDetails[Present (1/0)],tbl_AttendanceDetails[Day],O5)</f>
        <v>30</v>
      </c>
    </row>
    <row r="6" spans="1:16" ht="14.4" x14ac:dyDescent="0.3">
      <c r="A6" s="4" t="s">
        <v>4</v>
      </c>
      <c r="B6" s="5">
        <v>45478</v>
      </c>
      <c r="C6" s="6" t="s">
        <v>122</v>
      </c>
      <c r="D6">
        <f t="shared" si="0"/>
        <v>0</v>
      </c>
      <c r="E6" t="str">
        <f t="shared" si="1"/>
        <v>Absent</v>
      </c>
      <c r="F6" t="str">
        <f>TEXT(tbl_AttendanceDetails[[#This Row],[Date]],"dddd")</f>
        <v>Friday</v>
      </c>
      <c r="H6" s="36">
        <v>45478</v>
      </c>
      <c r="I6" s="39">
        <v>23</v>
      </c>
      <c r="J6" s="42">
        <v>0.46</v>
      </c>
      <c r="O6" s="34" t="s">
        <v>148</v>
      </c>
      <c r="P6" s="34">
        <f>SUMIFS(tbl_AttendanceDetails[Present (1/0)],tbl_AttendanceDetails[Day],O6)</f>
        <v>23</v>
      </c>
    </row>
    <row r="7" spans="1:16" ht="14.4" x14ac:dyDescent="0.3">
      <c r="A7" s="4" t="s">
        <v>13</v>
      </c>
      <c r="B7" s="5">
        <v>45474</v>
      </c>
      <c r="C7" s="4" t="s">
        <v>122</v>
      </c>
      <c r="D7">
        <f t="shared" si="0"/>
        <v>0</v>
      </c>
      <c r="E7" t="str">
        <f t="shared" si="1"/>
        <v>Absent</v>
      </c>
      <c r="F7" t="str">
        <f>TEXT(tbl_AttendanceDetails[[#This Row],[Date]],"dddd")</f>
        <v>Monday</v>
      </c>
      <c r="H7" s="38" t="s">
        <v>130</v>
      </c>
      <c r="I7" s="41">
        <v>127</v>
      </c>
      <c r="J7" s="44">
        <v>0.50800000000000001</v>
      </c>
    </row>
    <row r="8" spans="1:16" ht="14.4" x14ac:dyDescent="0.3">
      <c r="A8" s="4" t="s">
        <v>13</v>
      </c>
      <c r="B8" s="5">
        <v>45475</v>
      </c>
      <c r="C8" s="6" t="s">
        <v>121</v>
      </c>
      <c r="D8">
        <f t="shared" si="0"/>
        <v>1</v>
      </c>
      <c r="E8" t="str">
        <f t="shared" si="1"/>
        <v>Present</v>
      </c>
      <c r="F8" t="str">
        <f>TEXT(tbl_AttendanceDetails[[#This Row],[Date]],"dddd")</f>
        <v>Tuesday</v>
      </c>
    </row>
    <row r="9" spans="1:16" ht="14.4" x14ac:dyDescent="0.3">
      <c r="A9" s="4" t="s">
        <v>13</v>
      </c>
      <c r="B9" s="5">
        <v>45476</v>
      </c>
      <c r="C9" s="6" t="s">
        <v>121</v>
      </c>
      <c r="D9">
        <f t="shared" si="0"/>
        <v>1</v>
      </c>
      <c r="E9" t="str">
        <f t="shared" si="1"/>
        <v>Present</v>
      </c>
      <c r="F9" t="str">
        <f>TEXT(tbl_AttendanceDetails[[#This Row],[Date]],"dddd")</f>
        <v>Wednesday</v>
      </c>
    </row>
    <row r="10" spans="1:16" ht="14.4" x14ac:dyDescent="0.3">
      <c r="A10" s="4" t="s">
        <v>13</v>
      </c>
      <c r="B10" s="5">
        <v>45477</v>
      </c>
      <c r="C10" s="6" t="s">
        <v>122</v>
      </c>
      <c r="D10">
        <f t="shared" si="0"/>
        <v>0</v>
      </c>
      <c r="E10" t="str">
        <f t="shared" si="1"/>
        <v>Absent</v>
      </c>
      <c r="F10" t="str">
        <f>TEXT(tbl_AttendanceDetails[[#This Row],[Date]],"dddd")</f>
        <v>Thursday</v>
      </c>
    </row>
    <row r="11" spans="1:16" ht="14.4" x14ac:dyDescent="0.3">
      <c r="A11" s="4" t="s">
        <v>13</v>
      </c>
      <c r="B11" s="5">
        <v>45478</v>
      </c>
      <c r="C11" s="6" t="s">
        <v>122</v>
      </c>
      <c r="D11">
        <f t="shared" si="0"/>
        <v>0</v>
      </c>
      <c r="E11" t="str">
        <f t="shared" si="1"/>
        <v>Absent</v>
      </c>
      <c r="F11" t="str">
        <f>TEXT(tbl_AttendanceDetails[[#This Row],[Date]],"dddd")</f>
        <v>Friday</v>
      </c>
    </row>
    <row r="12" spans="1:16" ht="14.4" x14ac:dyDescent="0.3">
      <c r="A12" s="4" t="s">
        <v>14</v>
      </c>
      <c r="B12" s="5">
        <v>45474</v>
      </c>
      <c r="C12" s="4" t="s">
        <v>121</v>
      </c>
      <c r="D12">
        <f t="shared" si="0"/>
        <v>1</v>
      </c>
      <c r="E12" t="str">
        <f t="shared" si="1"/>
        <v>Present</v>
      </c>
      <c r="F12" t="str">
        <f>TEXT(tbl_AttendanceDetails[[#This Row],[Date]],"dddd")</f>
        <v>Monday</v>
      </c>
    </row>
    <row r="13" spans="1:16" ht="14.4" x14ac:dyDescent="0.3">
      <c r="A13" s="4" t="s">
        <v>14</v>
      </c>
      <c r="B13" s="5">
        <v>45475</v>
      </c>
      <c r="C13" s="6" t="s">
        <v>122</v>
      </c>
      <c r="D13">
        <f t="shared" si="0"/>
        <v>0</v>
      </c>
      <c r="E13" t="str">
        <f t="shared" si="1"/>
        <v>Absent</v>
      </c>
      <c r="F13" t="str">
        <f>TEXT(tbl_AttendanceDetails[[#This Row],[Date]],"dddd")</f>
        <v>Tuesday</v>
      </c>
    </row>
    <row r="14" spans="1:16" ht="14.4" x14ac:dyDescent="0.3">
      <c r="A14" s="4" t="s">
        <v>14</v>
      </c>
      <c r="B14" s="5">
        <v>45476</v>
      </c>
      <c r="C14" s="6" t="s">
        <v>121</v>
      </c>
      <c r="D14">
        <f t="shared" si="0"/>
        <v>1</v>
      </c>
      <c r="E14" t="str">
        <f t="shared" si="1"/>
        <v>Present</v>
      </c>
      <c r="F14" t="str">
        <f>TEXT(tbl_AttendanceDetails[[#This Row],[Date]],"dddd")</f>
        <v>Wednesday</v>
      </c>
    </row>
    <row r="15" spans="1:16" ht="14.4" x14ac:dyDescent="0.3">
      <c r="A15" s="4" t="s">
        <v>14</v>
      </c>
      <c r="B15" s="5">
        <v>45477</v>
      </c>
      <c r="C15" s="6" t="s">
        <v>121</v>
      </c>
      <c r="D15">
        <f t="shared" si="0"/>
        <v>1</v>
      </c>
      <c r="E15" t="str">
        <f t="shared" si="1"/>
        <v>Present</v>
      </c>
      <c r="F15" t="str">
        <f>TEXT(tbl_AttendanceDetails[[#This Row],[Date]],"dddd")</f>
        <v>Thursday</v>
      </c>
    </row>
    <row r="16" spans="1:16" ht="14.4" x14ac:dyDescent="0.3">
      <c r="A16" s="4" t="s">
        <v>14</v>
      </c>
      <c r="B16" s="5">
        <v>45478</v>
      </c>
      <c r="C16" s="6" t="s">
        <v>122</v>
      </c>
      <c r="D16">
        <f t="shared" si="0"/>
        <v>0</v>
      </c>
      <c r="E16" t="str">
        <f t="shared" si="1"/>
        <v>Absent</v>
      </c>
      <c r="F16" t="str">
        <f>TEXT(tbl_AttendanceDetails[[#This Row],[Date]],"dddd")</f>
        <v>Friday</v>
      </c>
    </row>
    <row r="17" spans="1:6" ht="14.4" x14ac:dyDescent="0.3">
      <c r="A17" s="4" t="s">
        <v>15</v>
      </c>
      <c r="B17" s="5">
        <v>45474</v>
      </c>
      <c r="C17" s="4" t="s">
        <v>122</v>
      </c>
      <c r="D17">
        <f t="shared" si="0"/>
        <v>0</v>
      </c>
      <c r="E17" t="str">
        <f t="shared" si="1"/>
        <v>Absent</v>
      </c>
      <c r="F17" t="str">
        <f>TEXT(tbl_AttendanceDetails[[#This Row],[Date]],"dddd")</f>
        <v>Monday</v>
      </c>
    </row>
    <row r="18" spans="1:6" ht="14.4" x14ac:dyDescent="0.3">
      <c r="A18" s="4" t="s">
        <v>15</v>
      </c>
      <c r="B18" s="5">
        <v>45475</v>
      </c>
      <c r="C18" s="6" t="s">
        <v>122</v>
      </c>
      <c r="D18">
        <f t="shared" si="0"/>
        <v>0</v>
      </c>
      <c r="E18" t="str">
        <f t="shared" si="1"/>
        <v>Absent</v>
      </c>
      <c r="F18" t="str">
        <f>TEXT(tbl_AttendanceDetails[[#This Row],[Date]],"dddd")</f>
        <v>Tuesday</v>
      </c>
    </row>
    <row r="19" spans="1:6" ht="14.4" x14ac:dyDescent="0.3">
      <c r="A19" s="4" t="s">
        <v>15</v>
      </c>
      <c r="B19" s="5">
        <v>45476</v>
      </c>
      <c r="C19" s="6" t="s">
        <v>122</v>
      </c>
      <c r="D19">
        <f t="shared" si="0"/>
        <v>0</v>
      </c>
      <c r="E19" t="str">
        <f t="shared" si="1"/>
        <v>Absent</v>
      </c>
      <c r="F19" t="str">
        <f>TEXT(tbl_AttendanceDetails[[#This Row],[Date]],"dddd")</f>
        <v>Wednesday</v>
      </c>
    </row>
    <row r="20" spans="1:6" ht="14.4" x14ac:dyDescent="0.3">
      <c r="A20" s="4" t="s">
        <v>15</v>
      </c>
      <c r="B20" s="5">
        <v>45477</v>
      </c>
      <c r="C20" s="6" t="s">
        <v>122</v>
      </c>
      <c r="D20">
        <f t="shared" si="0"/>
        <v>0</v>
      </c>
      <c r="E20" t="str">
        <f t="shared" si="1"/>
        <v>Absent</v>
      </c>
      <c r="F20" t="str">
        <f>TEXT(tbl_AttendanceDetails[[#This Row],[Date]],"dddd")</f>
        <v>Thursday</v>
      </c>
    </row>
    <row r="21" spans="1:6" ht="15.75" customHeight="1" x14ac:dyDescent="0.3">
      <c r="A21" s="4" t="s">
        <v>15</v>
      </c>
      <c r="B21" s="5">
        <v>45478</v>
      </c>
      <c r="C21" s="6" t="s">
        <v>122</v>
      </c>
      <c r="D21">
        <f t="shared" si="0"/>
        <v>0</v>
      </c>
      <c r="E21" t="str">
        <f t="shared" si="1"/>
        <v>Absent</v>
      </c>
      <c r="F21" t="str">
        <f>TEXT(tbl_AttendanceDetails[[#This Row],[Date]],"dddd")</f>
        <v>Friday</v>
      </c>
    </row>
    <row r="22" spans="1:6" ht="15.75" customHeight="1" x14ac:dyDescent="0.3">
      <c r="A22" s="4" t="s">
        <v>16</v>
      </c>
      <c r="B22" s="5">
        <v>45474</v>
      </c>
      <c r="C22" s="4" t="s">
        <v>121</v>
      </c>
      <c r="D22">
        <f t="shared" si="0"/>
        <v>1</v>
      </c>
      <c r="E22" t="str">
        <f t="shared" si="1"/>
        <v>Present</v>
      </c>
      <c r="F22" t="str">
        <f>TEXT(tbl_AttendanceDetails[[#This Row],[Date]],"dddd")</f>
        <v>Monday</v>
      </c>
    </row>
    <row r="23" spans="1:6" ht="15.75" customHeight="1" x14ac:dyDescent="0.3">
      <c r="A23" s="4" t="s">
        <v>16</v>
      </c>
      <c r="B23" s="5">
        <v>45475</v>
      </c>
      <c r="C23" s="6" t="s">
        <v>121</v>
      </c>
      <c r="D23">
        <f t="shared" si="0"/>
        <v>1</v>
      </c>
      <c r="E23" t="str">
        <f t="shared" si="1"/>
        <v>Present</v>
      </c>
      <c r="F23" t="str">
        <f>TEXT(tbl_AttendanceDetails[[#This Row],[Date]],"dddd")</f>
        <v>Tuesday</v>
      </c>
    </row>
    <row r="24" spans="1:6" ht="15.75" customHeight="1" x14ac:dyDescent="0.3">
      <c r="A24" s="4" t="s">
        <v>16</v>
      </c>
      <c r="B24" s="5">
        <v>45476</v>
      </c>
      <c r="C24" s="6" t="s">
        <v>122</v>
      </c>
      <c r="D24">
        <f t="shared" si="0"/>
        <v>0</v>
      </c>
      <c r="E24" t="str">
        <f t="shared" si="1"/>
        <v>Absent</v>
      </c>
      <c r="F24" t="str">
        <f>TEXT(tbl_AttendanceDetails[[#This Row],[Date]],"dddd")</f>
        <v>Wednesday</v>
      </c>
    </row>
    <row r="25" spans="1:6" ht="15.75" customHeight="1" x14ac:dyDescent="0.3">
      <c r="A25" s="4" t="s">
        <v>16</v>
      </c>
      <c r="B25" s="5">
        <v>45477</v>
      </c>
      <c r="C25" s="6" t="s">
        <v>122</v>
      </c>
      <c r="D25">
        <f t="shared" si="0"/>
        <v>0</v>
      </c>
      <c r="E25" t="str">
        <f t="shared" si="1"/>
        <v>Absent</v>
      </c>
      <c r="F25" t="str">
        <f>TEXT(tbl_AttendanceDetails[[#This Row],[Date]],"dddd")</f>
        <v>Thursday</v>
      </c>
    </row>
    <row r="26" spans="1:6" ht="15.75" customHeight="1" x14ac:dyDescent="0.3">
      <c r="A26" s="4" t="s">
        <v>16</v>
      </c>
      <c r="B26" s="5">
        <v>45478</v>
      </c>
      <c r="C26" s="6" t="s">
        <v>121</v>
      </c>
      <c r="D26">
        <f t="shared" si="0"/>
        <v>1</v>
      </c>
      <c r="E26" t="str">
        <f t="shared" si="1"/>
        <v>Present</v>
      </c>
      <c r="F26" t="str">
        <f>TEXT(tbl_AttendanceDetails[[#This Row],[Date]],"dddd")</f>
        <v>Friday</v>
      </c>
    </row>
    <row r="27" spans="1:6" ht="15.75" customHeight="1" x14ac:dyDescent="0.3">
      <c r="A27" s="4" t="s">
        <v>17</v>
      </c>
      <c r="B27" s="5">
        <v>45474</v>
      </c>
      <c r="C27" s="4" t="s">
        <v>122</v>
      </c>
      <c r="D27">
        <f t="shared" si="0"/>
        <v>0</v>
      </c>
      <c r="E27" t="str">
        <f t="shared" si="1"/>
        <v>Absent</v>
      </c>
      <c r="F27" t="str">
        <f>TEXT(tbl_AttendanceDetails[[#This Row],[Date]],"dddd")</f>
        <v>Monday</v>
      </c>
    </row>
    <row r="28" spans="1:6" ht="15.75" customHeight="1" x14ac:dyDescent="0.3">
      <c r="A28" s="4" t="s">
        <v>17</v>
      </c>
      <c r="B28" s="5">
        <v>45475</v>
      </c>
      <c r="C28" s="6" t="s">
        <v>121</v>
      </c>
      <c r="D28">
        <f t="shared" si="0"/>
        <v>1</v>
      </c>
      <c r="E28" t="str">
        <f t="shared" si="1"/>
        <v>Present</v>
      </c>
      <c r="F28" t="str">
        <f>TEXT(tbl_AttendanceDetails[[#This Row],[Date]],"dddd")</f>
        <v>Tuesday</v>
      </c>
    </row>
    <row r="29" spans="1:6" ht="15.75" customHeight="1" x14ac:dyDescent="0.3">
      <c r="A29" s="4" t="s">
        <v>17</v>
      </c>
      <c r="B29" s="5">
        <v>45476</v>
      </c>
      <c r="C29" s="6" t="s">
        <v>122</v>
      </c>
      <c r="D29">
        <f t="shared" si="0"/>
        <v>0</v>
      </c>
      <c r="E29" t="str">
        <f t="shared" si="1"/>
        <v>Absent</v>
      </c>
      <c r="F29" t="str">
        <f>TEXT(tbl_AttendanceDetails[[#This Row],[Date]],"dddd")</f>
        <v>Wednesday</v>
      </c>
    </row>
    <row r="30" spans="1:6" ht="15.75" customHeight="1" x14ac:dyDescent="0.3">
      <c r="A30" s="4" t="s">
        <v>17</v>
      </c>
      <c r="B30" s="5">
        <v>45477</v>
      </c>
      <c r="C30" s="6" t="s">
        <v>121</v>
      </c>
      <c r="D30">
        <f t="shared" si="0"/>
        <v>1</v>
      </c>
      <c r="E30" t="str">
        <f t="shared" si="1"/>
        <v>Present</v>
      </c>
      <c r="F30" t="str">
        <f>TEXT(tbl_AttendanceDetails[[#This Row],[Date]],"dddd")</f>
        <v>Thursday</v>
      </c>
    </row>
    <row r="31" spans="1:6" ht="15.75" customHeight="1" x14ac:dyDescent="0.3">
      <c r="A31" s="4" t="s">
        <v>17</v>
      </c>
      <c r="B31" s="5">
        <v>45478</v>
      </c>
      <c r="C31" s="6" t="s">
        <v>121</v>
      </c>
      <c r="D31">
        <f t="shared" si="0"/>
        <v>1</v>
      </c>
      <c r="E31" t="str">
        <f t="shared" si="1"/>
        <v>Present</v>
      </c>
      <c r="F31" t="str">
        <f>TEXT(tbl_AttendanceDetails[[#This Row],[Date]],"dddd")</f>
        <v>Friday</v>
      </c>
    </row>
    <row r="32" spans="1:6" ht="15.75" customHeight="1" x14ac:dyDescent="0.3">
      <c r="A32" s="4" t="s">
        <v>18</v>
      </c>
      <c r="B32" s="5">
        <v>45474</v>
      </c>
      <c r="C32" s="4" t="s">
        <v>121</v>
      </c>
      <c r="D32">
        <f t="shared" si="0"/>
        <v>1</v>
      </c>
      <c r="E32" t="str">
        <f t="shared" si="1"/>
        <v>Present</v>
      </c>
      <c r="F32" t="str">
        <f>TEXT(tbl_AttendanceDetails[[#This Row],[Date]],"dddd")</f>
        <v>Monday</v>
      </c>
    </row>
    <row r="33" spans="1:6" ht="15.75" customHeight="1" x14ac:dyDescent="0.3">
      <c r="A33" s="4" t="s">
        <v>18</v>
      </c>
      <c r="B33" s="5">
        <v>45475</v>
      </c>
      <c r="C33" s="6" t="s">
        <v>121</v>
      </c>
      <c r="D33">
        <f t="shared" si="0"/>
        <v>1</v>
      </c>
      <c r="E33" t="str">
        <f t="shared" si="1"/>
        <v>Present</v>
      </c>
      <c r="F33" t="str">
        <f>TEXT(tbl_AttendanceDetails[[#This Row],[Date]],"dddd")</f>
        <v>Tuesday</v>
      </c>
    </row>
    <row r="34" spans="1:6" ht="15.75" customHeight="1" x14ac:dyDescent="0.3">
      <c r="A34" s="4" t="s">
        <v>18</v>
      </c>
      <c r="B34" s="5">
        <v>45476</v>
      </c>
      <c r="C34" s="6" t="s">
        <v>122</v>
      </c>
      <c r="D34">
        <f t="shared" si="0"/>
        <v>0</v>
      </c>
      <c r="E34" t="str">
        <f t="shared" si="1"/>
        <v>Absent</v>
      </c>
      <c r="F34" t="str">
        <f>TEXT(tbl_AttendanceDetails[[#This Row],[Date]],"dddd")</f>
        <v>Wednesday</v>
      </c>
    </row>
    <row r="35" spans="1:6" ht="15.75" customHeight="1" x14ac:dyDescent="0.3">
      <c r="A35" s="4" t="s">
        <v>18</v>
      </c>
      <c r="B35" s="5">
        <v>45477</v>
      </c>
      <c r="C35" s="6" t="s">
        <v>121</v>
      </c>
      <c r="D35">
        <f t="shared" si="0"/>
        <v>1</v>
      </c>
      <c r="E35" t="str">
        <f t="shared" si="1"/>
        <v>Present</v>
      </c>
      <c r="F35" t="str">
        <f>TEXT(tbl_AttendanceDetails[[#This Row],[Date]],"dddd")</f>
        <v>Thursday</v>
      </c>
    </row>
    <row r="36" spans="1:6" ht="15.75" customHeight="1" x14ac:dyDescent="0.3">
      <c r="A36" s="4" t="s">
        <v>18</v>
      </c>
      <c r="B36" s="5">
        <v>45478</v>
      </c>
      <c r="C36" s="6" t="s">
        <v>122</v>
      </c>
      <c r="D36">
        <f t="shared" si="0"/>
        <v>0</v>
      </c>
      <c r="E36" t="str">
        <f t="shared" si="1"/>
        <v>Absent</v>
      </c>
      <c r="F36" t="str">
        <f>TEXT(tbl_AttendanceDetails[[#This Row],[Date]],"dddd")</f>
        <v>Friday</v>
      </c>
    </row>
    <row r="37" spans="1:6" ht="15.75" customHeight="1" x14ac:dyDescent="0.3">
      <c r="A37" s="4" t="s">
        <v>19</v>
      </c>
      <c r="B37" s="5">
        <v>45474</v>
      </c>
      <c r="C37" s="4" t="s">
        <v>122</v>
      </c>
      <c r="D37">
        <f t="shared" si="0"/>
        <v>0</v>
      </c>
      <c r="E37" t="str">
        <f t="shared" si="1"/>
        <v>Absent</v>
      </c>
      <c r="F37" t="str">
        <f>TEXT(tbl_AttendanceDetails[[#This Row],[Date]],"dddd")</f>
        <v>Monday</v>
      </c>
    </row>
    <row r="38" spans="1:6" ht="15.75" customHeight="1" x14ac:dyDescent="0.3">
      <c r="A38" s="4" t="s">
        <v>19</v>
      </c>
      <c r="B38" s="5">
        <v>45475</v>
      </c>
      <c r="C38" s="6" t="s">
        <v>122</v>
      </c>
      <c r="D38">
        <f t="shared" si="0"/>
        <v>0</v>
      </c>
      <c r="E38" t="str">
        <f t="shared" si="1"/>
        <v>Absent</v>
      </c>
      <c r="F38" t="str">
        <f>TEXT(tbl_AttendanceDetails[[#This Row],[Date]],"dddd")</f>
        <v>Tuesday</v>
      </c>
    </row>
    <row r="39" spans="1:6" ht="15.75" customHeight="1" x14ac:dyDescent="0.3">
      <c r="A39" s="4" t="s">
        <v>19</v>
      </c>
      <c r="B39" s="5">
        <v>45476</v>
      </c>
      <c r="C39" s="6" t="s">
        <v>122</v>
      </c>
      <c r="D39">
        <f t="shared" si="0"/>
        <v>0</v>
      </c>
      <c r="E39" t="str">
        <f t="shared" si="1"/>
        <v>Absent</v>
      </c>
      <c r="F39" t="str">
        <f>TEXT(tbl_AttendanceDetails[[#This Row],[Date]],"dddd")</f>
        <v>Wednesday</v>
      </c>
    </row>
    <row r="40" spans="1:6" ht="15.75" customHeight="1" x14ac:dyDescent="0.3">
      <c r="A40" s="4" t="s">
        <v>19</v>
      </c>
      <c r="B40" s="5">
        <v>45477</v>
      </c>
      <c r="C40" s="6" t="s">
        <v>121</v>
      </c>
      <c r="D40">
        <f t="shared" si="0"/>
        <v>1</v>
      </c>
      <c r="E40" t="str">
        <f t="shared" si="1"/>
        <v>Present</v>
      </c>
      <c r="F40" t="str">
        <f>TEXT(tbl_AttendanceDetails[[#This Row],[Date]],"dddd")</f>
        <v>Thursday</v>
      </c>
    </row>
    <row r="41" spans="1:6" ht="15.75" customHeight="1" x14ac:dyDescent="0.3">
      <c r="A41" s="4" t="s">
        <v>19</v>
      </c>
      <c r="B41" s="5">
        <v>45478</v>
      </c>
      <c r="C41" s="6" t="s">
        <v>121</v>
      </c>
      <c r="D41">
        <f t="shared" si="0"/>
        <v>1</v>
      </c>
      <c r="E41" t="str">
        <f t="shared" si="1"/>
        <v>Present</v>
      </c>
      <c r="F41" t="str">
        <f>TEXT(tbl_AttendanceDetails[[#This Row],[Date]],"dddd")</f>
        <v>Friday</v>
      </c>
    </row>
    <row r="42" spans="1:6" ht="15.75" customHeight="1" x14ac:dyDescent="0.3">
      <c r="A42" s="4" t="s">
        <v>20</v>
      </c>
      <c r="B42" s="5">
        <v>45474</v>
      </c>
      <c r="C42" s="4" t="s">
        <v>121</v>
      </c>
      <c r="D42">
        <f t="shared" si="0"/>
        <v>1</v>
      </c>
      <c r="E42" t="str">
        <f t="shared" si="1"/>
        <v>Present</v>
      </c>
      <c r="F42" t="str">
        <f>TEXT(tbl_AttendanceDetails[[#This Row],[Date]],"dddd")</f>
        <v>Monday</v>
      </c>
    </row>
    <row r="43" spans="1:6" ht="15.75" customHeight="1" x14ac:dyDescent="0.3">
      <c r="A43" s="4" t="s">
        <v>20</v>
      </c>
      <c r="B43" s="5">
        <v>45475</v>
      </c>
      <c r="C43" s="6" t="s">
        <v>122</v>
      </c>
      <c r="D43">
        <f t="shared" si="0"/>
        <v>0</v>
      </c>
      <c r="E43" t="str">
        <f t="shared" si="1"/>
        <v>Absent</v>
      </c>
      <c r="F43" t="str">
        <f>TEXT(tbl_AttendanceDetails[[#This Row],[Date]],"dddd")</f>
        <v>Tuesday</v>
      </c>
    </row>
    <row r="44" spans="1:6" ht="15.75" customHeight="1" x14ac:dyDescent="0.3">
      <c r="A44" s="4" t="s">
        <v>20</v>
      </c>
      <c r="B44" s="5">
        <v>45476</v>
      </c>
      <c r="C44" s="6" t="s">
        <v>121</v>
      </c>
      <c r="D44">
        <f t="shared" si="0"/>
        <v>1</v>
      </c>
      <c r="E44" t="str">
        <f t="shared" si="1"/>
        <v>Present</v>
      </c>
      <c r="F44" t="str">
        <f>TEXT(tbl_AttendanceDetails[[#This Row],[Date]],"dddd")</f>
        <v>Wednesday</v>
      </c>
    </row>
    <row r="45" spans="1:6" ht="15.75" customHeight="1" x14ac:dyDescent="0.3">
      <c r="A45" s="4" t="s">
        <v>20</v>
      </c>
      <c r="B45" s="5">
        <v>45477</v>
      </c>
      <c r="C45" s="6" t="s">
        <v>122</v>
      </c>
      <c r="D45">
        <f t="shared" si="0"/>
        <v>0</v>
      </c>
      <c r="E45" t="str">
        <f t="shared" si="1"/>
        <v>Absent</v>
      </c>
      <c r="F45" t="str">
        <f>TEXT(tbl_AttendanceDetails[[#This Row],[Date]],"dddd")</f>
        <v>Thursday</v>
      </c>
    </row>
    <row r="46" spans="1:6" ht="15.75" customHeight="1" x14ac:dyDescent="0.3">
      <c r="A46" s="4" t="s">
        <v>20</v>
      </c>
      <c r="B46" s="5">
        <v>45478</v>
      </c>
      <c r="C46" s="6" t="s">
        <v>121</v>
      </c>
      <c r="D46">
        <f t="shared" si="0"/>
        <v>1</v>
      </c>
      <c r="E46" t="str">
        <f t="shared" si="1"/>
        <v>Present</v>
      </c>
      <c r="F46" t="str">
        <f>TEXT(tbl_AttendanceDetails[[#This Row],[Date]],"dddd")</f>
        <v>Friday</v>
      </c>
    </row>
    <row r="47" spans="1:6" ht="15.75" customHeight="1" x14ac:dyDescent="0.3">
      <c r="A47" s="4" t="s">
        <v>21</v>
      </c>
      <c r="B47" s="5">
        <v>45474</v>
      </c>
      <c r="C47" s="4" t="s">
        <v>122</v>
      </c>
      <c r="D47">
        <f t="shared" si="0"/>
        <v>0</v>
      </c>
      <c r="E47" t="str">
        <f t="shared" si="1"/>
        <v>Absent</v>
      </c>
      <c r="F47" t="str">
        <f>TEXT(tbl_AttendanceDetails[[#This Row],[Date]],"dddd")</f>
        <v>Monday</v>
      </c>
    </row>
    <row r="48" spans="1:6" ht="15.75" customHeight="1" x14ac:dyDescent="0.3">
      <c r="A48" s="4" t="s">
        <v>21</v>
      </c>
      <c r="B48" s="5">
        <v>45475</v>
      </c>
      <c r="C48" s="6" t="s">
        <v>121</v>
      </c>
      <c r="D48">
        <f t="shared" si="0"/>
        <v>1</v>
      </c>
      <c r="E48" t="str">
        <f t="shared" si="1"/>
        <v>Present</v>
      </c>
      <c r="F48" t="str">
        <f>TEXT(tbl_AttendanceDetails[[#This Row],[Date]],"dddd")</f>
        <v>Tuesday</v>
      </c>
    </row>
    <row r="49" spans="1:6" ht="15.75" customHeight="1" x14ac:dyDescent="0.3">
      <c r="A49" s="4" t="s">
        <v>21</v>
      </c>
      <c r="B49" s="5">
        <v>45476</v>
      </c>
      <c r="C49" s="6" t="s">
        <v>121</v>
      </c>
      <c r="D49">
        <f t="shared" si="0"/>
        <v>1</v>
      </c>
      <c r="E49" t="str">
        <f t="shared" si="1"/>
        <v>Present</v>
      </c>
      <c r="F49" t="str">
        <f>TEXT(tbl_AttendanceDetails[[#This Row],[Date]],"dddd")</f>
        <v>Wednesday</v>
      </c>
    </row>
    <row r="50" spans="1:6" ht="15.75" customHeight="1" x14ac:dyDescent="0.3">
      <c r="A50" s="4" t="s">
        <v>21</v>
      </c>
      <c r="B50" s="5">
        <v>45477</v>
      </c>
      <c r="C50" s="6" t="s">
        <v>122</v>
      </c>
      <c r="D50">
        <f t="shared" si="0"/>
        <v>0</v>
      </c>
      <c r="E50" t="str">
        <f t="shared" si="1"/>
        <v>Absent</v>
      </c>
      <c r="F50" t="str">
        <f>TEXT(tbl_AttendanceDetails[[#This Row],[Date]],"dddd")</f>
        <v>Thursday</v>
      </c>
    </row>
    <row r="51" spans="1:6" ht="15.75" customHeight="1" x14ac:dyDescent="0.3">
      <c r="A51" s="4" t="s">
        <v>21</v>
      </c>
      <c r="B51" s="5">
        <v>45478</v>
      </c>
      <c r="C51" s="6" t="s">
        <v>121</v>
      </c>
      <c r="D51">
        <f t="shared" si="0"/>
        <v>1</v>
      </c>
      <c r="E51" t="str">
        <f t="shared" si="1"/>
        <v>Present</v>
      </c>
      <c r="F51" t="str">
        <f>TEXT(tbl_AttendanceDetails[[#This Row],[Date]],"dddd")</f>
        <v>Friday</v>
      </c>
    </row>
    <row r="52" spans="1:6" ht="15.75" customHeight="1" x14ac:dyDescent="0.3">
      <c r="A52" s="4" t="s">
        <v>22</v>
      </c>
      <c r="B52" s="5">
        <v>45474</v>
      </c>
      <c r="C52" s="4" t="s">
        <v>121</v>
      </c>
      <c r="D52">
        <f t="shared" si="0"/>
        <v>1</v>
      </c>
      <c r="E52" t="str">
        <f t="shared" si="1"/>
        <v>Present</v>
      </c>
      <c r="F52" t="str">
        <f>TEXT(tbl_AttendanceDetails[[#This Row],[Date]],"dddd")</f>
        <v>Monday</v>
      </c>
    </row>
    <row r="53" spans="1:6" ht="15.75" customHeight="1" x14ac:dyDescent="0.3">
      <c r="A53" s="4" t="s">
        <v>22</v>
      </c>
      <c r="B53" s="5">
        <v>45475</v>
      </c>
      <c r="C53" s="6" t="s">
        <v>121</v>
      </c>
      <c r="D53">
        <f t="shared" si="0"/>
        <v>1</v>
      </c>
      <c r="E53" t="str">
        <f t="shared" si="1"/>
        <v>Present</v>
      </c>
      <c r="F53" t="str">
        <f>TEXT(tbl_AttendanceDetails[[#This Row],[Date]],"dddd")</f>
        <v>Tuesday</v>
      </c>
    </row>
    <row r="54" spans="1:6" ht="15.75" customHeight="1" x14ac:dyDescent="0.3">
      <c r="A54" s="4" t="s">
        <v>22</v>
      </c>
      <c r="B54" s="5">
        <v>45476</v>
      </c>
      <c r="C54" s="6" t="s">
        <v>121</v>
      </c>
      <c r="D54">
        <f t="shared" si="0"/>
        <v>1</v>
      </c>
      <c r="E54" t="str">
        <f t="shared" si="1"/>
        <v>Present</v>
      </c>
      <c r="F54" t="str">
        <f>TEXT(tbl_AttendanceDetails[[#This Row],[Date]],"dddd")</f>
        <v>Wednesday</v>
      </c>
    </row>
    <row r="55" spans="1:6" ht="15.75" customHeight="1" x14ac:dyDescent="0.3">
      <c r="A55" s="4" t="s">
        <v>22</v>
      </c>
      <c r="B55" s="5">
        <v>45477</v>
      </c>
      <c r="C55" s="6" t="s">
        <v>122</v>
      </c>
      <c r="D55">
        <f t="shared" si="0"/>
        <v>0</v>
      </c>
      <c r="E55" t="str">
        <f t="shared" si="1"/>
        <v>Absent</v>
      </c>
      <c r="F55" t="str">
        <f>TEXT(tbl_AttendanceDetails[[#This Row],[Date]],"dddd")</f>
        <v>Thursday</v>
      </c>
    </row>
    <row r="56" spans="1:6" ht="15.75" customHeight="1" x14ac:dyDescent="0.3">
      <c r="A56" s="4" t="s">
        <v>22</v>
      </c>
      <c r="B56" s="5">
        <v>45478</v>
      </c>
      <c r="C56" s="6" t="s">
        <v>122</v>
      </c>
      <c r="D56">
        <f t="shared" si="0"/>
        <v>0</v>
      </c>
      <c r="E56" t="str">
        <f t="shared" si="1"/>
        <v>Absent</v>
      </c>
      <c r="F56" t="str">
        <f>TEXT(tbl_AttendanceDetails[[#This Row],[Date]],"dddd")</f>
        <v>Friday</v>
      </c>
    </row>
    <row r="57" spans="1:6" ht="15.75" customHeight="1" x14ac:dyDescent="0.3">
      <c r="A57" s="4" t="s">
        <v>5</v>
      </c>
      <c r="B57" s="5">
        <v>45474</v>
      </c>
      <c r="C57" s="4" t="s">
        <v>122</v>
      </c>
      <c r="D57">
        <f t="shared" si="0"/>
        <v>0</v>
      </c>
      <c r="E57" t="str">
        <f t="shared" si="1"/>
        <v>Absent</v>
      </c>
      <c r="F57" t="str">
        <f>TEXT(tbl_AttendanceDetails[[#This Row],[Date]],"dddd")</f>
        <v>Monday</v>
      </c>
    </row>
    <row r="58" spans="1:6" ht="15.75" customHeight="1" x14ac:dyDescent="0.3">
      <c r="A58" s="4" t="s">
        <v>5</v>
      </c>
      <c r="B58" s="5">
        <v>45475</v>
      </c>
      <c r="C58" s="6" t="s">
        <v>121</v>
      </c>
      <c r="D58">
        <f t="shared" si="0"/>
        <v>1</v>
      </c>
      <c r="E58" t="str">
        <f t="shared" si="1"/>
        <v>Present</v>
      </c>
      <c r="F58" t="str">
        <f>TEXT(tbl_AttendanceDetails[[#This Row],[Date]],"dddd")</f>
        <v>Tuesday</v>
      </c>
    </row>
    <row r="59" spans="1:6" ht="15.75" customHeight="1" x14ac:dyDescent="0.3">
      <c r="A59" s="4" t="s">
        <v>5</v>
      </c>
      <c r="B59" s="5">
        <v>45476</v>
      </c>
      <c r="C59" s="6" t="s">
        <v>121</v>
      </c>
      <c r="D59">
        <f t="shared" si="0"/>
        <v>1</v>
      </c>
      <c r="E59" t="str">
        <f t="shared" si="1"/>
        <v>Present</v>
      </c>
      <c r="F59" t="str">
        <f>TEXT(tbl_AttendanceDetails[[#This Row],[Date]],"dddd")</f>
        <v>Wednesday</v>
      </c>
    </row>
    <row r="60" spans="1:6" ht="15.75" customHeight="1" x14ac:dyDescent="0.3">
      <c r="A60" s="4" t="s">
        <v>5</v>
      </c>
      <c r="B60" s="5">
        <v>45477</v>
      </c>
      <c r="C60" s="6" t="s">
        <v>121</v>
      </c>
      <c r="D60">
        <f t="shared" si="0"/>
        <v>1</v>
      </c>
      <c r="E60" t="str">
        <f t="shared" si="1"/>
        <v>Present</v>
      </c>
      <c r="F60" t="str">
        <f>TEXT(tbl_AttendanceDetails[[#This Row],[Date]],"dddd")</f>
        <v>Thursday</v>
      </c>
    </row>
    <row r="61" spans="1:6" ht="15.75" customHeight="1" x14ac:dyDescent="0.3">
      <c r="A61" s="4" t="s">
        <v>5</v>
      </c>
      <c r="B61" s="5">
        <v>45478</v>
      </c>
      <c r="C61" s="6" t="s">
        <v>122</v>
      </c>
      <c r="D61">
        <f t="shared" si="0"/>
        <v>0</v>
      </c>
      <c r="E61" t="str">
        <f t="shared" si="1"/>
        <v>Absent</v>
      </c>
      <c r="F61" t="str">
        <f>TEXT(tbl_AttendanceDetails[[#This Row],[Date]],"dddd")</f>
        <v>Friday</v>
      </c>
    </row>
    <row r="62" spans="1:6" ht="15.75" customHeight="1" x14ac:dyDescent="0.3">
      <c r="A62" s="4" t="s">
        <v>23</v>
      </c>
      <c r="B62" s="5">
        <v>45474</v>
      </c>
      <c r="C62" s="4" t="s">
        <v>122</v>
      </c>
      <c r="D62">
        <f t="shared" si="0"/>
        <v>0</v>
      </c>
      <c r="E62" t="str">
        <f t="shared" si="1"/>
        <v>Absent</v>
      </c>
      <c r="F62" t="str">
        <f>TEXT(tbl_AttendanceDetails[[#This Row],[Date]],"dddd")</f>
        <v>Monday</v>
      </c>
    </row>
    <row r="63" spans="1:6" ht="15.75" customHeight="1" x14ac:dyDescent="0.3">
      <c r="A63" s="4" t="s">
        <v>23</v>
      </c>
      <c r="B63" s="5">
        <v>45475</v>
      </c>
      <c r="C63" s="6" t="s">
        <v>122</v>
      </c>
      <c r="D63">
        <f t="shared" si="0"/>
        <v>0</v>
      </c>
      <c r="E63" t="str">
        <f t="shared" si="1"/>
        <v>Absent</v>
      </c>
      <c r="F63" t="str">
        <f>TEXT(tbl_AttendanceDetails[[#This Row],[Date]],"dddd")</f>
        <v>Tuesday</v>
      </c>
    </row>
    <row r="64" spans="1:6" ht="15.75" customHeight="1" x14ac:dyDescent="0.3">
      <c r="A64" s="4" t="s">
        <v>23</v>
      </c>
      <c r="B64" s="5">
        <v>45476</v>
      </c>
      <c r="C64" s="6" t="s">
        <v>122</v>
      </c>
      <c r="D64">
        <f t="shared" si="0"/>
        <v>0</v>
      </c>
      <c r="E64" t="str">
        <f t="shared" si="1"/>
        <v>Absent</v>
      </c>
      <c r="F64" t="str">
        <f>TEXT(tbl_AttendanceDetails[[#This Row],[Date]],"dddd")</f>
        <v>Wednesday</v>
      </c>
    </row>
    <row r="65" spans="1:6" ht="15.75" customHeight="1" x14ac:dyDescent="0.3">
      <c r="A65" s="4" t="s">
        <v>23</v>
      </c>
      <c r="B65" s="5">
        <v>45477</v>
      </c>
      <c r="C65" s="6" t="s">
        <v>121</v>
      </c>
      <c r="D65">
        <f t="shared" si="0"/>
        <v>1</v>
      </c>
      <c r="E65" t="str">
        <f t="shared" si="1"/>
        <v>Present</v>
      </c>
      <c r="F65" t="str">
        <f>TEXT(tbl_AttendanceDetails[[#This Row],[Date]],"dddd")</f>
        <v>Thursday</v>
      </c>
    </row>
    <row r="66" spans="1:6" ht="15.75" customHeight="1" x14ac:dyDescent="0.3">
      <c r="A66" s="4" t="s">
        <v>23</v>
      </c>
      <c r="B66" s="5">
        <v>45478</v>
      </c>
      <c r="C66" s="6" t="s">
        <v>121</v>
      </c>
      <c r="D66">
        <f t="shared" ref="D66:D129" si="2">IF(C66="Yes",1,0)</f>
        <v>1</v>
      </c>
      <c r="E66" t="str">
        <f t="shared" ref="E66:E129" si="3">IF(C66="Yes","Present","Absent")</f>
        <v>Present</v>
      </c>
      <c r="F66" t="str">
        <f>TEXT(tbl_AttendanceDetails[[#This Row],[Date]],"dddd")</f>
        <v>Friday</v>
      </c>
    </row>
    <row r="67" spans="1:6" ht="15.75" customHeight="1" x14ac:dyDescent="0.3">
      <c r="A67" s="4" t="s">
        <v>24</v>
      </c>
      <c r="B67" s="5">
        <v>45474</v>
      </c>
      <c r="C67" s="4" t="s">
        <v>121</v>
      </c>
      <c r="D67">
        <f t="shared" si="2"/>
        <v>1</v>
      </c>
      <c r="E67" t="str">
        <f t="shared" si="3"/>
        <v>Present</v>
      </c>
      <c r="F67" t="str">
        <f>TEXT(tbl_AttendanceDetails[[#This Row],[Date]],"dddd")</f>
        <v>Monday</v>
      </c>
    </row>
    <row r="68" spans="1:6" ht="15.75" customHeight="1" x14ac:dyDescent="0.3">
      <c r="A68" s="4" t="s">
        <v>24</v>
      </c>
      <c r="B68" s="5">
        <v>45475</v>
      </c>
      <c r="C68" s="6" t="s">
        <v>122</v>
      </c>
      <c r="D68">
        <f t="shared" si="2"/>
        <v>0</v>
      </c>
      <c r="E68" t="str">
        <f t="shared" si="3"/>
        <v>Absent</v>
      </c>
      <c r="F68" t="str">
        <f>TEXT(tbl_AttendanceDetails[[#This Row],[Date]],"dddd")</f>
        <v>Tuesday</v>
      </c>
    </row>
    <row r="69" spans="1:6" ht="15.75" customHeight="1" x14ac:dyDescent="0.3">
      <c r="A69" s="4" t="s">
        <v>24</v>
      </c>
      <c r="B69" s="5">
        <v>45476</v>
      </c>
      <c r="C69" s="6" t="s">
        <v>121</v>
      </c>
      <c r="D69">
        <f t="shared" si="2"/>
        <v>1</v>
      </c>
      <c r="E69" t="str">
        <f t="shared" si="3"/>
        <v>Present</v>
      </c>
      <c r="F69" t="str">
        <f>TEXT(tbl_AttendanceDetails[[#This Row],[Date]],"dddd")</f>
        <v>Wednesday</v>
      </c>
    </row>
    <row r="70" spans="1:6" ht="15.75" customHeight="1" x14ac:dyDescent="0.3">
      <c r="A70" s="4" t="s">
        <v>24</v>
      </c>
      <c r="B70" s="5">
        <v>45477</v>
      </c>
      <c r="C70" s="6" t="s">
        <v>122</v>
      </c>
      <c r="D70">
        <f t="shared" si="2"/>
        <v>0</v>
      </c>
      <c r="E70" t="str">
        <f t="shared" si="3"/>
        <v>Absent</v>
      </c>
      <c r="F70" t="str">
        <f>TEXT(tbl_AttendanceDetails[[#This Row],[Date]],"dddd")</f>
        <v>Thursday</v>
      </c>
    </row>
    <row r="71" spans="1:6" ht="15.75" customHeight="1" x14ac:dyDescent="0.3">
      <c r="A71" s="4" t="s">
        <v>24</v>
      </c>
      <c r="B71" s="5">
        <v>45478</v>
      </c>
      <c r="C71" s="6" t="s">
        <v>121</v>
      </c>
      <c r="D71">
        <f t="shared" si="2"/>
        <v>1</v>
      </c>
      <c r="E71" t="str">
        <f t="shared" si="3"/>
        <v>Present</v>
      </c>
      <c r="F71" t="str">
        <f>TEXT(tbl_AttendanceDetails[[#This Row],[Date]],"dddd")</f>
        <v>Friday</v>
      </c>
    </row>
    <row r="72" spans="1:6" ht="15.75" customHeight="1" x14ac:dyDescent="0.3">
      <c r="A72" s="4" t="s">
        <v>25</v>
      </c>
      <c r="B72" s="5">
        <v>45474</v>
      </c>
      <c r="C72" s="4" t="s">
        <v>122</v>
      </c>
      <c r="D72">
        <f t="shared" si="2"/>
        <v>0</v>
      </c>
      <c r="E72" t="str">
        <f t="shared" si="3"/>
        <v>Absent</v>
      </c>
      <c r="F72" t="str">
        <f>TEXT(tbl_AttendanceDetails[[#This Row],[Date]],"dddd")</f>
        <v>Monday</v>
      </c>
    </row>
    <row r="73" spans="1:6" ht="15.75" customHeight="1" x14ac:dyDescent="0.3">
      <c r="A73" s="4" t="s">
        <v>25</v>
      </c>
      <c r="B73" s="5">
        <v>45475</v>
      </c>
      <c r="C73" s="6" t="s">
        <v>121</v>
      </c>
      <c r="D73">
        <f t="shared" si="2"/>
        <v>1</v>
      </c>
      <c r="E73" t="str">
        <f t="shared" si="3"/>
        <v>Present</v>
      </c>
      <c r="F73" t="str">
        <f>TEXT(tbl_AttendanceDetails[[#This Row],[Date]],"dddd")</f>
        <v>Tuesday</v>
      </c>
    </row>
    <row r="74" spans="1:6" ht="15.75" customHeight="1" x14ac:dyDescent="0.3">
      <c r="A74" s="4" t="s">
        <v>25</v>
      </c>
      <c r="B74" s="5">
        <v>45476</v>
      </c>
      <c r="C74" s="6" t="s">
        <v>122</v>
      </c>
      <c r="D74">
        <f t="shared" si="2"/>
        <v>0</v>
      </c>
      <c r="E74" t="str">
        <f t="shared" si="3"/>
        <v>Absent</v>
      </c>
      <c r="F74" t="str">
        <f>TEXT(tbl_AttendanceDetails[[#This Row],[Date]],"dddd")</f>
        <v>Wednesday</v>
      </c>
    </row>
    <row r="75" spans="1:6" ht="15.75" customHeight="1" x14ac:dyDescent="0.3">
      <c r="A75" s="4" t="s">
        <v>25</v>
      </c>
      <c r="B75" s="5">
        <v>45477</v>
      </c>
      <c r="C75" s="6" t="s">
        <v>122</v>
      </c>
      <c r="D75">
        <f t="shared" si="2"/>
        <v>0</v>
      </c>
      <c r="E75" t="str">
        <f t="shared" si="3"/>
        <v>Absent</v>
      </c>
      <c r="F75" t="str">
        <f>TEXT(tbl_AttendanceDetails[[#This Row],[Date]],"dddd")</f>
        <v>Thursday</v>
      </c>
    </row>
    <row r="76" spans="1:6" ht="15.75" customHeight="1" x14ac:dyDescent="0.3">
      <c r="A76" s="4" t="s">
        <v>25</v>
      </c>
      <c r="B76" s="5">
        <v>45478</v>
      </c>
      <c r="C76" s="6" t="s">
        <v>122</v>
      </c>
      <c r="D76">
        <f t="shared" si="2"/>
        <v>0</v>
      </c>
      <c r="E76" t="str">
        <f t="shared" si="3"/>
        <v>Absent</v>
      </c>
      <c r="F76" t="str">
        <f>TEXT(tbl_AttendanceDetails[[#This Row],[Date]],"dddd")</f>
        <v>Friday</v>
      </c>
    </row>
    <row r="77" spans="1:6" ht="15.75" customHeight="1" x14ac:dyDescent="0.3">
      <c r="A77" s="4" t="s">
        <v>26</v>
      </c>
      <c r="B77" s="5">
        <v>45474</v>
      </c>
      <c r="C77" s="4" t="s">
        <v>121</v>
      </c>
      <c r="D77">
        <f t="shared" si="2"/>
        <v>1</v>
      </c>
      <c r="E77" t="str">
        <f t="shared" si="3"/>
        <v>Present</v>
      </c>
      <c r="F77" t="str">
        <f>TEXT(tbl_AttendanceDetails[[#This Row],[Date]],"dddd")</f>
        <v>Monday</v>
      </c>
    </row>
    <row r="78" spans="1:6" ht="15.75" customHeight="1" x14ac:dyDescent="0.3">
      <c r="A78" s="4" t="s">
        <v>26</v>
      </c>
      <c r="B78" s="5">
        <v>45475</v>
      </c>
      <c r="C78" s="6" t="s">
        <v>121</v>
      </c>
      <c r="D78">
        <f t="shared" si="2"/>
        <v>1</v>
      </c>
      <c r="E78" t="str">
        <f t="shared" si="3"/>
        <v>Present</v>
      </c>
      <c r="F78" t="str">
        <f>TEXT(tbl_AttendanceDetails[[#This Row],[Date]],"dddd")</f>
        <v>Tuesday</v>
      </c>
    </row>
    <row r="79" spans="1:6" ht="15.75" customHeight="1" x14ac:dyDescent="0.3">
      <c r="A79" s="4" t="s">
        <v>26</v>
      </c>
      <c r="B79" s="5">
        <v>45476</v>
      </c>
      <c r="C79" s="6" t="s">
        <v>122</v>
      </c>
      <c r="D79">
        <f t="shared" si="2"/>
        <v>0</v>
      </c>
      <c r="E79" t="str">
        <f t="shared" si="3"/>
        <v>Absent</v>
      </c>
      <c r="F79" t="str">
        <f>TEXT(tbl_AttendanceDetails[[#This Row],[Date]],"dddd")</f>
        <v>Wednesday</v>
      </c>
    </row>
    <row r="80" spans="1:6" ht="15.75" customHeight="1" x14ac:dyDescent="0.3">
      <c r="A80" s="4" t="s">
        <v>26</v>
      </c>
      <c r="B80" s="5">
        <v>45477</v>
      </c>
      <c r="C80" s="6" t="s">
        <v>121</v>
      </c>
      <c r="D80">
        <f t="shared" si="2"/>
        <v>1</v>
      </c>
      <c r="E80" t="str">
        <f t="shared" si="3"/>
        <v>Present</v>
      </c>
      <c r="F80" t="str">
        <f>TEXT(tbl_AttendanceDetails[[#This Row],[Date]],"dddd")</f>
        <v>Thursday</v>
      </c>
    </row>
    <row r="81" spans="1:6" ht="15.75" customHeight="1" x14ac:dyDescent="0.3">
      <c r="A81" s="4" t="s">
        <v>26</v>
      </c>
      <c r="B81" s="5">
        <v>45478</v>
      </c>
      <c r="C81" s="6" t="s">
        <v>122</v>
      </c>
      <c r="D81">
        <f t="shared" si="2"/>
        <v>0</v>
      </c>
      <c r="E81" t="str">
        <f t="shared" si="3"/>
        <v>Absent</v>
      </c>
      <c r="F81" t="str">
        <f>TEXT(tbl_AttendanceDetails[[#This Row],[Date]],"dddd")</f>
        <v>Friday</v>
      </c>
    </row>
    <row r="82" spans="1:6" ht="15.75" customHeight="1" x14ac:dyDescent="0.3">
      <c r="A82" s="4" t="s">
        <v>27</v>
      </c>
      <c r="B82" s="5">
        <v>45474</v>
      </c>
      <c r="C82" s="4" t="s">
        <v>122</v>
      </c>
      <c r="D82">
        <f t="shared" si="2"/>
        <v>0</v>
      </c>
      <c r="E82" t="str">
        <f t="shared" si="3"/>
        <v>Absent</v>
      </c>
      <c r="F82" t="str">
        <f>TEXT(tbl_AttendanceDetails[[#This Row],[Date]],"dddd")</f>
        <v>Monday</v>
      </c>
    </row>
    <row r="83" spans="1:6" ht="15.75" customHeight="1" x14ac:dyDescent="0.3">
      <c r="A83" s="4" t="s">
        <v>27</v>
      </c>
      <c r="B83" s="5">
        <v>45475</v>
      </c>
      <c r="C83" s="6" t="s">
        <v>121</v>
      </c>
      <c r="D83">
        <f t="shared" si="2"/>
        <v>1</v>
      </c>
      <c r="E83" t="str">
        <f t="shared" si="3"/>
        <v>Present</v>
      </c>
      <c r="F83" t="str">
        <f>TEXT(tbl_AttendanceDetails[[#This Row],[Date]],"dddd")</f>
        <v>Tuesday</v>
      </c>
    </row>
    <row r="84" spans="1:6" ht="15.75" customHeight="1" x14ac:dyDescent="0.3">
      <c r="A84" s="4" t="s">
        <v>27</v>
      </c>
      <c r="B84" s="5">
        <v>45476</v>
      </c>
      <c r="C84" s="6" t="s">
        <v>121</v>
      </c>
      <c r="D84">
        <f t="shared" si="2"/>
        <v>1</v>
      </c>
      <c r="E84" t="str">
        <f t="shared" si="3"/>
        <v>Present</v>
      </c>
      <c r="F84" t="str">
        <f>TEXT(tbl_AttendanceDetails[[#This Row],[Date]],"dddd")</f>
        <v>Wednesday</v>
      </c>
    </row>
    <row r="85" spans="1:6" ht="15.75" customHeight="1" x14ac:dyDescent="0.3">
      <c r="A85" s="4" t="s">
        <v>27</v>
      </c>
      <c r="B85" s="5">
        <v>45477</v>
      </c>
      <c r="C85" s="6" t="s">
        <v>122</v>
      </c>
      <c r="D85">
        <f t="shared" si="2"/>
        <v>0</v>
      </c>
      <c r="E85" t="str">
        <f t="shared" si="3"/>
        <v>Absent</v>
      </c>
      <c r="F85" t="str">
        <f>TEXT(tbl_AttendanceDetails[[#This Row],[Date]],"dddd")</f>
        <v>Thursday</v>
      </c>
    </row>
    <row r="86" spans="1:6" ht="15.75" customHeight="1" x14ac:dyDescent="0.3">
      <c r="A86" s="4" t="s">
        <v>27</v>
      </c>
      <c r="B86" s="5">
        <v>45478</v>
      </c>
      <c r="C86" s="6" t="s">
        <v>122</v>
      </c>
      <c r="D86">
        <f t="shared" si="2"/>
        <v>0</v>
      </c>
      <c r="E86" t="str">
        <f t="shared" si="3"/>
        <v>Absent</v>
      </c>
      <c r="F86" t="str">
        <f>TEXT(tbl_AttendanceDetails[[#This Row],[Date]],"dddd")</f>
        <v>Friday</v>
      </c>
    </row>
    <row r="87" spans="1:6" ht="15.75" customHeight="1" x14ac:dyDescent="0.3">
      <c r="A87" s="4" t="s">
        <v>28</v>
      </c>
      <c r="B87" s="5">
        <v>45474</v>
      </c>
      <c r="C87" s="4" t="s">
        <v>121</v>
      </c>
      <c r="D87">
        <f t="shared" si="2"/>
        <v>1</v>
      </c>
      <c r="E87" t="str">
        <f t="shared" si="3"/>
        <v>Present</v>
      </c>
      <c r="F87" t="str">
        <f>TEXT(tbl_AttendanceDetails[[#This Row],[Date]],"dddd")</f>
        <v>Monday</v>
      </c>
    </row>
    <row r="88" spans="1:6" ht="15.75" customHeight="1" x14ac:dyDescent="0.3">
      <c r="A88" s="4" t="s">
        <v>28</v>
      </c>
      <c r="B88" s="5">
        <v>45475</v>
      </c>
      <c r="C88" s="6" t="s">
        <v>122</v>
      </c>
      <c r="D88">
        <f t="shared" si="2"/>
        <v>0</v>
      </c>
      <c r="E88" t="str">
        <f t="shared" si="3"/>
        <v>Absent</v>
      </c>
      <c r="F88" t="str">
        <f>TEXT(tbl_AttendanceDetails[[#This Row],[Date]],"dddd")</f>
        <v>Tuesday</v>
      </c>
    </row>
    <row r="89" spans="1:6" ht="15.75" customHeight="1" x14ac:dyDescent="0.3">
      <c r="A89" s="4" t="s">
        <v>28</v>
      </c>
      <c r="B89" s="5">
        <v>45476</v>
      </c>
      <c r="C89" s="6" t="s">
        <v>122</v>
      </c>
      <c r="D89">
        <f t="shared" si="2"/>
        <v>0</v>
      </c>
      <c r="E89" t="str">
        <f t="shared" si="3"/>
        <v>Absent</v>
      </c>
      <c r="F89" t="str">
        <f>TEXT(tbl_AttendanceDetails[[#This Row],[Date]],"dddd")</f>
        <v>Wednesday</v>
      </c>
    </row>
    <row r="90" spans="1:6" ht="15.75" customHeight="1" x14ac:dyDescent="0.3">
      <c r="A90" s="4" t="s">
        <v>28</v>
      </c>
      <c r="B90" s="5">
        <v>45477</v>
      </c>
      <c r="C90" s="6" t="s">
        <v>121</v>
      </c>
      <c r="D90">
        <f t="shared" si="2"/>
        <v>1</v>
      </c>
      <c r="E90" t="str">
        <f t="shared" si="3"/>
        <v>Present</v>
      </c>
      <c r="F90" t="str">
        <f>TEXT(tbl_AttendanceDetails[[#This Row],[Date]],"dddd")</f>
        <v>Thursday</v>
      </c>
    </row>
    <row r="91" spans="1:6" ht="15.75" customHeight="1" x14ac:dyDescent="0.3">
      <c r="A91" s="4" t="s">
        <v>28</v>
      </c>
      <c r="B91" s="5">
        <v>45478</v>
      </c>
      <c r="C91" s="6" t="s">
        <v>122</v>
      </c>
      <c r="D91">
        <f t="shared" si="2"/>
        <v>0</v>
      </c>
      <c r="E91" t="str">
        <f t="shared" si="3"/>
        <v>Absent</v>
      </c>
      <c r="F91" t="str">
        <f>TEXT(tbl_AttendanceDetails[[#This Row],[Date]],"dddd")</f>
        <v>Friday</v>
      </c>
    </row>
    <row r="92" spans="1:6" ht="15.75" customHeight="1" x14ac:dyDescent="0.3">
      <c r="A92" s="4" t="s">
        <v>29</v>
      </c>
      <c r="B92" s="5">
        <v>45474</v>
      </c>
      <c r="C92" s="4" t="s">
        <v>122</v>
      </c>
      <c r="D92">
        <f t="shared" si="2"/>
        <v>0</v>
      </c>
      <c r="E92" t="str">
        <f t="shared" si="3"/>
        <v>Absent</v>
      </c>
      <c r="F92" t="str">
        <f>TEXT(tbl_AttendanceDetails[[#This Row],[Date]],"dddd")</f>
        <v>Monday</v>
      </c>
    </row>
    <row r="93" spans="1:6" ht="15.75" customHeight="1" x14ac:dyDescent="0.3">
      <c r="A93" s="4" t="s">
        <v>29</v>
      </c>
      <c r="B93" s="5">
        <v>45475</v>
      </c>
      <c r="C93" s="6" t="s">
        <v>121</v>
      </c>
      <c r="D93">
        <f t="shared" si="2"/>
        <v>1</v>
      </c>
      <c r="E93" t="str">
        <f t="shared" si="3"/>
        <v>Present</v>
      </c>
      <c r="F93" t="str">
        <f>TEXT(tbl_AttendanceDetails[[#This Row],[Date]],"dddd")</f>
        <v>Tuesday</v>
      </c>
    </row>
    <row r="94" spans="1:6" ht="15.75" customHeight="1" x14ac:dyDescent="0.3">
      <c r="A94" s="4" t="s">
        <v>29</v>
      </c>
      <c r="B94" s="5">
        <v>45476</v>
      </c>
      <c r="C94" s="6" t="s">
        <v>122</v>
      </c>
      <c r="D94">
        <f t="shared" si="2"/>
        <v>0</v>
      </c>
      <c r="E94" t="str">
        <f t="shared" si="3"/>
        <v>Absent</v>
      </c>
      <c r="F94" t="str">
        <f>TEXT(tbl_AttendanceDetails[[#This Row],[Date]],"dddd")</f>
        <v>Wednesday</v>
      </c>
    </row>
    <row r="95" spans="1:6" ht="15.75" customHeight="1" x14ac:dyDescent="0.3">
      <c r="A95" s="4" t="s">
        <v>29</v>
      </c>
      <c r="B95" s="5">
        <v>45477</v>
      </c>
      <c r="C95" s="6" t="s">
        <v>122</v>
      </c>
      <c r="D95">
        <f t="shared" si="2"/>
        <v>0</v>
      </c>
      <c r="E95" t="str">
        <f t="shared" si="3"/>
        <v>Absent</v>
      </c>
      <c r="F95" t="str">
        <f>TEXT(tbl_AttendanceDetails[[#This Row],[Date]],"dddd")</f>
        <v>Thursday</v>
      </c>
    </row>
    <row r="96" spans="1:6" ht="15.75" customHeight="1" x14ac:dyDescent="0.3">
      <c r="A96" s="4" t="s">
        <v>29</v>
      </c>
      <c r="B96" s="5">
        <v>45478</v>
      </c>
      <c r="C96" s="6" t="s">
        <v>121</v>
      </c>
      <c r="D96">
        <f t="shared" si="2"/>
        <v>1</v>
      </c>
      <c r="E96" t="str">
        <f t="shared" si="3"/>
        <v>Present</v>
      </c>
      <c r="F96" t="str">
        <f>TEXT(tbl_AttendanceDetails[[#This Row],[Date]],"dddd")</f>
        <v>Friday</v>
      </c>
    </row>
    <row r="97" spans="1:6" ht="15.75" customHeight="1" x14ac:dyDescent="0.3">
      <c r="A97" s="4" t="s">
        <v>30</v>
      </c>
      <c r="B97" s="5">
        <v>45474</v>
      </c>
      <c r="C97" s="4" t="s">
        <v>121</v>
      </c>
      <c r="D97">
        <f t="shared" si="2"/>
        <v>1</v>
      </c>
      <c r="E97" t="str">
        <f t="shared" si="3"/>
        <v>Present</v>
      </c>
      <c r="F97" t="str">
        <f>TEXT(tbl_AttendanceDetails[[#This Row],[Date]],"dddd")</f>
        <v>Monday</v>
      </c>
    </row>
    <row r="98" spans="1:6" ht="15.75" customHeight="1" x14ac:dyDescent="0.3">
      <c r="A98" s="4" t="s">
        <v>30</v>
      </c>
      <c r="B98" s="5">
        <v>45475</v>
      </c>
      <c r="C98" s="6" t="s">
        <v>121</v>
      </c>
      <c r="D98">
        <f t="shared" si="2"/>
        <v>1</v>
      </c>
      <c r="E98" t="str">
        <f t="shared" si="3"/>
        <v>Present</v>
      </c>
      <c r="F98" t="str">
        <f>TEXT(tbl_AttendanceDetails[[#This Row],[Date]],"dddd")</f>
        <v>Tuesday</v>
      </c>
    </row>
    <row r="99" spans="1:6" ht="15.75" customHeight="1" x14ac:dyDescent="0.3">
      <c r="A99" s="4" t="s">
        <v>30</v>
      </c>
      <c r="B99" s="5">
        <v>45476</v>
      </c>
      <c r="C99" s="6" t="s">
        <v>122</v>
      </c>
      <c r="D99">
        <f t="shared" si="2"/>
        <v>0</v>
      </c>
      <c r="E99" t="str">
        <f t="shared" si="3"/>
        <v>Absent</v>
      </c>
      <c r="F99" t="str">
        <f>TEXT(tbl_AttendanceDetails[[#This Row],[Date]],"dddd")</f>
        <v>Wednesday</v>
      </c>
    </row>
    <row r="100" spans="1:6" ht="15.75" customHeight="1" x14ac:dyDescent="0.3">
      <c r="A100" s="4" t="s">
        <v>30</v>
      </c>
      <c r="B100" s="5">
        <v>45477</v>
      </c>
      <c r="C100" s="6" t="s">
        <v>121</v>
      </c>
      <c r="D100">
        <f t="shared" si="2"/>
        <v>1</v>
      </c>
      <c r="E100" t="str">
        <f t="shared" si="3"/>
        <v>Present</v>
      </c>
      <c r="F100" t="str">
        <f>TEXT(tbl_AttendanceDetails[[#This Row],[Date]],"dddd")</f>
        <v>Thursday</v>
      </c>
    </row>
    <row r="101" spans="1:6" ht="15.75" customHeight="1" x14ac:dyDescent="0.3">
      <c r="A101" s="4" t="s">
        <v>30</v>
      </c>
      <c r="B101" s="5">
        <v>45478</v>
      </c>
      <c r="C101" s="6" t="s">
        <v>121</v>
      </c>
      <c r="D101">
        <f t="shared" si="2"/>
        <v>1</v>
      </c>
      <c r="E101" t="str">
        <f t="shared" si="3"/>
        <v>Present</v>
      </c>
      <c r="F101" t="str">
        <f>TEXT(tbl_AttendanceDetails[[#This Row],[Date]],"dddd")</f>
        <v>Friday</v>
      </c>
    </row>
    <row r="102" spans="1:6" ht="15.75" customHeight="1" x14ac:dyDescent="0.3">
      <c r="A102" s="4" t="s">
        <v>31</v>
      </c>
      <c r="B102" s="5">
        <v>45474</v>
      </c>
      <c r="C102" s="4" t="s">
        <v>122</v>
      </c>
      <c r="D102">
        <f t="shared" si="2"/>
        <v>0</v>
      </c>
      <c r="E102" t="str">
        <f t="shared" si="3"/>
        <v>Absent</v>
      </c>
      <c r="F102" t="str">
        <f>TEXT(tbl_AttendanceDetails[[#This Row],[Date]],"dddd")</f>
        <v>Monday</v>
      </c>
    </row>
    <row r="103" spans="1:6" ht="15.75" customHeight="1" x14ac:dyDescent="0.3">
      <c r="A103" s="4" t="s">
        <v>31</v>
      </c>
      <c r="B103" s="5">
        <v>45475</v>
      </c>
      <c r="C103" s="6" t="s">
        <v>122</v>
      </c>
      <c r="D103">
        <f t="shared" si="2"/>
        <v>0</v>
      </c>
      <c r="E103" t="str">
        <f t="shared" si="3"/>
        <v>Absent</v>
      </c>
      <c r="F103" t="str">
        <f>TEXT(tbl_AttendanceDetails[[#This Row],[Date]],"dddd")</f>
        <v>Tuesday</v>
      </c>
    </row>
    <row r="104" spans="1:6" ht="15.75" customHeight="1" x14ac:dyDescent="0.3">
      <c r="A104" s="4" t="s">
        <v>31</v>
      </c>
      <c r="B104" s="5">
        <v>45476</v>
      </c>
      <c r="C104" s="6" t="s">
        <v>122</v>
      </c>
      <c r="D104">
        <f t="shared" si="2"/>
        <v>0</v>
      </c>
      <c r="E104" t="str">
        <f t="shared" si="3"/>
        <v>Absent</v>
      </c>
      <c r="F104" t="str">
        <f>TEXT(tbl_AttendanceDetails[[#This Row],[Date]],"dddd")</f>
        <v>Wednesday</v>
      </c>
    </row>
    <row r="105" spans="1:6" ht="15.75" customHeight="1" x14ac:dyDescent="0.3">
      <c r="A105" s="4" t="s">
        <v>31</v>
      </c>
      <c r="B105" s="5">
        <v>45477</v>
      </c>
      <c r="C105" s="6" t="s">
        <v>122</v>
      </c>
      <c r="D105">
        <f t="shared" si="2"/>
        <v>0</v>
      </c>
      <c r="E105" t="str">
        <f t="shared" si="3"/>
        <v>Absent</v>
      </c>
      <c r="F105" t="str">
        <f>TEXT(tbl_AttendanceDetails[[#This Row],[Date]],"dddd")</f>
        <v>Thursday</v>
      </c>
    </row>
    <row r="106" spans="1:6" ht="15.75" customHeight="1" x14ac:dyDescent="0.3">
      <c r="A106" s="4" t="s">
        <v>31</v>
      </c>
      <c r="B106" s="5">
        <v>45478</v>
      </c>
      <c r="C106" s="6" t="s">
        <v>122</v>
      </c>
      <c r="D106">
        <f t="shared" si="2"/>
        <v>0</v>
      </c>
      <c r="E106" t="str">
        <f t="shared" si="3"/>
        <v>Absent</v>
      </c>
      <c r="F106" t="str">
        <f>TEXT(tbl_AttendanceDetails[[#This Row],[Date]],"dddd")</f>
        <v>Friday</v>
      </c>
    </row>
    <row r="107" spans="1:6" ht="15.75" customHeight="1" x14ac:dyDescent="0.3">
      <c r="A107" s="4" t="s">
        <v>32</v>
      </c>
      <c r="B107" s="5">
        <v>45474</v>
      </c>
      <c r="C107" s="4" t="s">
        <v>121</v>
      </c>
      <c r="D107">
        <f t="shared" si="2"/>
        <v>1</v>
      </c>
      <c r="E107" t="str">
        <f t="shared" si="3"/>
        <v>Present</v>
      </c>
      <c r="F107" t="str">
        <f>TEXT(tbl_AttendanceDetails[[#This Row],[Date]],"dddd")</f>
        <v>Monday</v>
      </c>
    </row>
    <row r="108" spans="1:6" ht="15.75" customHeight="1" x14ac:dyDescent="0.3">
      <c r="A108" s="4" t="s">
        <v>32</v>
      </c>
      <c r="B108" s="5">
        <v>45475</v>
      </c>
      <c r="C108" s="6" t="s">
        <v>122</v>
      </c>
      <c r="D108">
        <f t="shared" si="2"/>
        <v>0</v>
      </c>
      <c r="E108" t="str">
        <f t="shared" si="3"/>
        <v>Absent</v>
      </c>
      <c r="F108" t="str">
        <f>TEXT(tbl_AttendanceDetails[[#This Row],[Date]],"dddd")</f>
        <v>Tuesday</v>
      </c>
    </row>
    <row r="109" spans="1:6" ht="15.75" customHeight="1" x14ac:dyDescent="0.3">
      <c r="A109" s="4" t="s">
        <v>32</v>
      </c>
      <c r="B109" s="5">
        <v>45476</v>
      </c>
      <c r="C109" s="6" t="s">
        <v>122</v>
      </c>
      <c r="D109">
        <f t="shared" si="2"/>
        <v>0</v>
      </c>
      <c r="E109" t="str">
        <f t="shared" si="3"/>
        <v>Absent</v>
      </c>
      <c r="F109" t="str">
        <f>TEXT(tbl_AttendanceDetails[[#This Row],[Date]],"dddd")</f>
        <v>Wednesday</v>
      </c>
    </row>
    <row r="110" spans="1:6" ht="15.75" customHeight="1" x14ac:dyDescent="0.3">
      <c r="A110" s="4" t="s">
        <v>32</v>
      </c>
      <c r="B110" s="5">
        <v>45477</v>
      </c>
      <c r="C110" s="6" t="s">
        <v>121</v>
      </c>
      <c r="D110">
        <f t="shared" si="2"/>
        <v>1</v>
      </c>
      <c r="E110" t="str">
        <f t="shared" si="3"/>
        <v>Present</v>
      </c>
      <c r="F110" t="str">
        <f>TEXT(tbl_AttendanceDetails[[#This Row],[Date]],"dddd")</f>
        <v>Thursday</v>
      </c>
    </row>
    <row r="111" spans="1:6" ht="15.75" customHeight="1" x14ac:dyDescent="0.3">
      <c r="A111" s="4" t="s">
        <v>32</v>
      </c>
      <c r="B111" s="5">
        <v>45478</v>
      </c>
      <c r="C111" s="6" t="s">
        <v>121</v>
      </c>
      <c r="D111">
        <f t="shared" si="2"/>
        <v>1</v>
      </c>
      <c r="E111" t="str">
        <f t="shared" si="3"/>
        <v>Present</v>
      </c>
      <c r="F111" t="str">
        <f>TEXT(tbl_AttendanceDetails[[#This Row],[Date]],"dddd")</f>
        <v>Friday</v>
      </c>
    </row>
    <row r="112" spans="1:6" ht="15.75" customHeight="1" x14ac:dyDescent="0.3">
      <c r="A112" s="4" t="s">
        <v>6</v>
      </c>
      <c r="B112" s="5">
        <v>45474</v>
      </c>
      <c r="C112" s="4" t="s">
        <v>121</v>
      </c>
      <c r="D112">
        <f t="shared" si="2"/>
        <v>1</v>
      </c>
      <c r="E112" t="str">
        <f t="shared" si="3"/>
        <v>Present</v>
      </c>
      <c r="F112" t="str">
        <f>TEXT(tbl_AttendanceDetails[[#This Row],[Date]],"dddd")</f>
        <v>Monday</v>
      </c>
    </row>
    <row r="113" spans="1:6" ht="15.75" customHeight="1" x14ac:dyDescent="0.3">
      <c r="A113" s="4" t="s">
        <v>6</v>
      </c>
      <c r="B113" s="5">
        <v>45475</v>
      </c>
      <c r="C113" s="6" t="s">
        <v>122</v>
      </c>
      <c r="D113">
        <f t="shared" si="2"/>
        <v>0</v>
      </c>
      <c r="E113" t="str">
        <f t="shared" si="3"/>
        <v>Absent</v>
      </c>
      <c r="F113" t="str">
        <f>TEXT(tbl_AttendanceDetails[[#This Row],[Date]],"dddd")</f>
        <v>Tuesday</v>
      </c>
    </row>
    <row r="114" spans="1:6" ht="15.75" customHeight="1" x14ac:dyDescent="0.3">
      <c r="A114" s="4" t="s">
        <v>6</v>
      </c>
      <c r="B114" s="5">
        <v>45476</v>
      </c>
      <c r="C114" s="6" t="s">
        <v>121</v>
      </c>
      <c r="D114">
        <f t="shared" si="2"/>
        <v>1</v>
      </c>
      <c r="E114" t="str">
        <f t="shared" si="3"/>
        <v>Present</v>
      </c>
      <c r="F114" t="str">
        <f>TEXT(tbl_AttendanceDetails[[#This Row],[Date]],"dddd")</f>
        <v>Wednesday</v>
      </c>
    </row>
    <row r="115" spans="1:6" ht="15.75" customHeight="1" x14ac:dyDescent="0.3">
      <c r="A115" s="4" t="s">
        <v>6</v>
      </c>
      <c r="B115" s="5">
        <v>45477</v>
      </c>
      <c r="C115" s="6" t="s">
        <v>122</v>
      </c>
      <c r="D115">
        <f t="shared" si="2"/>
        <v>0</v>
      </c>
      <c r="E115" t="str">
        <f t="shared" si="3"/>
        <v>Absent</v>
      </c>
      <c r="F115" t="str">
        <f>TEXT(tbl_AttendanceDetails[[#This Row],[Date]],"dddd")</f>
        <v>Thursday</v>
      </c>
    </row>
    <row r="116" spans="1:6" ht="15.75" customHeight="1" x14ac:dyDescent="0.3">
      <c r="A116" s="4" t="s">
        <v>6</v>
      </c>
      <c r="B116" s="5">
        <v>45478</v>
      </c>
      <c r="C116" s="6" t="s">
        <v>122</v>
      </c>
      <c r="D116">
        <f t="shared" si="2"/>
        <v>0</v>
      </c>
      <c r="E116" t="str">
        <f t="shared" si="3"/>
        <v>Absent</v>
      </c>
      <c r="F116" t="str">
        <f>TEXT(tbl_AttendanceDetails[[#This Row],[Date]],"dddd")</f>
        <v>Friday</v>
      </c>
    </row>
    <row r="117" spans="1:6" ht="15.75" customHeight="1" x14ac:dyDescent="0.3">
      <c r="A117" s="4" t="s">
        <v>33</v>
      </c>
      <c r="B117" s="5">
        <v>45474</v>
      </c>
      <c r="C117" s="4" t="s">
        <v>122</v>
      </c>
      <c r="D117">
        <f t="shared" si="2"/>
        <v>0</v>
      </c>
      <c r="E117" t="str">
        <f t="shared" si="3"/>
        <v>Absent</v>
      </c>
      <c r="F117" t="str">
        <f>TEXT(tbl_AttendanceDetails[[#This Row],[Date]],"dddd")</f>
        <v>Monday</v>
      </c>
    </row>
    <row r="118" spans="1:6" ht="15.75" customHeight="1" x14ac:dyDescent="0.3">
      <c r="A118" s="4" t="s">
        <v>33</v>
      </c>
      <c r="B118" s="5">
        <v>45475</v>
      </c>
      <c r="C118" s="6" t="s">
        <v>121</v>
      </c>
      <c r="D118">
        <f t="shared" si="2"/>
        <v>1</v>
      </c>
      <c r="E118" t="str">
        <f t="shared" si="3"/>
        <v>Present</v>
      </c>
      <c r="F118" t="str">
        <f>TEXT(tbl_AttendanceDetails[[#This Row],[Date]],"dddd")</f>
        <v>Tuesday</v>
      </c>
    </row>
    <row r="119" spans="1:6" ht="15.75" customHeight="1" x14ac:dyDescent="0.3">
      <c r="A119" s="4" t="s">
        <v>33</v>
      </c>
      <c r="B119" s="5">
        <v>45476</v>
      </c>
      <c r="C119" s="6" t="s">
        <v>121</v>
      </c>
      <c r="D119">
        <f t="shared" si="2"/>
        <v>1</v>
      </c>
      <c r="E119" t="str">
        <f t="shared" si="3"/>
        <v>Present</v>
      </c>
      <c r="F119" t="str">
        <f>TEXT(tbl_AttendanceDetails[[#This Row],[Date]],"dddd")</f>
        <v>Wednesday</v>
      </c>
    </row>
    <row r="120" spans="1:6" ht="15.75" customHeight="1" x14ac:dyDescent="0.3">
      <c r="A120" s="4" t="s">
        <v>33</v>
      </c>
      <c r="B120" s="5">
        <v>45477</v>
      </c>
      <c r="C120" s="6" t="s">
        <v>121</v>
      </c>
      <c r="D120">
        <f t="shared" si="2"/>
        <v>1</v>
      </c>
      <c r="E120" t="str">
        <f t="shared" si="3"/>
        <v>Present</v>
      </c>
      <c r="F120" t="str">
        <f>TEXT(tbl_AttendanceDetails[[#This Row],[Date]],"dddd")</f>
        <v>Thursday</v>
      </c>
    </row>
    <row r="121" spans="1:6" ht="15.75" customHeight="1" x14ac:dyDescent="0.3">
      <c r="A121" s="4" t="s">
        <v>33</v>
      </c>
      <c r="B121" s="5">
        <v>45478</v>
      </c>
      <c r="C121" s="6" t="s">
        <v>121</v>
      </c>
      <c r="D121">
        <f t="shared" si="2"/>
        <v>1</v>
      </c>
      <c r="E121" t="str">
        <f t="shared" si="3"/>
        <v>Present</v>
      </c>
      <c r="F121" t="str">
        <f>TEXT(tbl_AttendanceDetails[[#This Row],[Date]],"dddd")</f>
        <v>Friday</v>
      </c>
    </row>
    <row r="122" spans="1:6" ht="15.75" customHeight="1" x14ac:dyDescent="0.3">
      <c r="A122" s="4" t="s">
        <v>34</v>
      </c>
      <c r="B122" s="5">
        <v>45474</v>
      </c>
      <c r="C122" s="4" t="s">
        <v>121</v>
      </c>
      <c r="D122">
        <f t="shared" si="2"/>
        <v>1</v>
      </c>
      <c r="E122" t="str">
        <f t="shared" si="3"/>
        <v>Present</v>
      </c>
      <c r="F122" t="str">
        <f>TEXT(tbl_AttendanceDetails[[#This Row],[Date]],"dddd")</f>
        <v>Monday</v>
      </c>
    </row>
    <row r="123" spans="1:6" ht="15.75" customHeight="1" x14ac:dyDescent="0.3">
      <c r="A123" s="4" t="s">
        <v>34</v>
      </c>
      <c r="B123" s="5">
        <v>45475</v>
      </c>
      <c r="C123" s="6" t="s">
        <v>122</v>
      </c>
      <c r="D123">
        <f t="shared" si="2"/>
        <v>0</v>
      </c>
      <c r="E123" t="str">
        <f t="shared" si="3"/>
        <v>Absent</v>
      </c>
      <c r="F123" t="str">
        <f>TEXT(tbl_AttendanceDetails[[#This Row],[Date]],"dddd")</f>
        <v>Tuesday</v>
      </c>
    </row>
    <row r="124" spans="1:6" ht="15.75" customHeight="1" x14ac:dyDescent="0.3">
      <c r="A124" s="4" t="s">
        <v>34</v>
      </c>
      <c r="B124" s="5">
        <v>45476</v>
      </c>
      <c r="C124" s="6" t="s">
        <v>122</v>
      </c>
      <c r="D124">
        <f t="shared" si="2"/>
        <v>0</v>
      </c>
      <c r="E124" t="str">
        <f t="shared" si="3"/>
        <v>Absent</v>
      </c>
      <c r="F124" t="str">
        <f>TEXT(tbl_AttendanceDetails[[#This Row],[Date]],"dddd")</f>
        <v>Wednesday</v>
      </c>
    </row>
    <row r="125" spans="1:6" ht="15.75" customHeight="1" x14ac:dyDescent="0.3">
      <c r="A125" s="4" t="s">
        <v>34</v>
      </c>
      <c r="B125" s="5">
        <v>45477</v>
      </c>
      <c r="C125" s="6" t="s">
        <v>121</v>
      </c>
      <c r="D125">
        <f t="shared" si="2"/>
        <v>1</v>
      </c>
      <c r="E125" t="str">
        <f t="shared" si="3"/>
        <v>Present</v>
      </c>
      <c r="F125" t="str">
        <f>TEXT(tbl_AttendanceDetails[[#This Row],[Date]],"dddd")</f>
        <v>Thursday</v>
      </c>
    </row>
    <row r="126" spans="1:6" ht="15.75" customHeight="1" x14ac:dyDescent="0.3">
      <c r="A126" s="4" t="s">
        <v>34</v>
      </c>
      <c r="B126" s="5">
        <v>45478</v>
      </c>
      <c r="C126" s="6" t="s">
        <v>122</v>
      </c>
      <c r="D126">
        <f t="shared" si="2"/>
        <v>0</v>
      </c>
      <c r="E126" t="str">
        <f t="shared" si="3"/>
        <v>Absent</v>
      </c>
      <c r="F126" t="str">
        <f>TEXT(tbl_AttendanceDetails[[#This Row],[Date]],"dddd")</f>
        <v>Friday</v>
      </c>
    </row>
    <row r="127" spans="1:6" ht="15.75" customHeight="1" x14ac:dyDescent="0.3">
      <c r="A127" s="4" t="s">
        <v>35</v>
      </c>
      <c r="B127" s="5">
        <v>45474</v>
      </c>
      <c r="C127" s="4" t="s">
        <v>122</v>
      </c>
      <c r="D127">
        <f t="shared" si="2"/>
        <v>0</v>
      </c>
      <c r="E127" t="str">
        <f t="shared" si="3"/>
        <v>Absent</v>
      </c>
      <c r="F127" t="str">
        <f>TEXT(tbl_AttendanceDetails[[#This Row],[Date]],"dddd")</f>
        <v>Monday</v>
      </c>
    </row>
    <row r="128" spans="1:6" ht="15.75" customHeight="1" x14ac:dyDescent="0.3">
      <c r="A128" s="4" t="s">
        <v>35</v>
      </c>
      <c r="B128" s="5">
        <v>45475</v>
      </c>
      <c r="C128" s="6" t="s">
        <v>122</v>
      </c>
      <c r="D128">
        <f t="shared" si="2"/>
        <v>0</v>
      </c>
      <c r="E128" t="str">
        <f t="shared" si="3"/>
        <v>Absent</v>
      </c>
      <c r="F128" t="str">
        <f>TEXT(tbl_AttendanceDetails[[#This Row],[Date]],"dddd")</f>
        <v>Tuesday</v>
      </c>
    </row>
    <row r="129" spans="1:6" ht="15.75" customHeight="1" x14ac:dyDescent="0.3">
      <c r="A129" s="4" t="s">
        <v>35</v>
      </c>
      <c r="B129" s="5">
        <v>45476</v>
      </c>
      <c r="C129" s="6" t="s">
        <v>122</v>
      </c>
      <c r="D129">
        <f t="shared" si="2"/>
        <v>0</v>
      </c>
      <c r="E129" t="str">
        <f t="shared" si="3"/>
        <v>Absent</v>
      </c>
      <c r="F129" t="str">
        <f>TEXT(tbl_AttendanceDetails[[#This Row],[Date]],"dddd")</f>
        <v>Wednesday</v>
      </c>
    </row>
    <row r="130" spans="1:6" ht="15.75" customHeight="1" x14ac:dyDescent="0.3">
      <c r="A130" s="4" t="s">
        <v>35</v>
      </c>
      <c r="B130" s="5">
        <v>45477</v>
      </c>
      <c r="C130" s="6" t="s">
        <v>121</v>
      </c>
      <c r="D130">
        <f t="shared" ref="D130:D193" si="4">IF(C130="Yes",1,0)</f>
        <v>1</v>
      </c>
      <c r="E130" t="str">
        <f t="shared" ref="E130:E193" si="5">IF(C130="Yes","Present","Absent")</f>
        <v>Present</v>
      </c>
      <c r="F130" t="str">
        <f>TEXT(tbl_AttendanceDetails[[#This Row],[Date]],"dddd")</f>
        <v>Thursday</v>
      </c>
    </row>
    <row r="131" spans="1:6" ht="15.75" customHeight="1" x14ac:dyDescent="0.3">
      <c r="A131" s="4" t="s">
        <v>35</v>
      </c>
      <c r="B131" s="5">
        <v>45478</v>
      </c>
      <c r="C131" s="6" t="s">
        <v>121</v>
      </c>
      <c r="D131">
        <f t="shared" si="4"/>
        <v>1</v>
      </c>
      <c r="E131" t="str">
        <f t="shared" si="5"/>
        <v>Present</v>
      </c>
      <c r="F131" t="str">
        <f>TEXT(tbl_AttendanceDetails[[#This Row],[Date]],"dddd")</f>
        <v>Friday</v>
      </c>
    </row>
    <row r="132" spans="1:6" ht="15.75" customHeight="1" x14ac:dyDescent="0.3">
      <c r="A132" s="4" t="s">
        <v>36</v>
      </c>
      <c r="B132" s="5">
        <v>45474</v>
      </c>
      <c r="C132" s="4" t="s">
        <v>121</v>
      </c>
      <c r="D132">
        <f t="shared" si="4"/>
        <v>1</v>
      </c>
      <c r="E132" t="str">
        <f t="shared" si="5"/>
        <v>Present</v>
      </c>
      <c r="F132" t="str">
        <f>TEXT(tbl_AttendanceDetails[[#This Row],[Date]],"dddd")</f>
        <v>Monday</v>
      </c>
    </row>
    <row r="133" spans="1:6" ht="15.75" customHeight="1" x14ac:dyDescent="0.3">
      <c r="A133" s="4" t="s">
        <v>36</v>
      </c>
      <c r="B133" s="5">
        <v>45475</v>
      </c>
      <c r="C133" s="6" t="s">
        <v>121</v>
      </c>
      <c r="D133">
        <f t="shared" si="4"/>
        <v>1</v>
      </c>
      <c r="E133" t="str">
        <f t="shared" si="5"/>
        <v>Present</v>
      </c>
      <c r="F133" t="str">
        <f>TEXT(tbl_AttendanceDetails[[#This Row],[Date]],"dddd")</f>
        <v>Tuesday</v>
      </c>
    </row>
    <row r="134" spans="1:6" ht="15.75" customHeight="1" x14ac:dyDescent="0.3">
      <c r="A134" s="4" t="s">
        <v>36</v>
      </c>
      <c r="B134" s="5">
        <v>45476</v>
      </c>
      <c r="C134" s="6" t="s">
        <v>121</v>
      </c>
      <c r="D134">
        <f t="shared" si="4"/>
        <v>1</v>
      </c>
      <c r="E134" t="str">
        <f t="shared" si="5"/>
        <v>Present</v>
      </c>
      <c r="F134" t="str">
        <f>TEXT(tbl_AttendanceDetails[[#This Row],[Date]],"dddd")</f>
        <v>Wednesday</v>
      </c>
    </row>
    <row r="135" spans="1:6" ht="15.75" customHeight="1" x14ac:dyDescent="0.3">
      <c r="A135" s="4" t="s">
        <v>36</v>
      </c>
      <c r="B135" s="5">
        <v>45477</v>
      </c>
      <c r="C135" s="6" t="s">
        <v>121</v>
      </c>
      <c r="D135">
        <f t="shared" si="4"/>
        <v>1</v>
      </c>
      <c r="E135" t="str">
        <f t="shared" si="5"/>
        <v>Present</v>
      </c>
      <c r="F135" t="str">
        <f>TEXT(tbl_AttendanceDetails[[#This Row],[Date]],"dddd")</f>
        <v>Thursday</v>
      </c>
    </row>
    <row r="136" spans="1:6" ht="15.75" customHeight="1" x14ac:dyDescent="0.3">
      <c r="A136" s="4" t="s">
        <v>36</v>
      </c>
      <c r="B136" s="5">
        <v>45478</v>
      </c>
      <c r="C136" s="6" t="s">
        <v>121</v>
      </c>
      <c r="D136">
        <f t="shared" si="4"/>
        <v>1</v>
      </c>
      <c r="E136" t="str">
        <f t="shared" si="5"/>
        <v>Present</v>
      </c>
      <c r="F136" t="str">
        <f>TEXT(tbl_AttendanceDetails[[#This Row],[Date]],"dddd")</f>
        <v>Friday</v>
      </c>
    </row>
    <row r="137" spans="1:6" ht="15.75" customHeight="1" x14ac:dyDescent="0.3">
      <c r="A137" s="4" t="s">
        <v>37</v>
      </c>
      <c r="B137" s="5">
        <v>45474</v>
      </c>
      <c r="C137" s="4" t="s">
        <v>122</v>
      </c>
      <c r="D137">
        <f t="shared" si="4"/>
        <v>0</v>
      </c>
      <c r="E137" t="str">
        <f t="shared" si="5"/>
        <v>Absent</v>
      </c>
      <c r="F137" t="str">
        <f>TEXT(tbl_AttendanceDetails[[#This Row],[Date]],"dddd")</f>
        <v>Monday</v>
      </c>
    </row>
    <row r="138" spans="1:6" ht="15.75" customHeight="1" x14ac:dyDescent="0.3">
      <c r="A138" s="4" t="s">
        <v>37</v>
      </c>
      <c r="B138" s="5">
        <v>45475</v>
      </c>
      <c r="C138" s="6" t="s">
        <v>122</v>
      </c>
      <c r="D138">
        <f t="shared" si="4"/>
        <v>0</v>
      </c>
      <c r="E138" t="str">
        <f t="shared" si="5"/>
        <v>Absent</v>
      </c>
      <c r="F138" t="str">
        <f>TEXT(tbl_AttendanceDetails[[#This Row],[Date]],"dddd")</f>
        <v>Tuesday</v>
      </c>
    </row>
    <row r="139" spans="1:6" ht="15.75" customHeight="1" x14ac:dyDescent="0.3">
      <c r="A139" s="4" t="s">
        <v>37</v>
      </c>
      <c r="B139" s="5">
        <v>45476</v>
      </c>
      <c r="C139" s="6" t="s">
        <v>121</v>
      </c>
      <c r="D139">
        <f t="shared" si="4"/>
        <v>1</v>
      </c>
      <c r="E139" t="str">
        <f t="shared" si="5"/>
        <v>Present</v>
      </c>
      <c r="F139" t="str">
        <f>TEXT(tbl_AttendanceDetails[[#This Row],[Date]],"dddd")</f>
        <v>Wednesday</v>
      </c>
    </row>
    <row r="140" spans="1:6" ht="15.75" customHeight="1" x14ac:dyDescent="0.3">
      <c r="A140" s="4" t="s">
        <v>37</v>
      </c>
      <c r="B140" s="5">
        <v>45477</v>
      </c>
      <c r="C140" s="6" t="s">
        <v>121</v>
      </c>
      <c r="D140">
        <f t="shared" si="4"/>
        <v>1</v>
      </c>
      <c r="E140" t="str">
        <f t="shared" si="5"/>
        <v>Present</v>
      </c>
      <c r="F140" t="str">
        <f>TEXT(tbl_AttendanceDetails[[#This Row],[Date]],"dddd")</f>
        <v>Thursday</v>
      </c>
    </row>
    <row r="141" spans="1:6" ht="15.75" customHeight="1" x14ac:dyDescent="0.3">
      <c r="A141" s="4" t="s">
        <v>37</v>
      </c>
      <c r="B141" s="5">
        <v>45478</v>
      </c>
      <c r="C141" s="6" t="s">
        <v>122</v>
      </c>
      <c r="D141">
        <f t="shared" si="4"/>
        <v>0</v>
      </c>
      <c r="E141" t="str">
        <f t="shared" si="5"/>
        <v>Absent</v>
      </c>
      <c r="F141" t="str">
        <f>TEXT(tbl_AttendanceDetails[[#This Row],[Date]],"dddd")</f>
        <v>Friday</v>
      </c>
    </row>
    <row r="142" spans="1:6" ht="15.75" customHeight="1" x14ac:dyDescent="0.3">
      <c r="A142" s="4" t="s">
        <v>38</v>
      </c>
      <c r="B142" s="5">
        <v>45474</v>
      </c>
      <c r="C142" s="4" t="s">
        <v>121</v>
      </c>
      <c r="D142">
        <f t="shared" si="4"/>
        <v>1</v>
      </c>
      <c r="E142" t="str">
        <f t="shared" si="5"/>
        <v>Present</v>
      </c>
      <c r="F142" t="str">
        <f>TEXT(tbl_AttendanceDetails[[#This Row],[Date]],"dddd")</f>
        <v>Monday</v>
      </c>
    </row>
    <row r="143" spans="1:6" ht="15.75" customHeight="1" x14ac:dyDescent="0.3">
      <c r="A143" s="4" t="s">
        <v>38</v>
      </c>
      <c r="B143" s="5">
        <v>45475</v>
      </c>
      <c r="C143" s="6" t="s">
        <v>121</v>
      </c>
      <c r="D143">
        <f t="shared" si="4"/>
        <v>1</v>
      </c>
      <c r="E143" t="str">
        <f t="shared" si="5"/>
        <v>Present</v>
      </c>
      <c r="F143" t="str">
        <f>TEXT(tbl_AttendanceDetails[[#This Row],[Date]],"dddd")</f>
        <v>Tuesday</v>
      </c>
    </row>
    <row r="144" spans="1:6" ht="15.75" customHeight="1" x14ac:dyDescent="0.3">
      <c r="A144" s="4" t="s">
        <v>38</v>
      </c>
      <c r="B144" s="5">
        <v>45476</v>
      </c>
      <c r="C144" s="6" t="s">
        <v>122</v>
      </c>
      <c r="D144">
        <f t="shared" si="4"/>
        <v>0</v>
      </c>
      <c r="E144" t="str">
        <f t="shared" si="5"/>
        <v>Absent</v>
      </c>
      <c r="F144" t="str">
        <f>TEXT(tbl_AttendanceDetails[[#This Row],[Date]],"dddd")</f>
        <v>Wednesday</v>
      </c>
    </row>
    <row r="145" spans="1:6" ht="15.75" customHeight="1" x14ac:dyDescent="0.3">
      <c r="A145" s="4" t="s">
        <v>38</v>
      </c>
      <c r="B145" s="5">
        <v>45477</v>
      </c>
      <c r="C145" s="6" t="s">
        <v>122</v>
      </c>
      <c r="D145">
        <f t="shared" si="4"/>
        <v>0</v>
      </c>
      <c r="E145" t="str">
        <f t="shared" si="5"/>
        <v>Absent</v>
      </c>
      <c r="F145" t="str">
        <f>TEXT(tbl_AttendanceDetails[[#This Row],[Date]],"dddd")</f>
        <v>Thursday</v>
      </c>
    </row>
    <row r="146" spans="1:6" ht="15.75" customHeight="1" x14ac:dyDescent="0.3">
      <c r="A146" s="4" t="s">
        <v>38</v>
      </c>
      <c r="B146" s="5">
        <v>45478</v>
      </c>
      <c r="C146" s="6" t="s">
        <v>121</v>
      </c>
      <c r="D146">
        <f t="shared" si="4"/>
        <v>1</v>
      </c>
      <c r="E146" t="str">
        <f t="shared" si="5"/>
        <v>Present</v>
      </c>
      <c r="F146" t="str">
        <f>TEXT(tbl_AttendanceDetails[[#This Row],[Date]],"dddd")</f>
        <v>Friday</v>
      </c>
    </row>
    <row r="147" spans="1:6" ht="15.75" customHeight="1" x14ac:dyDescent="0.3">
      <c r="A147" s="4" t="s">
        <v>39</v>
      </c>
      <c r="B147" s="5">
        <v>45474</v>
      </c>
      <c r="C147" s="4" t="s">
        <v>122</v>
      </c>
      <c r="D147">
        <f t="shared" si="4"/>
        <v>0</v>
      </c>
      <c r="E147" t="str">
        <f t="shared" si="5"/>
        <v>Absent</v>
      </c>
      <c r="F147" t="str">
        <f>TEXT(tbl_AttendanceDetails[[#This Row],[Date]],"dddd")</f>
        <v>Monday</v>
      </c>
    </row>
    <row r="148" spans="1:6" ht="15.75" customHeight="1" x14ac:dyDescent="0.3">
      <c r="A148" s="4" t="s">
        <v>39</v>
      </c>
      <c r="B148" s="5">
        <v>45475</v>
      </c>
      <c r="C148" s="6" t="s">
        <v>121</v>
      </c>
      <c r="D148">
        <f t="shared" si="4"/>
        <v>1</v>
      </c>
      <c r="E148" t="str">
        <f t="shared" si="5"/>
        <v>Present</v>
      </c>
      <c r="F148" t="str">
        <f>TEXT(tbl_AttendanceDetails[[#This Row],[Date]],"dddd")</f>
        <v>Tuesday</v>
      </c>
    </row>
    <row r="149" spans="1:6" ht="15.75" customHeight="1" x14ac:dyDescent="0.3">
      <c r="A149" s="4" t="s">
        <v>39</v>
      </c>
      <c r="B149" s="5">
        <v>45476</v>
      </c>
      <c r="C149" s="6" t="s">
        <v>121</v>
      </c>
      <c r="D149">
        <f t="shared" si="4"/>
        <v>1</v>
      </c>
      <c r="E149" t="str">
        <f t="shared" si="5"/>
        <v>Present</v>
      </c>
      <c r="F149" t="str">
        <f>TEXT(tbl_AttendanceDetails[[#This Row],[Date]],"dddd")</f>
        <v>Wednesday</v>
      </c>
    </row>
    <row r="150" spans="1:6" ht="15.75" customHeight="1" x14ac:dyDescent="0.3">
      <c r="A150" s="4" t="s">
        <v>39</v>
      </c>
      <c r="B150" s="5">
        <v>45477</v>
      </c>
      <c r="C150" s="6" t="s">
        <v>121</v>
      </c>
      <c r="D150">
        <f t="shared" si="4"/>
        <v>1</v>
      </c>
      <c r="E150" t="str">
        <f t="shared" si="5"/>
        <v>Present</v>
      </c>
      <c r="F150" t="str">
        <f>TEXT(tbl_AttendanceDetails[[#This Row],[Date]],"dddd")</f>
        <v>Thursday</v>
      </c>
    </row>
    <row r="151" spans="1:6" ht="15.75" customHeight="1" x14ac:dyDescent="0.3">
      <c r="A151" s="4" t="s">
        <v>39</v>
      </c>
      <c r="B151" s="5">
        <v>45478</v>
      </c>
      <c r="C151" s="6" t="s">
        <v>122</v>
      </c>
      <c r="D151">
        <f t="shared" si="4"/>
        <v>0</v>
      </c>
      <c r="E151" t="str">
        <f t="shared" si="5"/>
        <v>Absent</v>
      </c>
      <c r="F151" t="str">
        <f>TEXT(tbl_AttendanceDetails[[#This Row],[Date]],"dddd")</f>
        <v>Friday</v>
      </c>
    </row>
    <row r="152" spans="1:6" ht="15.75" customHeight="1" x14ac:dyDescent="0.3">
      <c r="A152" s="4" t="s">
        <v>40</v>
      </c>
      <c r="B152" s="5">
        <v>45474</v>
      </c>
      <c r="C152" s="4" t="s">
        <v>121</v>
      </c>
      <c r="D152">
        <f t="shared" si="4"/>
        <v>1</v>
      </c>
      <c r="E152" t="str">
        <f t="shared" si="5"/>
        <v>Present</v>
      </c>
      <c r="F152" t="str">
        <f>TEXT(tbl_AttendanceDetails[[#This Row],[Date]],"dddd")</f>
        <v>Monday</v>
      </c>
    </row>
    <row r="153" spans="1:6" ht="15.75" customHeight="1" x14ac:dyDescent="0.3">
      <c r="A153" s="4" t="s">
        <v>40</v>
      </c>
      <c r="B153" s="5">
        <v>45475</v>
      </c>
      <c r="C153" s="6" t="s">
        <v>121</v>
      </c>
      <c r="D153">
        <f t="shared" si="4"/>
        <v>1</v>
      </c>
      <c r="E153" t="str">
        <f t="shared" si="5"/>
        <v>Present</v>
      </c>
      <c r="F153" t="str">
        <f>TEXT(tbl_AttendanceDetails[[#This Row],[Date]],"dddd")</f>
        <v>Tuesday</v>
      </c>
    </row>
    <row r="154" spans="1:6" ht="15.75" customHeight="1" x14ac:dyDescent="0.3">
      <c r="A154" s="4" t="s">
        <v>40</v>
      </c>
      <c r="B154" s="5">
        <v>45476</v>
      </c>
      <c r="C154" s="6" t="s">
        <v>121</v>
      </c>
      <c r="D154">
        <f t="shared" si="4"/>
        <v>1</v>
      </c>
      <c r="E154" t="str">
        <f t="shared" si="5"/>
        <v>Present</v>
      </c>
      <c r="F154" t="str">
        <f>TEXT(tbl_AttendanceDetails[[#This Row],[Date]],"dddd")</f>
        <v>Wednesday</v>
      </c>
    </row>
    <row r="155" spans="1:6" ht="15.75" customHeight="1" x14ac:dyDescent="0.3">
      <c r="A155" s="4" t="s">
        <v>40</v>
      </c>
      <c r="B155" s="5">
        <v>45477</v>
      </c>
      <c r="C155" s="6" t="s">
        <v>122</v>
      </c>
      <c r="D155">
        <f t="shared" si="4"/>
        <v>0</v>
      </c>
      <c r="E155" t="str">
        <f t="shared" si="5"/>
        <v>Absent</v>
      </c>
      <c r="F155" t="str">
        <f>TEXT(tbl_AttendanceDetails[[#This Row],[Date]],"dddd")</f>
        <v>Thursday</v>
      </c>
    </row>
    <row r="156" spans="1:6" ht="15.75" customHeight="1" x14ac:dyDescent="0.3">
      <c r="A156" s="4" t="s">
        <v>40</v>
      </c>
      <c r="B156" s="5">
        <v>45478</v>
      </c>
      <c r="C156" s="6" t="s">
        <v>121</v>
      </c>
      <c r="D156">
        <f t="shared" si="4"/>
        <v>1</v>
      </c>
      <c r="E156" t="str">
        <f t="shared" si="5"/>
        <v>Present</v>
      </c>
      <c r="F156" t="str">
        <f>TEXT(tbl_AttendanceDetails[[#This Row],[Date]],"dddd")</f>
        <v>Friday</v>
      </c>
    </row>
    <row r="157" spans="1:6" ht="15.75" customHeight="1" x14ac:dyDescent="0.3">
      <c r="A157" s="4" t="s">
        <v>41</v>
      </c>
      <c r="B157" s="5">
        <v>45474</v>
      </c>
      <c r="C157" s="4" t="s">
        <v>122</v>
      </c>
      <c r="D157">
        <f t="shared" si="4"/>
        <v>0</v>
      </c>
      <c r="E157" t="str">
        <f t="shared" si="5"/>
        <v>Absent</v>
      </c>
      <c r="F157" t="str">
        <f>TEXT(tbl_AttendanceDetails[[#This Row],[Date]],"dddd")</f>
        <v>Monday</v>
      </c>
    </row>
    <row r="158" spans="1:6" ht="15.75" customHeight="1" x14ac:dyDescent="0.3">
      <c r="A158" s="4" t="s">
        <v>41</v>
      </c>
      <c r="B158" s="5">
        <v>45475</v>
      </c>
      <c r="C158" s="6" t="s">
        <v>121</v>
      </c>
      <c r="D158">
        <f t="shared" si="4"/>
        <v>1</v>
      </c>
      <c r="E158" t="str">
        <f t="shared" si="5"/>
        <v>Present</v>
      </c>
      <c r="F158" t="str">
        <f>TEXT(tbl_AttendanceDetails[[#This Row],[Date]],"dddd")</f>
        <v>Tuesday</v>
      </c>
    </row>
    <row r="159" spans="1:6" ht="15.75" customHeight="1" x14ac:dyDescent="0.3">
      <c r="A159" s="4" t="s">
        <v>41</v>
      </c>
      <c r="B159" s="5">
        <v>45476</v>
      </c>
      <c r="C159" s="6" t="s">
        <v>122</v>
      </c>
      <c r="D159">
        <f t="shared" si="4"/>
        <v>0</v>
      </c>
      <c r="E159" t="str">
        <f t="shared" si="5"/>
        <v>Absent</v>
      </c>
      <c r="F159" t="str">
        <f>TEXT(tbl_AttendanceDetails[[#This Row],[Date]],"dddd")</f>
        <v>Wednesday</v>
      </c>
    </row>
    <row r="160" spans="1:6" ht="15.75" customHeight="1" x14ac:dyDescent="0.3">
      <c r="A160" s="4" t="s">
        <v>41</v>
      </c>
      <c r="B160" s="5">
        <v>45477</v>
      </c>
      <c r="C160" s="6" t="s">
        <v>121</v>
      </c>
      <c r="D160">
        <f t="shared" si="4"/>
        <v>1</v>
      </c>
      <c r="E160" t="str">
        <f t="shared" si="5"/>
        <v>Present</v>
      </c>
      <c r="F160" t="str">
        <f>TEXT(tbl_AttendanceDetails[[#This Row],[Date]],"dddd")</f>
        <v>Thursday</v>
      </c>
    </row>
    <row r="161" spans="1:6" ht="15.75" customHeight="1" x14ac:dyDescent="0.3">
      <c r="A161" s="4" t="s">
        <v>41</v>
      </c>
      <c r="B161" s="5">
        <v>45478</v>
      </c>
      <c r="C161" s="6" t="s">
        <v>121</v>
      </c>
      <c r="D161">
        <f t="shared" si="4"/>
        <v>1</v>
      </c>
      <c r="E161" t="str">
        <f t="shared" si="5"/>
        <v>Present</v>
      </c>
      <c r="F161" t="str">
        <f>TEXT(tbl_AttendanceDetails[[#This Row],[Date]],"dddd")</f>
        <v>Friday</v>
      </c>
    </row>
    <row r="162" spans="1:6" ht="15.75" customHeight="1" x14ac:dyDescent="0.3">
      <c r="A162" s="4" t="s">
        <v>42</v>
      </c>
      <c r="B162" s="5">
        <v>45474</v>
      </c>
      <c r="C162" s="4" t="s">
        <v>121</v>
      </c>
      <c r="D162">
        <f t="shared" si="4"/>
        <v>1</v>
      </c>
      <c r="E162" t="str">
        <f t="shared" si="5"/>
        <v>Present</v>
      </c>
      <c r="F162" t="str">
        <f>TEXT(tbl_AttendanceDetails[[#This Row],[Date]],"dddd")</f>
        <v>Monday</v>
      </c>
    </row>
    <row r="163" spans="1:6" ht="15.75" customHeight="1" x14ac:dyDescent="0.3">
      <c r="A163" s="4" t="s">
        <v>42</v>
      </c>
      <c r="B163" s="5">
        <v>45475</v>
      </c>
      <c r="C163" s="6" t="s">
        <v>121</v>
      </c>
      <c r="D163">
        <f t="shared" si="4"/>
        <v>1</v>
      </c>
      <c r="E163" t="str">
        <f t="shared" si="5"/>
        <v>Present</v>
      </c>
      <c r="F163" t="str">
        <f>TEXT(tbl_AttendanceDetails[[#This Row],[Date]],"dddd")</f>
        <v>Tuesday</v>
      </c>
    </row>
    <row r="164" spans="1:6" ht="15.75" customHeight="1" x14ac:dyDescent="0.3">
      <c r="A164" s="4" t="s">
        <v>42</v>
      </c>
      <c r="B164" s="5">
        <v>45476</v>
      </c>
      <c r="C164" s="6" t="s">
        <v>121</v>
      </c>
      <c r="D164">
        <f t="shared" si="4"/>
        <v>1</v>
      </c>
      <c r="E164" t="str">
        <f t="shared" si="5"/>
        <v>Present</v>
      </c>
      <c r="F164" t="str">
        <f>TEXT(tbl_AttendanceDetails[[#This Row],[Date]],"dddd")</f>
        <v>Wednesday</v>
      </c>
    </row>
    <row r="165" spans="1:6" ht="15.75" customHeight="1" x14ac:dyDescent="0.3">
      <c r="A165" s="4" t="s">
        <v>42</v>
      </c>
      <c r="B165" s="5">
        <v>45477</v>
      </c>
      <c r="C165" s="6" t="s">
        <v>122</v>
      </c>
      <c r="D165">
        <f t="shared" si="4"/>
        <v>0</v>
      </c>
      <c r="E165" t="str">
        <f t="shared" si="5"/>
        <v>Absent</v>
      </c>
      <c r="F165" t="str">
        <f>TEXT(tbl_AttendanceDetails[[#This Row],[Date]],"dddd")</f>
        <v>Thursday</v>
      </c>
    </row>
    <row r="166" spans="1:6" ht="15.75" customHeight="1" x14ac:dyDescent="0.3">
      <c r="A166" s="4" t="s">
        <v>42</v>
      </c>
      <c r="B166" s="5">
        <v>45478</v>
      </c>
      <c r="C166" s="6" t="s">
        <v>121</v>
      </c>
      <c r="D166">
        <f t="shared" si="4"/>
        <v>1</v>
      </c>
      <c r="E166" t="str">
        <f t="shared" si="5"/>
        <v>Present</v>
      </c>
      <c r="F166" t="str">
        <f>TEXT(tbl_AttendanceDetails[[#This Row],[Date]],"dddd")</f>
        <v>Friday</v>
      </c>
    </row>
    <row r="167" spans="1:6" ht="15.75" customHeight="1" x14ac:dyDescent="0.3">
      <c r="A167" s="4" t="s">
        <v>7</v>
      </c>
      <c r="B167" s="5">
        <v>45474</v>
      </c>
      <c r="C167" s="4" t="s">
        <v>122</v>
      </c>
      <c r="D167">
        <f t="shared" si="4"/>
        <v>0</v>
      </c>
      <c r="E167" t="str">
        <f t="shared" si="5"/>
        <v>Absent</v>
      </c>
      <c r="F167" t="str">
        <f>TEXT(tbl_AttendanceDetails[[#This Row],[Date]],"dddd")</f>
        <v>Monday</v>
      </c>
    </row>
    <row r="168" spans="1:6" ht="15.75" customHeight="1" x14ac:dyDescent="0.3">
      <c r="A168" s="4" t="s">
        <v>7</v>
      </c>
      <c r="B168" s="5">
        <v>45475</v>
      </c>
      <c r="C168" s="6" t="s">
        <v>122</v>
      </c>
      <c r="D168">
        <f t="shared" si="4"/>
        <v>0</v>
      </c>
      <c r="E168" t="str">
        <f t="shared" si="5"/>
        <v>Absent</v>
      </c>
      <c r="F168" t="str">
        <f>TEXT(tbl_AttendanceDetails[[#This Row],[Date]],"dddd")</f>
        <v>Tuesday</v>
      </c>
    </row>
    <row r="169" spans="1:6" ht="15.75" customHeight="1" x14ac:dyDescent="0.3">
      <c r="A169" s="4" t="s">
        <v>7</v>
      </c>
      <c r="B169" s="5">
        <v>45476</v>
      </c>
      <c r="C169" s="6" t="s">
        <v>121</v>
      </c>
      <c r="D169">
        <f t="shared" si="4"/>
        <v>1</v>
      </c>
      <c r="E169" t="str">
        <f t="shared" si="5"/>
        <v>Present</v>
      </c>
      <c r="F169" t="str">
        <f>TEXT(tbl_AttendanceDetails[[#This Row],[Date]],"dddd")</f>
        <v>Wednesday</v>
      </c>
    </row>
    <row r="170" spans="1:6" ht="15.75" customHeight="1" x14ac:dyDescent="0.3">
      <c r="A170" s="4" t="s">
        <v>7</v>
      </c>
      <c r="B170" s="5">
        <v>45477</v>
      </c>
      <c r="C170" s="6" t="s">
        <v>121</v>
      </c>
      <c r="D170">
        <f t="shared" si="4"/>
        <v>1</v>
      </c>
      <c r="E170" t="str">
        <f t="shared" si="5"/>
        <v>Present</v>
      </c>
      <c r="F170" t="str">
        <f>TEXT(tbl_AttendanceDetails[[#This Row],[Date]],"dddd")</f>
        <v>Thursday</v>
      </c>
    </row>
    <row r="171" spans="1:6" ht="15.75" customHeight="1" x14ac:dyDescent="0.3">
      <c r="A171" s="4" t="s">
        <v>7</v>
      </c>
      <c r="B171" s="5">
        <v>45478</v>
      </c>
      <c r="C171" s="6" t="s">
        <v>122</v>
      </c>
      <c r="D171">
        <f t="shared" si="4"/>
        <v>0</v>
      </c>
      <c r="E171" t="str">
        <f t="shared" si="5"/>
        <v>Absent</v>
      </c>
      <c r="F171" t="str">
        <f>TEXT(tbl_AttendanceDetails[[#This Row],[Date]],"dddd")</f>
        <v>Friday</v>
      </c>
    </row>
    <row r="172" spans="1:6" ht="15.75" customHeight="1" x14ac:dyDescent="0.3">
      <c r="A172" s="4" t="s">
        <v>43</v>
      </c>
      <c r="B172" s="5">
        <v>45474</v>
      </c>
      <c r="C172" s="4" t="s">
        <v>122</v>
      </c>
      <c r="D172">
        <f t="shared" si="4"/>
        <v>0</v>
      </c>
      <c r="E172" t="str">
        <f t="shared" si="5"/>
        <v>Absent</v>
      </c>
      <c r="F172" t="str">
        <f>TEXT(tbl_AttendanceDetails[[#This Row],[Date]],"dddd")</f>
        <v>Monday</v>
      </c>
    </row>
    <row r="173" spans="1:6" ht="15.75" customHeight="1" x14ac:dyDescent="0.3">
      <c r="A173" s="4" t="s">
        <v>43</v>
      </c>
      <c r="B173" s="5">
        <v>45475</v>
      </c>
      <c r="C173" s="6" t="s">
        <v>122</v>
      </c>
      <c r="D173">
        <f t="shared" si="4"/>
        <v>0</v>
      </c>
      <c r="E173" t="str">
        <f t="shared" si="5"/>
        <v>Absent</v>
      </c>
      <c r="F173" t="str">
        <f>TEXT(tbl_AttendanceDetails[[#This Row],[Date]],"dddd")</f>
        <v>Tuesday</v>
      </c>
    </row>
    <row r="174" spans="1:6" ht="15.75" customHeight="1" x14ac:dyDescent="0.3">
      <c r="A174" s="4" t="s">
        <v>43</v>
      </c>
      <c r="B174" s="5">
        <v>45476</v>
      </c>
      <c r="C174" s="6" t="s">
        <v>122</v>
      </c>
      <c r="D174">
        <f t="shared" si="4"/>
        <v>0</v>
      </c>
      <c r="E174" t="str">
        <f t="shared" si="5"/>
        <v>Absent</v>
      </c>
      <c r="F174" t="str">
        <f>TEXT(tbl_AttendanceDetails[[#This Row],[Date]],"dddd")</f>
        <v>Wednesday</v>
      </c>
    </row>
    <row r="175" spans="1:6" ht="15.75" customHeight="1" x14ac:dyDescent="0.3">
      <c r="A175" s="4" t="s">
        <v>43</v>
      </c>
      <c r="B175" s="5">
        <v>45477</v>
      </c>
      <c r="C175" s="6" t="s">
        <v>121</v>
      </c>
      <c r="D175">
        <f t="shared" si="4"/>
        <v>1</v>
      </c>
      <c r="E175" t="str">
        <f t="shared" si="5"/>
        <v>Present</v>
      </c>
      <c r="F175" t="str">
        <f>TEXT(tbl_AttendanceDetails[[#This Row],[Date]],"dddd")</f>
        <v>Thursday</v>
      </c>
    </row>
    <row r="176" spans="1:6" ht="15.75" customHeight="1" x14ac:dyDescent="0.3">
      <c r="A176" s="4" t="s">
        <v>43</v>
      </c>
      <c r="B176" s="5">
        <v>45478</v>
      </c>
      <c r="C176" s="6" t="s">
        <v>122</v>
      </c>
      <c r="D176">
        <f t="shared" si="4"/>
        <v>0</v>
      </c>
      <c r="E176" t="str">
        <f t="shared" si="5"/>
        <v>Absent</v>
      </c>
      <c r="F176" t="str">
        <f>TEXT(tbl_AttendanceDetails[[#This Row],[Date]],"dddd")</f>
        <v>Friday</v>
      </c>
    </row>
    <row r="177" spans="1:6" ht="15.75" customHeight="1" x14ac:dyDescent="0.3">
      <c r="A177" s="4" t="s">
        <v>44</v>
      </c>
      <c r="B177" s="5">
        <v>45474</v>
      </c>
      <c r="C177" s="4" t="s">
        <v>121</v>
      </c>
      <c r="D177">
        <f t="shared" si="4"/>
        <v>1</v>
      </c>
      <c r="E177" t="str">
        <f t="shared" si="5"/>
        <v>Present</v>
      </c>
      <c r="F177" t="str">
        <f>TEXT(tbl_AttendanceDetails[[#This Row],[Date]],"dddd")</f>
        <v>Monday</v>
      </c>
    </row>
    <row r="178" spans="1:6" ht="15.75" customHeight="1" x14ac:dyDescent="0.3">
      <c r="A178" s="4" t="s">
        <v>44</v>
      </c>
      <c r="B178" s="5">
        <v>45475</v>
      </c>
      <c r="C178" s="6" t="s">
        <v>122</v>
      </c>
      <c r="D178">
        <f t="shared" si="4"/>
        <v>0</v>
      </c>
      <c r="E178" t="str">
        <f t="shared" si="5"/>
        <v>Absent</v>
      </c>
      <c r="F178" t="str">
        <f>TEXT(tbl_AttendanceDetails[[#This Row],[Date]],"dddd")</f>
        <v>Tuesday</v>
      </c>
    </row>
    <row r="179" spans="1:6" ht="15.75" customHeight="1" x14ac:dyDescent="0.3">
      <c r="A179" s="4" t="s">
        <v>44</v>
      </c>
      <c r="B179" s="5">
        <v>45476</v>
      </c>
      <c r="C179" s="6" t="s">
        <v>121</v>
      </c>
      <c r="D179">
        <f t="shared" si="4"/>
        <v>1</v>
      </c>
      <c r="E179" t="str">
        <f t="shared" si="5"/>
        <v>Present</v>
      </c>
      <c r="F179" t="str">
        <f>TEXT(tbl_AttendanceDetails[[#This Row],[Date]],"dddd")</f>
        <v>Wednesday</v>
      </c>
    </row>
    <row r="180" spans="1:6" ht="15.75" customHeight="1" x14ac:dyDescent="0.3">
      <c r="A180" s="4" t="s">
        <v>44</v>
      </c>
      <c r="B180" s="5">
        <v>45477</v>
      </c>
      <c r="C180" s="6" t="s">
        <v>121</v>
      </c>
      <c r="D180">
        <f t="shared" si="4"/>
        <v>1</v>
      </c>
      <c r="E180" t="str">
        <f t="shared" si="5"/>
        <v>Present</v>
      </c>
      <c r="F180" t="str">
        <f>TEXT(tbl_AttendanceDetails[[#This Row],[Date]],"dddd")</f>
        <v>Thursday</v>
      </c>
    </row>
    <row r="181" spans="1:6" ht="15.75" customHeight="1" x14ac:dyDescent="0.3">
      <c r="A181" s="4" t="s">
        <v>44</v>
      </c>
      <c r="B181" s="5">
        <v>45478</v>
      </c>
      <c r="C181" s="6" t="s">
        <v>121</v>
      </c>
      <c r="D181">
        <f t="shared" si="4"/>
        <v>1</v>
      </c>
      <c r="E181" t="str">
        <f t="shared" si="5"/>
        <v>Present</v>
      </c>
      <c r="F181" t="str">
        <f>TEXT(tbl_AttendanceDetails[[#This Row],[Date]],"dddd")</f>
        <v>Friday</v>
      </c>
    </row>
    <row r="182" spans="1:6" ht="15.75" customHeight="1" x14ac:dyDescent="0.3">
      <c r="A182" s="4" t="s">
        <v>45</v>
      </c>
      <c r="B182" s="5">
        <v>45474</v>
      </c>
      <c r="C182" s="4" t="s">
        <v>122</v>
      </c>
      <c r="D182">
        <f t="shared" si="4"/>
        <v>0</v>
      </c>
      <c r="E182" t="str">
        <f t="shared" si="5"/>
        <v>Absent</v>
      </c>
      <c r="F182" t="str">
        <f>TEXT(tbl_AttendanceDetails[[#This Row],[Date]],"dddd")</f>
        <v>Monday</v>
      </c>
    </row>
    <row r="183" spans="1:6" ht="15.75" customHeight="1" x14ac:dyDescent="0.3">
      <c r="A183" s="4" t="s">
        <v>45</v>
      </c>
      <c r="B183" s="5">
        <v>45475</v>
      </c>
      <c r="C183" s="6" t="s">
        <v>122</v>
      </c>
      <c r="D183">
        <f t="shared" si="4"/>
        <v>0</v>
      </c>
      <c r="E183" t="str">
        <f t="shared" si="5"/>
        <v>Absent</v>
      </c>
      <c r="F183" t="str">
        <f>TEXT(tbl_AttendanceDetails[[#This Row],[Date]],"dddd")</f>
        <v>Tuesday</v>
      </c>
    </row>
    <row r="184" spans="1:6" ht="15.75" customHeight="1" x14ac:dyDescent="0.3">
      <c r="A184" s="4" t="s">
        <v>45</v>
      </c>
      <c r="B184" s="5">
        <v>45476</v>
      </c>
      <c r="C184" s="6" t="s">
        <v>122</v>
      </c>
      <c r="D184">
        <f t="shared" si="4"/>
        <v>0</v>
      </c>
      <c r="E184" t="str">
        <f t="shared" si="5"/>
        <v>Absent</v>
      </c>
      <c r="F184" t="str">
        <f>TEXT(tbl_AttendanceDetails[[#This Row],[Date]],"dddd")</f>
        <v>Wednesday</v>
      </c>
    </row>
    <row r="185" spans="1:6" ht="15.75" customHeight="1" x14ac:dyDescent="0.3">
      <c r="A185" s="4" t="s">
        <v>45</v>
      </c>
      <c r="B185" s="5">
        <v>45477</v>
      </c>
      <c r="C185" s="6" t="s">
        <v>121</v>
      </c>
      <c r="D185">
        <f t="shared" si="4"/>
        <v>1</v>
      </c>
      <c r="E185" t="str">
        <f t="shared" si="5"/>
        <v>Present</v>
      </c>
      <c r="F185" t="str">
        <f>TEXT(tbl_AttendanceDetails[[#This Row],[Date]],"dddd")</f>
        <v>Thursday</v>
      </c>
    </row>
    <row r="186" spans="1:6" ht="15.75" customHeight="1" x14ac:dyDescent="0.3">
      <c r="A186" s="4" t="s">
        <v>45</v>
      </c>
      <c r="B186" s="5">
        <v>45478</v>
      </c>
      <c r="C186" s="6" t="s">
        <v>122</v>
      </c>
      <c r="D186">
        <f t="shared" si="4"/>
        <v>0</v>
      </c>
      <c r="E186" t="str">
        <f t="shared" si="5"/>
        <v>Absent</v>
      </c>
      <c r="F186" t="str">
        <f>TEXT(tbl_AttendanceDetails[[#This Row],[Date]],"dddd")</f>
        <v>Friday</v>
      </c>
    </row>
    <row r="187" spans="1:6" ht="15.75" customHeight="1" x14ac:dyDescent="0.3">
      <c r="A187" s="4" t="s">
        <v>46</v>
      </c>
      <c r="B187" s="5">
        <v>45474</v>
      </c>
      <c r="C187" s="4" t="s">
        <v>121</v>
      </c>
      <c r="D187">
        <f t="shared" si="4"/>
        <v>1</v>
      </c>
      <c r="E187" t="str">
        <f t="shared" si="5"/>
        <v>Present</v>
      </c>
      <c r="F187" t="str">
        <f>TEXT(tbl_AttendanceDetails[[#This Row],[Date]],"dddd")</f>
        <v>Monday</v>
      </c>
    </row>
    <row r="188" spans="1:6" ht="15.75" customHeight="1" x14ac:dyDescent="0.3">
      <c r="A188" s="4" t="s">
        <v>46</v>
      </c>
      <c r="B188" s="5">
        <v>45475</v>
      </c>
      <c r="C188" s="6" t="s">
        <v>121</v>
      </c>
      <c r="D188">
        <f t="shared" si="4"/>
        <v>1</v>
      </c>
      <c r="E188" t="str">
        <f t="shared" si="5"/>
        <v>Present</v>
      </c>
      <c r="F188" t="str">
        <f>TEXT(tbl_AttendanceDetails[[#This Row],[Date]],"dddd")</f>
        <v>Tuesday</v>
      </c>
    </row>
    <row r="189" spans="1:6" ht="15.75" customHeight="1" x14ac:dyDescent="0.3">
      <c r="A189" s="4" t="s">
        <v>46</v>
      </c>
      <c r="B189" s="5">
        <v>45476</v>
      </c>
      <c r="C189" s="6" t="s">
        <v>122</v>
      </c>
      <c r="D189">
        <f t="shared" si="4"/>
        <v>0</v>
      </c>
      <c r="E189" t="str">
        <f t="shared" si="5"/>
        <v>Absent</v>
      </c>
      <c r="F189" t="str">
        <f>TEXT(tbl_AttendanceDetails[[#This Row],[Date]],"dddd")</f>
        <v>Wednesday</v>
      </c>
    </row>
    <row r="190" spans="1:6" ht="15.75" customHeight="1" x14ac:dyDescent="0.3">
      <c r="A190" s="4" t="s">
        <v>46</v>
      </c>
      <c r="B190" s="5">
        <v>45477</v>
      </c>
      <c r="C190" s="6" t="s">
        <v>122</v>
      </c>
      <c r="D190">
        <f t="shared" si="4"/>
        <v>0</v>
      </c>
      <c r="E190" t="str">
        <f t="shared" si="5"/>
        <v>Absent</v>
      </c>
      <c r="F190" t="str">
        <f>TEXT(tbl_AttendanceDetails[[#This Row],[Date]],"dddd")</f>
        <v>Thursday</v>
      </c>
    </row>
    <row r="191" spans="1:6" ht="15.75" customHeight="1" x14ac:dyDescent="0.3">
      <c r="A191" s="4" t="s">
        <v>46</v>
      </c>
      <c r="B191" s="5">
        <v>45478</v>
      </c>
      <c r="C191" s="6" t="s">
        <v>122</v>
      </c>
      <c r="D191">
        <f t="shared" si="4"/>
        <v>0</v>
      </c>
      <c r="E191" t="str">
        <f t="shared" si="5"/>
        <v>Absent</v>
      </c>
      <c r="F191" t="str">
        <f>TEXT(tbl_AttendanceDetails[[#This Row],[Date]],"dddd")</f>
        <v>Friday</v>
      </c>
    </row>
    <row r="192" spans="1:6" ht="15.75" customHeight="1" x14ac:dyDescent="0.3">
      <c r="A192" s="4" t="s">
        <v>47</v>
      </c>
      <c r="B192" s="5">
        <v>45474</v>
      </c>
      <c r="C192" s="4" t="s">
        <v>122</v>
      </c>
      <c r="D192">
        <f t="shared" si="4"/>
        <v>0</v>
      </c>
      <c r="E192" t="str">
        <f t="shared" si="5"/>
        <v>Absent</v>
      </c>
      <c r="F192" t="str">
        <f>TEXT(tbl_AttendanceDetails[[#This Row],[Date]],"dddd")</f>
        <v>Monday</v>
      </c>
    </row>
    <row r="193" spans="1:6" ht="15.75" customHeight="1" x14ac:dyDescent="0.3">
      <c r="A193" s="4" t="s">
        <v>47</v>
      </c>
      <c r="B193" s="5">
        <v>45475</v>
      </c>
      <c r="C193" s="6" t="s">
        <v>121</v>
      </c>
      <c r="D193">
        <f t="shared" si="4"/>
        <v>1</v>
      </c>
      <c r="E193" t="str">
        <f t="shared" si="5"/>
        <v>Present</v>
      </c>
      <c r="F193" t="str">
        <f>TEXT(tbl_AttendanceDetails[[#This Row],[Date]],"dddd")</f>
        <v>Tuesday</v>
      </c>
    </row>
    <row r="194" spans="1:6" ht="15.75" customHeight="1" x14ac:dyDescent="0.3">
      <c r="A194" s="4" t="s">
        <v>47</v>
      </c>
      <c r="B194" s="5">
        <v>45476</v>
      </c>
      <c r="C194" s="6" t="s">
        <v>122</v>
      </c>
      <c r="D194">
        <f t="shared" ref="D194:D251" si="6">IF(C194="Yes",1,0)</f>
        <v>0</v>
      </c>
      <c r="E194" t="str">
        <f t="shared" ref="E194:E251" si="7">IF(C194="Yes","Present","Absent")</f>
        <v>Absent</v>
      </c>
      <c r="F194" t="str">
        <f>TEXT(tbl_AttendanceDetails[[#This Row],[Date]],"dddd")</f>
        <v>Wednesday</v>
      </c>
    </row>
    <row r="195" spans="1:6" ht="15.75" customHeight="1" x14ac:dyDescent="0.3">
      <c r="A195" s="4" t="s">
        <v>47</v>
      </c>
      <c r="B195" s="5">
        <v>45477</v>
      </c>
      <c r="C195" s="6" t="s">
        <v>121</v>
      </c>
      <c r="D195">
        <f t="shared" si="6"/>
        <v>1</v>
      </c>
      <c r="E195" t="str">
        <f t="shared" si="7"/>
        <v>Present</v>
      </c>
      <c r="F195" t="str">
        <f>TEXT(tbl_AttendanceDetails[[#This Row],[Date]],"dddd")</f>
        <v>Thursday</v>
      </c>
    </row>
    <row r="196" spans="1:6" ht="15.75" customHeight="1" x14ac:dyDescent="0.3">
      <c r="A196" s="4" t="s">
        <v>47</v>
      </c>
      <c r="B196" s="5">
        <v>45478</v>
      </c>
      <c r="C196" s="6" t="s">
        <v>122</v>
      </c>
      <c r="D196">
        <f t="shared" si="6"/>
        <v>0</v>
      </c>
      <c r="E196" t="str">
        <f t="shared" si="7"/>
        <v>Absent</v>
      </c>
      <c r="F196" t="str">
        <f>TEXT(tbl_AttendanceDetails[[#This Row],[Date]],"dddd")</f>
        <v>Friday</v>
      </c>
    </row>
    <row r="197" spans="1:6" ht="15.75" customHeight="1" x14ac:dyDescent="0.3">
      <c r="A197" s="4" t="s">
        <v>48</v>
      </c>
      <c r="B197" s="5">
        <v>45474</v>
      </c>
      <c r="C197" s="4" t="s">
        <v>121</v>
      </c>
      <c r="D197">
        <f t="shared" si="6"/>
        <v>1</v>
      </c>
      <c r="E197" t="str">
        <f t="shared" si="7"/>
        <v>Present</v>
      </c>
      <c r="F197" t="str">
        <f>TEXT(tbl_AttendanceDetails[[#This Row],[Date]],"dddd")</f>
        <v>Monday</v>
      </c>
    </row>
    <row r="198" spans="1:6" ht="15.75" customHeight="1" x14ac:dyDescent="0.3">
      <c r="A198" s="4" t="s">
        <v>48</v>
      </c>
      <c r="B198" s="5">
        <v>45475</v>
      </c>
      <c r="C198" s="6" t="s">
        <v>122</v>
      </c>
      <c r="D198">
        <f t="shared" si="6"/>
        <v>0</v>
      </c>
      <c r="E198" t="str">
        <f t="shared" si="7"/>
        <v>Absent</v>
      </c>
      <c r="F198" t="str">
        <f>TEXT(tbl_AttendanceDetails[[#This Row],[Date]],"dddd")</f>
        <v>Tuesday</v>
      </c>
    </row>
    <row r="199" spans="1:6" ht="15.75" customHeight="1" x14ac:dyDescent="0.3">
      <c r="A199" s="4" t="s">
        <v>48</v>
      </c>
      <c r="B199" s="5">
        <v>45476</v>
      </c>
      <c r="C199" s="6" t="s">
        <v>122</v>
      </c>
      <c r="D199">
        <f t="shared" si="6"/>
        <v>0</v>
      </c>
      <c r="E199" t="str">
        <f t="shared" si="7"/>
        <v>Absent</v>
      </c>
      <c r="F199" t="str">
        <f>TEXT(tbl_AttendanceDetails[[#This Row],[Date]],"dddd")</f>
        <v>Wednesday</v>
      </c>
    </row>
    <row r="200" spans="1:6" ht="15.75" customHeight="1" x14ac:dyDescent="0.3">
      <c r="A200" s="4" t="s">
        <v>48</v>
      </c>
      <c r="B200" s="5">
        <v>45477</v>
      </c>
      <c r="C200" s="6" t="s">
        <v>121</v>
      </c>
      <c r="D200">
        <f t="shared" si="6"/>
        <v>1</v>
      </c>
      <c r="E200" t="str">
        <f t="shared" si="7"/>
        <v>Present</v>
      </c>
      <c r="F200" t="str">
        <f>TEXT(tbl_AttendanceDetails[[#This Row],[Date]],"dddd")</f>
        <v>Thursday</v>
      </c>
    </row>
    <row r="201" spans="1:6" ht="15.75" customHeight="1" x14ac:dyDescent="0.3">
      <c r="A201" s="4" t="s">
        <v>48</v>
      </c>
      <c r="B201" s="5">
        <v>45478</v>
      </c>
      <c r="C201" s="6" t="s">
        <v>121</v>
      </c>
      <c r="D201">
        <f t="shared" si="6"/>
        <v>1</v>
      </c>
      <c r="E201" t="str">
        <f t="shared" si="7"/>
        <v>Present</v>
      </c>
      <c r="F201" t="str">
        <f>TEXT(tbl_AttendanceDetails[[#This Row],[Date]],"dddd")</f>
        <v>Friday</v>
      </c>
    </row>
    <row r="202" spans="1:6" ht="15.75" customHeight="1" x14ac:dyDescent="0.3">
      <c r="A202" s="4" t="s">
        <v>49</v>
      </c>
      <c r="B202" s="5">
        <v>45474</v>
      </c>
      <c r="C202" s="4" t="s">
        <v>122</v>
      </c>
      <c r="D202">
        <f t="shared" si="6"/>
        <v>0</v>
      </c>
      <c r="E202" t="str">
        <f t="shared" si="7"/>
        <v>Absent</v>
      </c>
      <c r="F202" t="str">
        <f>TEXT(tbl_AttendanceDetails[[#This Row],[Date]],"dddd")</f>
        <v>Monday</v>
      </c>
    </row>
    <row r="203" spans="1:6" ht="15.75" customHeight="1" x14ac:dyDescent="0.3">
      <c r="A203" s="4" t="s">
        <v>49</v>
      </c>
      <c r="B203" s="5">
        <v>45475</v>
      </c>
      <c r="C203" s="6" t="s">
        <v>121</v>
      </c>
      <c r="D203">
        <f t="shared" si="6"/>
        <v>1</v>
      </c>
      <c r="E203" t="str">
        <f t="shared" si="7"/>
        <v>Present</v>
      </c>
      <c r="F203" t="str">
        <f>TEXT(tbl_AttendanceDetails[[#This Row],[Date]],"dddd")</f>
        <v>Tuesday</v>
      </c>
    </row>
    <row r="204" spans="1:6" ht="15.75" customHeight="1" x14ac:dyDescent="0.3">
      <c r="A204" s="4" t="s">
        <v>49</v>
      </c>
      <c r="B204" s="5">
        <v>45476</v>
      </c>
      <c r="C204" s="6" t="s">
        <v>121</v>
      </c>
      <c r="D204">
        <f t="shared" si="6"/>
        <v>1</v>
      </c>
      <c r="E204" t="str">
        <f t="shared" si="7"/>
        <v>Present</v>
      </c>
      <c r="F204" t="str">
        <f>TEXT(tbl_AttendanceDetails[[#This Row],[Date]],"dddd")</f>
        <v>Wednesday</v>
      </c>
    </row>
    <row r="205" spans="1:6" ht="15.75" customHeight="1" x14ac:dyDescent="0.3">
      <c r="A205" s="4" t="s">
        <v>49</v>
      </c>
      <c r="B205" s="5">
        <v>45477</v>
      </c>
      <c r="C205" s="6" t="s">
        <v>122</v>
      </c>
      <c r="D205">
        <f t="shared" si="6"/>
        <v>0</v>
      </c>
      <c r="E205" t="str">
        <f t="shared" si="7"/>
        <v>Absent</v>
      </c>
      <c r="F205" t="str">
        <f>TEXT(tbl_AttendanceDetails[[#This Row],[Date]],"dddd")</f>
        <v>Thursday</v>
      </c>
    </row>
    <row r="206" spans="1:6" ht="15.75" customHeight="1" x14ac:dyDescent="0.3">
      <c r="A206" s="4" t="s">
        <v>49</v>
      </c>
      <c r="B206" s="5">
        <v>45478</v>
      </c>
      <c r="C206" s="6" t="s">
        <v>122</v>
      </c>
      <c r="D206">
        <f t="shared" si="6"/>
        <v>0</v>
      </c>
      <c r="E206" t="str">
        <f t="shared" si="7"/>
        <v>Absent</v>
      </c>
      <c r="F206" t="str">
        <f>TEXT(tbl_AttendanceDetails[[#This Row],[Date]],"dddd")</f>
        <v>Friday</v>
      </c>
    </row>
    <row r="207" spans="1:6" ht="15.75" customHeight="1" x14ac:dyDescent="0.3">
      <c r="A207" s="4" t="s">
        <v>50</v>
      </c>
      <c r="B207" s="5">
        <v>45474</v>
      </c>
      <c r="C207" s="4" t="s">
        <v>121</v>
      </c>
      <c r="D207">
        <f t="shared" si="6"/>
        <v>1</v>
      </c>
      <c r="E207" t="str">
        <f t="shared" si="7"/>
        <v>Present</v>
      </c>
      <c r="F207" t="str">
        <f>TEXT(tbl_AttendanceDetails[[#This Row],[Date]],"dddd")</f>
        <v>Monday</v>
      </c>
    </row>
    <row r="208" spans="1:6" ht="15.75" customHeight="1" x14ac:dyDescent="0.3">
      <c r="A208" s="4" t="s">
        <v>50</v>
      </c>
      <c r="B208" s="5">
        <v>45475</v>
      </c>
      <c r="C208" s="6" t="s">
        <v>121</v>
      </c>
      <c r="D208">
        <f t="shared" si="6"/>
        <v>1</v>
      </c>
      <c r="E208" t="str">
        <f t="shared" si="7"/>
        <v>Present</v>
      </c>
      <c r="F208" t="str">
        <f>TEXT(tbl_AttendanceDetails[[#This Row],[Date]],"dddd")</f>
        <v>Tuesday</v>
      </c>
    </row>
    <row r="209" spans="1:6" ht="15.75" customHeight="1" x14ac:dyDescent="0.3">
      <c r="A209" s="4" t="s">
        <v>50</v>
      </c>
      <c r="B209" s="5">
        <v>45476</v>
      </c>
      <c r="C209" s="6" t="s">
        <v>121</v>
      </c>
      <c r="D209">
        <f t="shared" si="6"/>
        <v>1</v>
      </c>
      <c r="E209" t="str">
        <f t="shared" si="7"/>
        <v>Present</v>
      </c>
      <c r="F209" t="str">
        <f>TEXT(tbl_AttendanceDetails[[#This Row],[Date]],"dddd")</f>
        <v>Wednesday</v>
      </c>
    </row>
    <row r="210" spans="1:6" ht="15.75" customHeight="1" x14ac:dyDescent="0.3">
      <c r="A210" s="4" t="s">
        <v>50</v>
      </c>
      <c r="B210" s="5">
        <v>45477</v>
      </c>
      <c r="C210" s="6" t="s">
        <v>122</v>
      </c>
      <c r="D210">
        <f t="shared" si="6"/>
        <v>0</v>
      </c>
      <c r="E210" t="str">
        <f t="shared" si="7"/>
        <v>Absent</v>
      </c>
      <c r="F210" t="str">
        <f>TEXT(tbl_AttendanceDetails[[#This Row],[Date]],"dddd")</f>
        <v>Thursday</v>
      </c>
    </row>
    <row r="211" spans="1:6" ht="15.75" customHeight="1" x14ac:dyDescent="0.3">
      <c r="A211" s="4" t="s">
        <v>50</v>
      </c>
      <c r="B211" s="5">
        <v>45478</v>
      </c>
      <c r="C211" s="6" t="s">
        <v>121</v>
      </c>
      <c r="D211">
        <f t="shared" si="6"/>
        <v>1</v>
      </c>
      <c r="E211" t="str">
        <f t="shared" si="7"/>
        <v>Present</v>
      </c>
      <c r="F211" t="str">
        <f>TEXT(tbl_AttendanceDetails[[#This Row],[Date]],"dddd")</f>
        <v>Friday</v>
      </c>
    </row>
    <row r="212" spans="1:6" ht="15.75" customHeight="1" x14ac:dyDescent="0.3">
      <c r="A212" s="4" t="s">
        <v>51</v>
      </c>
      <c r="B212" s="5">
        <v>45474</v>
      </c>
      <c r="C212" s="4" t="s">
        <v>122</v>
      </c>
      <c r="D212">
        <f t="shared" si="6"/>
        <v>0</v>
      </c>
      <c r="E212" t="str">
        <f t="shared" si="7"/>
        <v>Absent</v>
      </c>
      <c r="F212" t="str">
        <f>TEXT(tbl_AttendanceDetails[[#This Row],[Date]],"dddd")</f>
        <v>Monday</v>
      </c>
    </row>
    <row r="213" spans="1:6" ht="15.75" customHeight="1" x14ac:dyDescent="0.3">
      <c r="A213" s="4" t="s">
        <v>51</v>
      </c>
      <c r="B213" s="5">
        <v>45475</v>
      </c>
      <c r="C213" s="6" t="s">
        <v>122</v>
      </c>
      <c r="D213">
        <f t="shared" si="6"/>
        <v>0</v>
      </c>
      <c r="E213" t="str">
        <f t="shared" si="7"/>
        <v>Absent</v>
      </c>
      <c r="F213" t="str">
        <f>TEXT(tbl_AttendanceDetails[[#This Row],[Date]],"dddd")</f>
        <v>Tuesday</v>
      </c>
    </row>
    <row r="214" spans="1:6" ht="15.75" customHeight="1" x14ac:dyDescent="0.3">
      <c r="A214" s="4" t="s">
        <v>51</v>
      </c>
      <c r="B214" s="5">
        <v>45476</v>
      </c>
      <c r="C214" s="6" t="s">
        <v>122</v>
      </c>
      <c r="D214">
        <f t="shared" si="6"/>
        <v>0</v>
      </c>
      <c r="E214" t="str">
        <f t="shared" si="7"/>
        <v>Absent</v>
      </c>
      <c r="F214" t="str">
        <f>TEXT(tbl_AttendanceDetails[[#This Row],[Date]],"dddd")</f>
        <v>Wednesday</v>
      </c>
    </row>
    <row r="215" spans="1:6" ht="15.75" customHeight="1" x14ac:dyDescent="0.3">
      <c r="A215" s="4" t="s">
        <v>51</v>
      </c>
      <c r="B215" s="5">
        <v>45477</v>
      </c>
      <c r="C215" s="6" t="s">
        <v>122</v>
      </c>
      <c r="D215">
        <f t="shared" si="6"/>
        <v>0</v>
      </c>
      <c r="E215" t="str">
        <f t="shared" si="7"/>
        <v>Absent</v>
      </c>
      <c r="F215" t="str">
        <f>TEXT(tbl_AttendanceDetails[[#This Row],[Date]],"dddd")</f>
        <v>Thursday</v>
      </c>
    </row>
    <row r="216" spans="1:6" ht="15.75" customHeight="1" x14ac:dyDescent="0.3">
      <c r="A216" s="4" t="s">
        <v>51</v>
      </c>
      <c r="B216" s="5">
        <v>45478</v>
      </c>
      <c r="C216" s="6" t="s">
        <v>122</v>
      </c>
      <c r="D216">
        <f t="shared" si="6"/>
        <v>0</v>
      </c>
      <c r="E216" t="str">
        <f t="shared" si="7"/>
        <v>Absent</v>
      </c>
      <c r="F216" t="str">
        <f>TEXT(tbl_AttendanceDetails[[#This Row],[Date]],"dddd")</f>
        <v>Friday</v>
      </c>
    </row>
    <row r="217" spans="1:6" ht="15.75" customHeight="1" x14ac:dyDescent="0.3">
      <c r="A217" s="4" t="s">
        <v>52</v>
      </c>
      <c r="B217" s="5">
        <v>45474</v>
      </c>
      <c r="C217" s="4" t="s">
        <v>121</v>
      </c>
      <c r="D217">
        <f t="shared" si="6"/>
        <v>1</v>
      </c>
      <c r="E217" t="str">
        <f t="shared" si="7"/>
        <v>Present</v>
      </c>
      <c r="F217" t="str">
        <f>TEXT(tbl_AttendanceDetails[[#This Row],[Date]],"dddd")</f>
        <v>Monday</v>
      </c>
    </row>
    <row r="218" spans="1:6" ht="15.75" customHeight="1" x14ac:dyDescent="0.3">
      <c r="A218" s="4" t="s">
        <v>52</v>
      </c>
      <c r="B218" s="5">
        <v>45475</v>
      </c>
      <c r="C218" s="6" t="s">
        <v>122</v>
      </c>
      <c r="D218">
        <f t="shared" si="6"/>
        <v>0</v>
      </c>
      <c r="E218" t="str">
        <f t="shared" si="7"/>
        <v>Absent</v>
      </c>
      <c r="F218" t="str">
        <f>TEXT(tbl_AttendanceDetails[[#This Row],[Date]],"dddd")</f>
        <v>Tuesday</v>
      </c>
    </row>
    <row r="219" spans="1:6" ht="15.75" customHeight="1" x14ac:dyDescent="0.3">
      <c r="A219" s="4" t="s">
        <v>52</v>
      </c>
      <c r="B219" s="5">
        <v>45476</v>
      </c>
      <c r="C219" s="6" t="s">
        <v>122</v>
      </c>
      <c r="D219">
        <f t="shared" si="6"/>
        <v>0</v>
      </c>
      <c r="E219" t="str">
        <f t="shared" si="7"/>
        <v>Absent</v>
      </c>
      <c r="F219" t="str">
        <f>TEXT(tbl_AttendanceDetails[[#This Row],[Date]],"dddd")</f>
        <v>Wednesday</v>
      </c>
    </row>
    <row r="220" spans="1:6" ht="15.75" customHeight="1" x14ac:dyDescent="0.3">
      <c r="A220" s="4" t="s">
        <v>52</v>
      </c>
      <c r="B220" s="5">
        <v>45477</v>
      </c>
      <c r="C220" s="6" t="s">
        <v>122</v>
      </c>
      <c r="D220">
        <f t="shared" si="6"/>
        <v>0</v>
      </c>
      <c r="E220" t="str">
        <f t="shared" si="7"/>
        <v>Absent</v>
      </c>
      <c r="F220" t="str">
        <f>TEXT(tbl_AttendanceDetails[[#This Row],[Date]],"dddd")</f>
        <v>Thursday</v>
      </c>
    </row>
    <row r="221" spans="1:6" ht="15.75" customHeight="1" x14ac:dyDescent="0.3">
      <c r="A221" s="4" t="s">
        <v>52</v>
      </c>
      <c r="B221" s="5">
        <v>45478</v>
      </c>
      <c r="C221" s="6" t="s">
        <v>121</v>
      </c>
      <c r="D221">
        <f t="shared" si="6"/>
        <v>1</v>
      </c>
      <c r="E221" t="str">
        <f t="shared" si="7"/>
        <v>Present</v>
      </c>
      <c r="F221" t="str">
        <f>TEXT(tbl_AttendanceDetails[[#This Row],[Date]],"dddd")</f>
        <v>Friday</v>
      </c>
    </row>
    <row r="222" spans="1:6" ht="15.75" customHeight="1" x14ac:dyDescent="0.3">
      <c r="A222" s="4" t="s">
        <v>8</v>
      </c>
      <c r="B222" s="5">
        <v>45474</v>
      </c>
      <c r="C222" s="4" t="s">
        <v>121</v>
      </c>
      <c r="D222">
        <f t="shared" si="6"/>
        <v>1</v>
      </c>
      <c r="E222" t="str">
        <f t="shared" si="7"/>
        <v>Present</v>
      </c>
      <c r="F222" t="str">
        <f>TEXT(tbl_AttendanceDetails[[#This Row],[Date]],"dddd")</f>
        <v>Monday</v>
      </c>
    </row>
    <row r="223" spans="1:6" ht="15.75" customHeight="1" x14ac:dyDescent="0.3">
      <c r="A223" s="4" t="s">
        <v>8</v>
      </c>
      <c r="B223" s="5">
        <v>45475</v>
      </c>
      <c r="C223" s="6" t="s">
        <v>122</v>
      </c>
      <c r="D223">
        <f t="shared" si="6"/>
        <v>0</v>
      </c>
      <c r="E223" t="str">
        <f t="shared" si="7"/>
        <v>Absent</v>
      </c>
      <c r="F223" t="str">
        <f>TEXT(tbl_AttendanceDetails[[#This Row],[Date]],"dddd")</f>
        <v>Tuesday</v>
      </c>
    </row>
    <row r="224" spans="1:6" ht="15.75" customHeight="1" x14ac:dyDescent="0.3">
      <c r="A224" s="4" t="s">
        <v>8</v>
      </c>
      <c r="B224" s="5">
        <v>45476</v>
      </c>
      <c r="C224" s="6" t="s">
        <v>121</v>
      </c>
      <c r="D224">
        <f t="shared" si="6"/>
        <v>1</v>
      </c>
      <c r="E224" t="str">
        <f t="shared" si="7"/>
        <v>Present</v>
      </c>
      <c r="F224" t="str">
        <f>TEXT(tbl_AttendanceDetails[[#This Row],[Date]],"dddd")</f>
        <v>Wednesday</v>
      </c>
    </row>
    <row r="225" spans="1:6" ht="15.75" customHeight="1" x14ac:dyDescent="0.3">
      <c r="A225" s="4" t="s">
        <v>8</v>
      </c>
      <c r="B225" s="5">
        <v>45477</v>
      </c>
      <c r="C225" s="6" t="s">
        <v>121</v>
      </c>
      <c r="D225">
        <f t="shared" si="6"/>
        <v>1</v>
      </c>
      <c r="E225" t="str">
        <f t="shared" si="7"/>
        <v>Present</v>
      </c>
      <c r="F225" t="str">
        <f>TEXT(tbl_AttendanceDetails[[#This Row],[Date]],"dddd")</f>
        <v>Thursday</v>
      </c>
    </row>
    <row r="226" spans="1:6" ht="15.75" customHeight="1" x14ac:dyDescent="0.3">
      <c r="A226" s="4" t="s">
        <v>8</v>
      </c>
      <c r="B226" s="5">
        <v>45478</v>
      </c>
      <c r="C226" s="6" t="s">
        <v>122</v>
      </c>
      <c r="D226">
        <f t="shared" si="6"/>
        <v>0</v>
      </c>
      <c r="E226" t="str">
        <f t="shared" si="7"/>
        <v>Absent</v>
      </c>
      <c r="F226" t="str">
        <f>TEXT(tbl_AttendanceDetails[[#This Row],[Date]],"dddd")</f>
        <v>Friday</v>
      </c>
    </row>
    <row r="227" spans="1:6" ht="15.75" customHeight="1" x14ac:dyDescent="0.3">
      <c r="A227" s="4" t="s">
        <v>53</v>
      </c>
      <c r="B227" s="5">
        <v>45474</v>
      </c>
      <c r="C227" s="4" t="s">
        <v>122</v>
      </c>
      <c r="D227">
        <f t="shared" si="6"/>
        <v>0</v>
      </c>
      <c r="E227" t="str">
        <f t="shared" si="7"/>
        <v>Absent</v>
      </c>
      <c r="F227" t="str">
        <f>TEXT(tbl_AttendanceDetails[[#This Row],[Date]],"dddd")</f>
        <v>Monday</v>
      </c>
    </row>
    <row r="228" spans="1:6" ht="15.75" customHeight="1" x14ac:dyDescent="0.3">
      <c r="A228" s="4" t="s">
        <v>53</v>
      </c>
      <c r="B228" s="5">
        <v>45475</v>
      </c>
      <c r="C228" s="6" t="s">
        <v>122</v>
      </c>
      <c r="D228">
        <f t="shared" si="6"/>
        <v>0</v>
      </c>
      <c r="E228" t="str">
        <f t="shared" si="7"/>
        <v>Absent</v>
      </c>
      <c r="F228" t="str">
        <f>TEXT(tbl_AttendanceDetails[[#This Row],[Date]],"dddd")</f>
        <v>Tuesday</v>
      </c>
    </row>
    <row r="229" spans="1:6" ht="15.75" customHeight="1" x14ac:dyDescent="0.3">
      <c r="A229" s="4" t="s">
        <v>53</v>
      </c>
      <c r="B229" s="5">
        <v>45476</v>
      </c>
      <c r="C229" s="6" t="s">
        <v>122</v>
      </c>
      <c r="D229">
        <f t="shared" si="6"/>
        <v>0</v>
      </c>
      <c r="E229" t="str">
        <f t="shared" si="7"/>
        <v>Absent</v>
      </c>
      <c r="F229" t="str">
        <f>TEXT(tbl_AttendanceDetails[[#This Row],[Date]],"dddd")</f>
        <v>Wednesday</v>
      </c>
    </row>
    <row r="230" spans="1:6" ht="15.75" customHeight="1" x14ac:dyDescent="0.3">
      <c r="A230" s="4" t="s">
        <v>53</v>
      </c>
      <c r="B230" s="5">
        <v>45477</v>
      </c>
      <c r="C230" s="6" t="s">
        <v>121</v>
      </c>
      <c r="D230">
        <f t="shared" si="6"/>
        <v>1</v>
      </c>
      <c r="E230" t="str">
        <f t="shared" si="7"/>
        <v>Present</v>
      </c>
      <c r="F230" t="str">
        <f>TEXT(tbl_AttendanceDetails[[#This Row],[Date]],"dddd")</f>
        <v>Thursday</v>
      </c>
    </row>
    <row r="231" spans="1:6" ht="15.75" customHeight="1" x14ac:dyDescent="0.3">
      <c r="A231" s="4" t="s">
        <v>53</v>
      </c>
      <c r="B231" s="5">
        <v>45478</v>
      </c>
      <c r="C231" s="6" t="s">
        <v>122</v>
      </c>
      <c r="D231">
        <f t="shared" si="6"/>
        <v>0</v>
      </c>
      <c r="E231" t="str">
        <f t="shared" si="7"/>
        <v>Absent</v>
      </c>
      <c r="F231" t="str">
        <f>TEXT(tbl_AttendanceDetails[[#This Row],[Date]],"dddd")</f>
        <v>Friday</v>
      </c>
    </row>
    <row r="232" spans="1:6" ht="15.75" customHeight="1" x14ac:dyDescent="0.3">
      <c r="A232" s="4" t="s">
        <v>9</v>
      </c>
      <c r="B232" s="5">
        <v>45474</v>
      </c>
      <c r="C232" s="4" t="s">
        <v>122</v>
      </c>
      <c r="D232">
        <f t="shared" si="6"/>
        <v>0</v>
      </c>
      <c r="E232" t="str">
        <f t="shared" si="7"/>
        <v>Absent</v>
      </c>
      <c r="F232" t="str">
        <f>TEXT(tbl_AttendanceDetails[[#This Row],[Date]],"dddd")</f>
        <v>Monday</v>
      </c>
    </row>
    <row r="233" spans="1:6" ht="15.75" customHeight="1" x14ac:dyDescent="0.3">
      <c r="A233" s="4" t="s">
        <v>9</v>
      </c>
      <c r="B233" s="5">
        <v>45475</v>
      </c>
      <c r="C233" s="6" t="s">
        <v>122</v>
      </c>
      <c r="D233">
        <f t="shared" si="6"/>
        <v>0</v>
      </c>
      <c r="E233" t="str">
        <f t="shared" si="7"/>
        <v>Absent</v>
      </c>
      <c r="F233" t="str">
        <f>TEXT(tbl_AttendanceDetails[[#This Row],[Date]],"dddd")</f>
        <v>Tuesday</v>
      </c>
    </row>
    <row r="234" spans="1:6" ht="15.75" customHeight="1" x14ac:dyDescent="0.3">
      <c r="A234" s="4" t="s">
        <v>9</v>
      </c>
      <c r="B234" s="5">
        <v>45476</v>
      </c>
      <c r="C234" s="6" t="s">
        <v>121</v>
      </c>
      <c r="D234">
        <f t="shared" si="6"/>
        <v>1</v>
      </c>
      <c r="E234" t="str">
        <f t="shared" si="7"/>
        <v>Present</v>
      </c>
      <c r="F234" t="str">
        <f>TEXT(tbl_AttendanceDetails[[#This Row],[Date]],"dddd")</f>
        <v>Wednesday</v>
      </c>
    </row>
    <row r="235" spans="1:6" ht="15.75" customHeight="1" x14ac:dyDescent="0.3">
      <c r="A235" s="4" t="s">
        <v>9</v>
      </c>
      <c r="B235" s="5">
        <v>45477</v>
      </c>
      <c r="C235" s="6" t="s">
        <v>121</v>
      </c>
      <c r="D235">
        <f t="shared" si="6"/>
        <v>1</v>
      </c>
      <c r="E235" t="str">
        <f t="shared" si="7"/>
        <v>Present</v>
      </c>
      <c r="F235" t="str">
        <f>TEXT(tbl_AttendanceDetails[[#This Row],[Date]],"dddd")</f>
        <v>Thursday</v>
      </c>
    </row>
    <row r="236" spans="1:6" ht="15.75" customHeight="1" x14ac:dyDescent="0.3">
      <c r="A236" s="4" t="s">
        <v>9</v>
      </c>
      <c r="B236" s="5">
        <v>45478</v>
      </c>
      <c r="C236" s="6" t="s">
        <v>121</v>
      </c>
      <c r="D236">
        <f t="shared" si="6"/>
        <v>1</v>
      </c>
      <c r="E236" t="str">
        <f t="shared" si="7"/>
        <v>Present</v>
      </c>
      <c r="F236" t="str">
        <f>TEXT(tbl_AttendanceDetails[[#This Row],[Date]],"dddd")</f>
        <v>Friday</v>
      </c>
    </row>
    <row r="237" spans="1:6" ht="15.75" customHeight="1" x14ac:dyDescent="0.3">
      <c r="A237" s="4" t="s">
        <v>10</v>
      </c>
      <c r="B237" s="5">
        <v>45474</v>
      </c>
      <c r="C237" s="4" t="s">
        <v>121</v>
      </c>
      <c r="D237">
        <f t="shared" si="6"/>
        <v>1</v>
      </c>
      <c r="E237" t="str">
        <f t="shared" si="7"/>
        <v>Present</v>
      </c>
      <c r="F237" t="str">
        <f>TEXT(tbl_AttendanceDetails[[#This Row],[Date]],"dddd")</f>
        <v>Monday</v>
      </c>
    </row>
    <row r="238" spans="1:6" ht="15.75" customHeight="1" x14ac:dyDescent="0.3">
      <c r="A238" s="4" t="s">
        <v>10</v>
      </c>
      <c r="B238" s="5">
        <v>45475</v>
      </c>
      <c r="C238" s="6" t="s">
        <v>122</v>
      </c>
      <c r="D238">
        <f t="shared" si="6"/>
        <v>0</v>
      </c>
      <c r="E238" t="str">
        <f t="shared" si="7"/>
        <v>Absent</v>
      </c>
      <c r="F238" t="str">
        <f>TEXT(tbl_AttendanceDetails[[#This Row],[Date]],"dddd")</f>
        <v>Tuesday</v>
      </c>
    </row>
    <row r="239" spans="1:6" ht="15.75" customHeight="1" x14ac:dyDescent="0.3">
      <c r="A239" s="4" t="s">
        <v>10</v>
      </c>
      <c r="B239" s="5">
        <v>45476</v>
      </c>
      <c r="C239" s="6" t="s">
        <v>121</v>
      </c>
      <c r="D239">
        <f t="shared" si="6"/>
        <v>1</v>
      </c>
      <c r="E239" t="str">
        <f t="shared" si="7"/>
        <v>Present</v>
      </c>
      <c r="F239" t="str">
        <f>TEXT(tbl_AttendanceDetails[[#This Row],[Date]],"dddd")</f>
        <v>Wednesday</v>
      </c>
    </row>
    <row r="240" spans="1:6" ht="15.75" customHeight="1" x14ac:dyDescent="0.3">
      <c r="A240" s="4" t="s">
        <v>10</v>
      </c>
      <c r="B240" s="5">
        <v>45477</v>
      </c>
      <c r="C240" s="6" t="s">
        <v>121</v>
      </c>
      <c r="D240">
        <f t="shared" si="6"/>
        <v>1</v>
      </c>
      <c r="E240" t="str">
        <f t="shared" si="7"/>
        <v>Present</v>
      </c>
      <c r="F240" t="str">
        <f>TEXT(tbl_AttendanceDetails[[#This Row],[Date]],"dddd")</f>
        <v>Thursday</v>
      </c>
    </row>
    <row r="241" spans="1:6" ht="15.75" customHeight="1" x14ac:dyDescent="0.3">
      <c r="A241" s="4" t="s">
        <v>10</v>
      </c>
      <c r="B241" s="5">
        <v>45478</v>
      </c>
      <c r="C241" s="6" t="s">
        <v>121</v>
      </c>
      <c r="D241">
        <f t="shared" si="6"/>
        <v>1</v>
      </c>
      <c r="E241" t="str">
        <f t="shared" si="7"/>
        <v>Present</v>
      </c>
      <c r="F241" t="str">
        <f>TEXT(tbl_AttendanceDetails[[#This Row],[Date]],"dddd")</f>
        <v>Friday</v>
      </c>
    </row>
    <row r="242" spans="1:6" ht="15.75" customHeight="1" x14ac:dyDescent="0.3">
      <c r="A242" s="4" t="s">
        <v>11</v>
      </c>
      <c r="B242" s="5">
        <v>45474</v>
      </c>
      <c r="C242" s="4" t="s">
        <v>122</v>
      </c>
      <c r="D242">
        <f t="shared" si="6"/>
        <v>0</v>
      </c>
      <c r="E242" t="str">
        <f t="shared" si="7"/>
        <v>Absent</v>
      </c>
      <c r="F242" t="str">
        <f>TEXT(tbl_AttendanceDetails[[#This Row],[Date]],"dddd")</f>
        <v>Monday</v>
      </c>
    </row>
    <row r="243" spans="1:6" ht="15.75" customHeight="1" x14ac:dyDescent="0.3">
      <c r="A243" s="4" t="s">
        <v>11</v>
      </c>
      <c r="B243" s="5">
        <v>45475</v>
      </c>
      <c r="C243" s="6" t="s">
        <v>121</v>
      </c>
      <c r="D243">
        <f t="shared" si="6"/>
        <v>1</v>
      </c>
      <c r="E243" t="str">
        <f t="shared" si="7"/>
        <v>Present</v>
      </c>
      <c r="F243" t="str">
        <f>TEXT(tbl_AttendanceDetails[[#This Row],[Date]],"dddd")</f>
        <v>Tuesday</v>
      </c>
    </row>
    <row r="244" spans="1:6" ht="15.75" customHeight="1" x14ac:dyDescent="0.3">
      <c r="A244" s="4" t="s">
        <v>11</v>
      </c>
      <c r="B244" s="5">
        <v>45476</v>
      </c>
      <c r="C244" s="6" t="s">
        <v>121</v>
      </c>
      <c r="D244">
        <f t="shared" si="6"/>
        <v>1</v>
      </c>
      <c r="E244" t="str">
        <f t="shared" si="7"/>
        <v>Present</v>
      </c>
      <c r="F244" t="str">
        <f>TEXT(tbl_AttendanceDetails[[#This Row],[Date]],"dddd")</f>
        <v>Wednesday</v>
      </c>
    </row>
    <row r="245" spans="1:6" ht="15.75" customHeight="1" x14ac:dyDescent="0.3">
      <c r="A245" s="4" t="s">
        <v>11</v>
      </c>
      <c r="B245" s="5">
        <v>45477</v>
      </c>
      <c r="C245" s="6" t="s">
        <v>121</v>
      </c>
      <c r="D245">
        <f t="shared" si="6"/>
        <v>1</v>
      </c>
      <c r="E245" t="str">
        <f t="shared" si="7"/>
        <v>Present</v>
      </c>
      <c r="F245" t="str">
        <f>TEXT(tbl_AttendanceDetails[[#This Row],[Date]],"dddd")</f>
        <v>Thursday</v>
      </c>
    </row>
    <row r="246" spans="1:6" ht="15.75" customHeight="1" x14ac:dyDescent="0.3">
      <c r="A246" s="4" t="s">
        <v>11</v>
      </c>
      <c r="B246" s="5">
        <v>45478</v>
      </c>
      <c r="C246" s="6" t="s">
        <v>122</v>
      </c>
      <c r="D246">
        <f t="shared" si="6"/>
        <v>0</v>
      </c>
      <c r="E246" t="str">
        <f t="shared" si="7"/>
        <v>Absent</v>
      </c>
      <c r="F246" t="str">
        <f>TEXT(tbl_AttendanceDetails[[#This Row],[Date]],"dddd")</f>
        <v>Friday</v>
      </c>
    </row>
    <row r="247" spans="1:6" ht="15.75" customHeight="1" x14ac:dyDescent="0.3">
      <c r="A247" s="4" t="s">
        <v>12</v>
      </c>
      <c r="B247" s="5">
        <v>45474</v>
      </c>
      <c r="C247" s="4" t="s">
        <v>121</v>
      </c>
      <c r="D247">
        <f t="shared" si="6"/>
        <v>1</v>
      </c>
      <c r="E247" t="str">
        <f t="shared" si="7"/>
        <v>Present</v>
      </c>
      <c r="F247" t="str">
        <f>TEXT(tbl_AttendanceDetails[[#This Row],[Date]],"dddd")</f>
        <v>Monday</v>
      </c>
    </row>
    <row r="248" spans="1:6" ht="15.75" customHeight="1" x14ac:dyDescent="0.3">
      <c r="A248" s="4" t="s">
        <v>12</v>
      </c>
      <c r="B248" s="5">
        <v>45475</v>
      </c>
      <c r="C248" s="6" t="s">
        <v>121</v>
      </c>
      <c r="D248">
        <f t="shared" si="6"/>
        <v>1</v>
      </c>
      <c r="E248" t="str">
        <f t="shared" si="7"/>
        <v>Present</v>
      </c>
      <c r="F248" t="str">
        <f>TEXT(tbl_AttendanceDetails[[#This Row],[Date]],"dddd")</f>
        <v>Tuesday</v>
      </c>
    </row>
    <row r="249" spans="1:6" ht="15.75" customHeight="1" x14ac:dyDescent="0.3">
      <c r="A249" s="4" t="s">
        <v>12</v>
      </c>
      <c r="B249" s="5">
        <v>45476</v>
      </c>
      <c r="C249" s="6" t="s">
        <v>121</v>
      </c>
      <c r="D249">
        <f t="shared" si="6"/>
        <v>1</v>
      </c>
      <c r="E249" t="str">
        <f t="shared" si="7"/>
        <v>Present</v>
      </c>
      <c r="F249" t="str">
        <f>TEXT(tbl_AttendanceDetails[[#This Row],[Date]],"dddd")</f>
        <v>Wednesday</v>
      </c>
    </row>
    <row r="250" spans="1:6" ht="15.75" customHeight="1" x14ac:dyDescent="0.3">
      <c r="A250" s="4" t="s">
        <v>12</v>
      </c>
      <c r="B250" s="5">
        <v>45477</v>
      </c>
      <c r="C250" s="6" t="s">
        <v>121</v>
      </c>
      <c r="D250">
        <f t="shared" si="6"/>
        <v>1</v>
      </c>
      <c r="E250" t="str">
        <f t="shared" si="7"/>
        <v>Present</v>
      </c>
      <c r="F250" t="str">
        <f>TEXT(tbl_AttendanceDetails[[#This Row],[Date]],"dddd")</f>
        <v>Thursday</v>
      </c>
    </row>
    <row r="251" spans="1:6" ht="15.75" customHeight="1" x14ac:dyDescent="0.3">
      <c r="A251" s="4" t="s">
        <v>12</v>
      </c>
      <c r="B251" s="5">
        <v>45478</v>
      </c>
      <c r="C251" s="6" t="s">
        <v>122</v>
      </c>
      <c r="D251">
        <f t="shared" si="6"/>
        <v>0</v>
      </c>
      <c r="E251" t="str">
        <f t="shared" si="7"/>
        <v>Absent</v>
      </c>
      <c r="F251" t="str">
        <f>TEXT(tbl_AttendanceDetails[[#This Row],[Date]],"dddd")</f>
        <v>Friday</v>
      </c>
    </row>
    <row r="252" spans="1:6" ht="15.75" customHeight="1" x14ac:dyDescent="0.3"/>
    <row r="253" spans="1:6" ht="15.75" customHeight="1" x14ac:dyDescent="0.3"/>
    <row r="254" spans="1:6" ht="15.75" customHeight="1" x14ac:dyDescent="0.3"/>
    <row r="255" spans="1:6" ht="15.75" customHeight="1" x14ac:dyDescent="0.3"/>
    <row r="256" spans="1: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E2:E251">
    <cfRule type="containsText" dxfId="1" priority="1" operator="containsText" text="Present">
      <formula>NOT(ISERROR(SEARCH("Present",E2)))</formula>
    </cfRule>
    <cfRule type="containsText" dxfId="0" priority="2" operator="containsText" text="Absent">
      <formula>NOT(ISERROR(SEARCH("Absent",E2)))</formula>
    </cfRule>
  </conditionalFormatting>
  <pageMargins left="0.7" right="0.7" top="0.75" bottom="0.75" header="0" footer="0"/>
  <pageSetup orientation="landscape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Attendance tracker</vt:lpstr>
      <vt:lpstr>Attendance Analysis</vt:lpstr>
      <vt:lpstr>Attendance Dashboard</vt:lpstr>
      <vt:lpstr>List1_ContactInfo</vt:lpstr>
      <vt:lpstr>List2_Department</vt:lpstr>
      <vt:lpstr>List3_Details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Barbuto Lucas</dc:creator>
  <cp:lastModifiedBy>Barbuto Lucas</cp:lastModifiedBy>
  <dcterms:created xsi:type="dcterms:W3CDTF">2026-07-16T23:02:05Z</dcterms:created>
  <dcterms:modified xsi:type="dcterms:W3CDTF">2026-07-17T03:34:59Z</dcterms:modified>
</cp:coreProperties>
</file>