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xr:revisionPtr revIDLastSave="0" documentId="8_{44D55975-C300-44E9-A953-67A60E7A8DE3}" xr6:coauthVersionLast="47" xr6:coauthVersionMax="47" xr10:uidLastSave="{00000000-0000-0000-0000-000000000000}"/>
  <bookViews>
    <workbookView xWindow="-108" yWindow="-108" windowWidth="23256" windowHeight="13896" activeTab="5" xr2:uid="{00000000-000D-0000-FFFF-FFFF00000000}"/>
  </bookViews>
  <sheets>
    <sheet name="ReadMe" sheetId="3" r:id="rId1"/>
    <sheet name="Database" sheetId="1" r:id="rId2"/>
    <sheet name="Assumptions" sheetId="2" r:id="rId3"/>
    <sheet name="Proyecciones" sheetId="4" r:id="rId4"/>
    <sheet name="Cuadro de mando del evento" sheetId="5" r:id="rId5"/>
    <sheet name="Cuadro de Mando Actualizado" sheetId="6" r:id="rId6"/>
    <sheet name="Código VBA" sheetId="7" r:id="rId7"/>
  </sheets>
  <functionGroups builtInGroupCount="19"/>
  <definedNames>
    <definedName name="AttendanceForecast">Proyecciones!$I$19</definedName>
    <definedName name="AttendanceOptions">tblAttendanceOptions[Attendance Type]</definedName>
    <definedName name="AvgTicketPrice">Proyecciones!$F$65</definedName>
    <definedName name="DietaryOptions">tblDietaryOptions[Dietary Preference]</definedName>
    <definedName name="MarketingCosts">Assumptions!$C$4</definedName>
    <definedName name="NativeTimeline_Registration_Date">#N/A</definedName>
    <definedName name="NativeTimeline_Registration_Date_T7">#N/A</definedName>
    <definedName name="OperationalCosts">Assumptions!$C$6</definedName>
    <definedName name="SessionOptions">tblTicketPrices[Session Preference]</definedName>
    <definedName name="Slicer_Attendance_Type">#N/A</definedName>
    <definedName name="Slicer_Attendance_Type_T7">#N/A</definedName>
    <definedName name="Slicer_Session_Preference">#N/A</definedName>
    <definedName name="Slicer_Session_Preference_T7">#N/A</definedName>
    <definedName name="T4_AttChanging">Proyecciones!$M$77</definedName>
    <definedName name="T4_AttProfit">Proyecciones!$M$79</definedName>
    <definedName name="T4_PriceChanging">Proyecciones!$F$77</definedName>
    <definedName name="T4_PriceProfit">Proyecciones!$F$79</definedName>
    <definedName name="T4_TargetCell">Proyecciones!$F$68</definedName>
    <definedName name="T7_AttChanging">'Cuadro de Mando Actualizado'!$M$58</definedName>
    <definedName name="T7_AttProfit">'Cuadro de Mando Actualizado'!$M$59</definedName>
    <definedName name="T7_PriceChanging">'Cuadro de Mando Actualizado'!$G$58</definedName>
    <definedName name="T7_PriceProfit">'Cuadro de Mando Actualizado'!$G$59</definedName>
    <definedName name="T7_TargetCell">'Cuadro de Mando Actualizado'!$G$54</definedName>
    <definedName name="TargetProfit">Assumptions!$C$2</definedName>
  </definedNames>
  <calcPr calcId="191029" fullCalcOnLoad="1"/>
  <pivotCaches>
    <pivotCache cacheId="15"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 r:id="rId14"/>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5" roundtripDataChecksum="p/lTEf6R25G71rYCdVpbL8ieWXC8BYRzH/GOFNT4iHo="/>
    </ext>
  </extLst>
</workbook>
</file>

<file path=xl/calcChain.xml><?xml version="1.0" encoding="utf-8"?>
<calcChain xmlns="http://schemas.openxmlformats.org/spreadsheetml/2006/main">
  <c r="B10" i="2" l="1"/>
  <c r="F70" i="6"/>
  <c r="B70" i="6"/>
  <c r="E70" i="6" s="1"/>
  <c r="F69" i="6"/>
  <c r="B69" i="6"/>
  <c r="E69" i="6" s="1"/>
  <c r="F68" i="6"/>
  <c r="B68" i="6"/>
  <c r="E68" i="6" s="1"/>
  <c r="M54" i="6"/>
  <c r="M53" i="6"/>
  <c r="H16" i="6" s="1"/>
  <c r="G55" i="6"/>
  <c r="B3" i="6" s="1"/>
  <c r="Q9" i="6"/>
  <c r="M58" i="5"/>
  <c r="M54" i="5" s="1"/>
  <c r="G58" i="5"/>
  <c r="M53" i="5" s="1"/>
  <c r="G54" i="5"/>
  <c r="G53" i="5"/>
  <c r="G52" i="5"/>
  <c r="Q9" i="5"/>
  <c r="M82" i="4"/>
  <c r="F68" i="4"/>
  <c r="F67" i="4"/>
  <c r="F66" i="4"/>
  <c r="F65" i="4"/>
  <c r="M78" i="4" s="1"/>
  <c r="D32" i="4"/>
  <c r="C32" i="4"/>
  <c r="B6" i="4"/>
  <c r="B35" i="4" s="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B15" i="5"/>
  <c r="E15" i="6"/>
  <c r="B15" i="6"/>
  <c r="E15" i="5"/>
  <c r="G51" i="6" l="1"/>
  <c r="I68" i="6" s="1"/>
  <c r="E71" i="6"/>
  <c r="F71" i="6" s="1"/>
  <c r="H15" i="6"/>
  <c r="K15" i="6"/>
  <c r="G55" i="5"/>
  <c r="F82" i="4"/>
  <c r="G62" i="5" s="1"/>
  <c r="G51" i="5"/>
  <c r="M80" i="4"/>
  <c r="M81" i="4" s="1"/>
  <c r="H15" i="5"/>
  <c r="K15" i="5"/>
  <c r="M79" i="4"/>
  <c r="B7" i="4"/>
  <c r="D6" i="4"/>
  <c r="C6" i="4"/>
  <c r="M83" i="4"/>
  <c r="M60" i="6" l="1"/>
  <c r="M61" i="6" s="1"/>
  <c r="M59" i="6"/>
  <c r="G62" i="6"/>
  <c r="G70" i="6"/>
  <c r="G69" i="6"/>
  <c r="G68" i="6"/>
  <c r="M60" i="5"/>
  <c r="M59" i="5"/>
  <c r="M61" i="5"/>
  <c r="E6" i="4"/>
  <c r="C35" i="4"/>
  <c r="B8" i="4"/>
  <c r="D7" i="4"/>
  <c r="C7" i="4"/>
  <c r="G71" i="6" l="1"/>
  <c r="E7" i="4"/>
  <c r="B9" i="4"/>
  <c r="D8" i="4"/>
  <c r="C8" i="4"/>
  <c r="E8" i="4" l="1"/>
  <c r="B10" i="4"/>
  <c r="C9" i="4"/>
  <c r="D9" i="4"/>
  <c r="E9" i="4" l="1"/>
  <c r="B11" i="4"/>
  <c r="C10" i="4"/>
  <c r="D10" i="4"/>
  <c r="E10" i="4" l="1"/>
  <c r="B12" i="4"/>
  <c r="C11" i="4"/>
  <c r="D11" i="4"/>
  <c r="E11" i="4" l="1"/>
  <c r="B13" i="4"/>
  <c r="C12" i="4"/>
  <c r="D12" i="4"/>
  <c r="E12" i="4" l="1"/>
  <c r="B14" i="4"/>
  <c r="D13" i="4"/>
  <c r="C13" i="4"/>
  <c r="B15" i="4" l="1"/>
  <c r="D14" i="4"/>
  <c r="C14" i="4"/>
  <c r="E13" i="4"/>
  <c r="E14" i="4" l="1"/>
  <c r="B16" i="4"/>
  <c r="C15" i="4"/>
  <c r="D15" i="4"/>
  <c r="E15" i="4" l="1"/>
  <c r="B17" i="4"/>
  <c r="C16" i="4"/>
  <c r="D16" i="4"/>
  <c r="E16" i="4" l="1"/>
  <c r="B18" i="4"/>
  <c r="C17" i="4"/>
  <c r="D17" i="4"/>
  <c r="E17" i="4" l="1"/>
  <c r="B19" i="4"/>
  <c r="C18" i="4"/>
  <c r="D18" i="4"/>
  <c r="E18" i="4" l="1"/>
  <c r="B20" i="4"/>
  <c r="D19" i="4"/>
  <c r="C19" i="4"/>
  <c r="E19" i="4" l="1"/>
  <c r="B21" i="4"/>
  <c r="C20" i="4"/>
  <c r="D20" i="4"/>
  <c r="E20" i="4" l="1"/>
  <c r="B22" i="4"/>
  <c r="D21" i="4"/>
  <c r="C21" i="4"/>
  <c r="E21" i="4" l="1"/>
  <c r="B23" i="4"/>
  <c r="D22" i="4"/>
  <c r="C22" i="4"/>
  <c r="E22" i="4" l="1"/>
  <c r="B24" i="4"/>
  <c r="D23" i="4"/>
  <c r="C23" i="4"/>
  <c r="E23" i="4" l="1"/>
  <c r="B25" i="4"/>
  <c r="D24" i="4"/>
  <c r="C24" i="4"/>
  <c r="E24" i="4" l="1"/>
  <c r="B26" i="4"/>
  <c r="D25" i="4"/>
  <c r="C25" i="4"/>
  <c r="E25" i="4" l="1"/>
  <c r="B27" i="4"/>
  <c r="C26" i="4"/>
  <c r="D26" i="4"/>
  <c r="E26" i="4" l="1"/>
  <c r="M36" i="4"/>
  <c r="M37" i="4"/>
  <c r="M35" i="4"/>
  <c r="B28" i="4"/>
  <c r="H35" i="4"/>
  <c r="D27" i="4"/>
  <c r="C27" i="4"/>
  <c r="J35" i="4"/>
  <c r="K35" i="4"/>
  <c r="I35" i="4" l="1"/>
  <c r="E27" i="4"/>
  <c r="L35" i="4"/>
  <c r="B29" i="4"/>
  <c r="D28" i="4"/>
  <c r="C28" i="4"/>
  <c r="H36" i="4"/>
  <c r="J36" i="4"/>
  <c r="K36" i="4"/>
  <c r="L36" i="4" l="1"/>
  <c r="E28" i="4"/>
  <c r="I36" i="4"/>
  <c r="B30" i="4"/>
  <c r="D29" i="4"/>
  <c r="H6" i="4"/>
  <c r="H37" i="4"/>
  <c r="C29" i="4"/>
  <c r="L27" i="4"/>
  <c r="L26" i="4"/>
  <c r="L29" i="4"/>
  <c r="M26" i="4"/>
  <c r="M31" i="4"/>
  <c r="M6" i="4"/>
  <c r="L25" i="4"/>
  <c r="J37" i="4"/>
  <c r="L24" i="4"/>
  <c r="M29" i="4"/>
  <c r="L31" i="4"/>
  <c r="M30" i="4"/>
  <c r="M28" i="4"/>
  <c r="L30" i="4"/>
  <c r="M25" i="4"/>
  <c r="L28" i="4"/>
  <c r="M27" i="4"/>
  <c r="I37" i="4" l="1"/>
  <c r="M38" i="4" s="1"/>
  <c r="E29" i="4"/>
  <c r="H7" i="4"/>
  <c r="L6" i="4"/>
  <c r="D30" i="4"/>
  <c r="D31" i="4" s="1"/>
  <c r="B36" i="4"/>
  <c r="C30" i="4"/>
  <c r="L37" i="4"/>
  <c r="L38" i="4" s="1"/>
  <c r="I7" i="4"/>
  <c r="I6" i="4"/>
  <c r="K37" i="4"/>
  <c r="M7" i="4"/>
  <c r="J38" i="4" l="1"/>
  <c r="K38" i="4"/>
  <c r="H20" i="4"/>
  <c r="C36" i="4"/>
  <c r="E30" i="4"/>
  <c r="C31" i="4"/>
  <c r="L7" i="4"/>
  <c r="H8" i="4"/>
  <c r="M8" i="4"/>
  <c r="J6" i="4"/>
  <c r="K6" i="4"/>
  <c r="I8" i="4"/>
  <c r="J7" i="4"/>
  <c r="K7" i="4"/>
  <c r="L8" i="4" l="1"/>
  <c r="H9" i="4"/>
  <c r="F32" i="4"/>
  <c r="E31" i="4"/>
  <c r="E93" i="4"/>
  <c r="F93" i="4" s="1"/>
  <c r="J8" i="4"/>
  <c r="K8" i="4"/>
  <c r="M9" i="4"/>
  <c r="I9" i="4"/>
  <c r="L9" i="4" l="1"/>
  <c r="H10" i="4"/>
  <c r="J9" i="4"/>
  <c r="K9" i="4"/>
  <c r="M10" i="4"/>
  <c r="I10" i="4"/>
  <c r="H11" i="4" l="1"/>
  <c r="L10" i="4"/>
  <c r="K10" i="4"/>
  <c r="I11" i="4"/>
  <c r="M11" i="4"/>
  <c r="J10" i="4"/>
  <c r="H12" i="4" l="1"/>
  <c r="L11" i="4"/>
  <c r="K11" i="4"/>
  <c r="I12" i="4"/>
  <c r="M12" i="4"/>
  <c r="J11" i="4"/>
  <c r="H13" i="4" l="1"/>
  <c r="L12" i="4"/>
  <c r="J12" i="4"/>
  <c r="K12" i="4"/>
  <c r="I13" i="4"/>
  <c r="M13" i="4"/>
  <c r="L13" i="4" l="1"/>
  <c r="H14" i="4"/>
  <c r="J13" i="4"/>
  <c r="M14" i="4"/>
  <c r="I14" i="4"/>
  <c r="K13" i="4"/>
  <c r="H15" i="4" l="1"/>
  <c r="L14" i="4"/>
  <c r="J14" i="4"/>
  <c r="I15" i="4"/>
  <c r="M15" i="4"/>
  <c r="K14" i="4"/>
  <c r="L15" i="4" l="1"/>
  <c r="H16" i="4"/>
  <c r="J15" i="4"/>
  <c r="K15" i="4"/>
  <c r="I16" i="4"/>
  <c r="L16" i="4" l="1"/>
  <c r="H17" i="4"/>
  <c r="M16" i="4"/>
  <c r="J16" i="4"/>
  <c r="K16" i="4"/>
  <c r="I17" i="4"/>
  <c r="I18" i="4" l="1"/>
  <c r="I19" i="4" s="1"/>
  <c r="L17" i="4"/>
  <c r="L18" i="4" s="1"/>
  <c r="E92" i="4" s="1"/>
  <c r="F92" i="4" s="1"/>
  <c r="J17" i="4"/>
  <c r="M17" i="4"/>
  <c r="K17" i="4"/>
  <c r="M18" i="4" l="1"/>
  <c r="E91" i="4" s="1"/>
  <c r="F91" i="4" s="1"/>
  <c r="G50" i="5"/>
  <c r="M50" i="5" s="1"/>
  <c r="M51" i="5" s="1"/>
  <c r="M52" i="5" s="1"/>
  <c r="G50" i="6"/>
  <c r="B3" i="4"/>
  <c r="E90" i="4"/>
  <c r="F90" i="4" s="1"/>
  <c r="F64" i="4"/>
  <c r="B12" i="5" l="1"/>
  <c r="M50" i="6"/>
  <c r="M51" i="6" s="1"/>
  <c r="M52" i="6" s="1"/>
  <c r="G59" i="6"/>
  <c r="M62" i="6"/>
  <c r="G60" i="6"/>
  <c r="G61" i="6" s="1"/>
  <c r="B56" i="6"/>
  <c r="F78" i="4"/>
  <c r="F79" i="4" s="1"/>
  <c r="F71" i="4"/>
  <c r="F72" i="4" s="1"/>
  <c r="F73" i="4" s="1"/>
  <c r="M84" i="4"/>
  <c r="F80" i="4"/>
  <c r="M62" i="5" l="1"/>
  <c r="G59" i="5"/>
  <c r="F81" i="4"/>
  <c r="M55" i="6" s="1"/>
  <c r="B12" i="6" s="1"/>
  <c r="G60" i="5"/>
  <c r="F86" i="4" l="1"/>
  <c r="G61" i="5"/>
  <c r="M55"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Lucas Barbuto</author>
  </authors>
  <commentList>
    <comment ref="A1" authorId="0" shapeId="0" xr:uid="{85D9DC7E-D77B-44DF-BCE6-7B00C5C363A1}">
      <text>
        <r>
          <rPr>
            <b/>
            <sz val="9"/>
            <color indexed="81"/>
            <rFont val="Tahoma"/>
            <family val="2"/>
          </rPr>
          <t>Encabezado agregado: la celda venía vacía.</t>
        </r>
      </text>
    </comment>
    <comment ref="I1" authorId="0" shapeId="0" xr:uid="{60845575-44D0-406A-9012-CA20101D8050}">
      <text>
        <r>
          <rPr>
            <b/>
            <sz val="9"/>
            <color indexed="81"/>
            <rFont val="Tahoma"/>
            <family val="2"/>
          </rPr>
          <t>Dato sintético agregado para completar el dataset (regla en la hoja ReadMe).</t>
        </r>
      </text>
    </comment>
    <comment ref="J1" authorId="0" shapeId="0" xr:uid="{3015D677-278E-4EC4-9D28-4C10144F5DDC}">
      <text>
        <r>
          <rPr>
            <b/>
            <sz val="9"/>
            <color indexed="81"/>
            <rFont val="Tahoma"/>
            <family val="2"/>
          </rPr>
          <t>Columna calculada: primer día del mes de la fecha de registro. No se carga a mano.</t>
        </r>
      </text>
    </comment>
  </commentList>
</comments>
</file>

<file path=xl/sharedStrings.xml><?xml version="1.0" encoding="utf-8"?>
<sst xmlns="http://schemas.openxmlformats.org/spreadsheetml/2006/main" count="2102" uniqueCount="1332">
  <si>
    <t>Name</t>
  </si>
  <si>
    <t>Email</t>
  </si>
  <si>
    <t>Phone Number</t>
  </si>
  <si>
    <t>Attendance Type</t>
  </si>
  <si>
    <t>Session Preference</t>
  </si>
  <si>
    <t>Ticket Price (€)</t>
  </si>
  <si>
    <t>Registration Date</t>
  </si>
  <si>
    <t>A001</t>
  </si>
  <si>
    <t>Participant 1</t>
  </si>
  <si>
    <t>Participant1@example.com</t>
  </si>
  <si>
    <t>555-0001</t>
  </si>
  <si>
    <t>Online</t>
  </si>
  <si>
    <t>Data Analytics</t>
  </si>
  <si>
    <t>A002</t>
  </si>
  <si>
    <t>Participant 2</t>
  </si>
  <si>
    <t>Participant2@example.com</t>
  </si>
  <si>
    <t>555-0002</t>
  </si>
  <si>
    <t>In-Person</t>
  </si>
  <si>
    <t>A003</t>
  </si>
  <si>
    <t>Participant 3</t>
  </si>
  <si>
    <t>Participant3@example.com</t>
  </si>
  <si>
    <t>555-0003</t>
  </si>
  <si>
    <t>Artificial Intelligence</t>
  </si>
  <si>
    <t>A004</t>
  </si>
  <si>
    <t>Participant 4</t>
  </si>
  <si>
    <t>Participant4@example.com</t>
  </si>
  <si>
    <t>555-0004</t>
  </si>
  <si>
    <t>Cybersecurity</t>
  </si>
  <si>
    <t>A005</t>
  </si>
  <si>
    <t>Participant 5</t>
  </si>
  <si>
    <t>Participant5@example.com</t>
  </si>
  <si>
    <t>555-0005</t>
  </si>
  <si>
    <t>A006</t>
  </si>
  <si>
    <t>Participant 6</t>
  </si>
  <si>
    <t>Participant6@example.com</t>
  </si>
  <si>
    <t>555-0006</t>
  </si>
  <si>
    <t>A007</t>
  </si>
  <si>
    <t>Participant 7</t>
  </si>
  <si>
    <t>Participant7@example.com</t>
  </si>
  <si>
    <t>555-0007</t>
  </si>
  <si>
    <t>A008</t>
  </si>
  <si>
    <t>Participant 8</t>
  </si>
  <si>
    <t>Participant8@example.com</t>
  </si>
  <si>
    <t>555-0008</t>
  </si>
  <si>
    <t>A009</t>
  </si>
  <si>
    <t>Participant 9</t>
  </si>
  <si>
    <t>Participant9@example.com</t>
  </si>
  <si>
    <t>555-0009</t>
  </si>
  <si>
    <t>A010</t>
  </si>
  <si>
    <t>Participant 10</t>
  </si>
  <si>
    <t>Participant10@example.com</t>
  </si>
  <si>
    <t>555-0010</t>
  </si>
  <si>
    <t>A011</t>
  </si>
  <si>
    <t>Participant 11</t>
  </si>
  <si>
    <t>Participant11@example.com</t>
  </si>
  <si>
    <t>555-0011</t>
  </si>
  <si>
    <t>A012</t>
  </si>
  <si>
    <t>Participant 12</t>
  </si>
  <si>
    <t>Participant12@example.com</t>
  </si>
  <si>
    <t>555-0012</t>
  </si>
  <si>
    <t>A013</t>
  </si>
  <si>
    <t>Participant 13</t>
  </si>
  <si>
    <t>Participant13@example.com</t>
  </si>
  <si>
    <t>555-0013</t>
  </si>
  <si>
    <t>A014</t>
  </si>
  <si>
    <t>Participant 14</t>
  </si>
  <si>
    <t>Participant14@example.com</t>
  </si>
  <si>
    <t>555-0014</t>
  </si>
  <si>
    <t>A015</t>
  </si>
  <si>
    <t>Participant 15</t>
  </si>
  <si>
    <t>Participant15@example.com</t>
  </si>
  <si>
    <t>555-0015</t>
  </si>
  <si>
    <t>A016</t>
  </si>
  <si>
    <t>Participant 16</t>
  </si>
  <si>
    <t>Participant16@example.com</t>
  </si>
  <si>
    <t>555-0016</t>
  </si>
  <si>
    <t>A017</t>
  </si>
  <si>
    <t>Participant 17</t>
  </si>
  <si>
    <t>Participant17@example.com</t>
  </si>
  <si>
    <t>555-0017</t>
  </si>
  <si>
    <t>A018</t>
  </si>
  <si>
    <t>Participant 18</t>
  </si>
  <si>
    <t>Participant18@example.com</t>
  </si>
  <si>
    <t>555-0018</t>
  </si>
  <si>
    <t>A019</t>
  </si>
  <si>
    <t>Participant 19</t>
  </si>
  <si>
    <t>Participant19@example.com</t>
  </si>
  <si>
    <t>555-0019</t>
  </si>
  <si>
    <t>A020</t>
  </si>
  <si>
    <t>Participant 20</t>
  </si>
  <si>
    <t>Participant20@example.com</t>
  </si>
  <si>
    <t>555-0020</t>
  </si>
  <si>
    <t>A021</t>
  </si>
  <si>
    <t>Participant 21</t>
  </si>
  <si>
    <t>Participant21@example.com</t>
  </si>
  <si>
    <t>555-0021</t>
  </si>
  <si>
    <t>A022</t>
  </si>
  <si>
    <t>Participant 22</t>
  </si>
  <si>
    <t>Participant22@example.com</t>
  </si>
  <si>
    <t>555-0022</t>
  </si>
  <si>
    <t>A023</t>
  </si>
  <si>
    <t>Participant 23</t>
  </si>
  <si>
    <t>Participant23@example.com</t>
  </si>
  <si>
    <t>555-0023</t>
  </si>
  <si>
    <t>A024</t>
  </si>
  <si>
    <t>Participant 24</t>
  </si>
  <si>
    <t>Participant24@example.com</t>
  </si>
  <si>
    <t>555-0024</t>
  </si>
  <si>
    <t>A025</t>
  </si>
  <si>
    <t>Participant 25</t>
  </si>
  <si>
    <t>Participant25@example.com</t>
  </si>
  <si>
    <t>555-0025</t>
  </si>
  <si>
    <t>A026</t>
  </si>
  <si>
    <t>Participant 26</t>
  </si>
  <si>
    <t>Participant26@example.com</t>
  </si>
  <si>
    <t>555-0026</t>
  </si>
  <si>
    <t>A027</t>
  </si>
  <si>
    <t>Participant 27</t>
  </si>
  <si>
    <t>Participant27@example.com</t>
  </si>
  <si>
    <t>555-0027</t>
  </si>
  <si>
    <t>A028</t>
  </si>
  <si>
    <t>Participant 28</t>
  </si>
  <si>
    <t>Participant28@example.com</t>
  </si>
  <si>
    <t>555-0028</t>
  </si>
  <si>
    <t>A029</t>
  </si>
  <si>
    <t>Participant 29</t>
  </si>
  <si>
    <t>Participant29@example.com</t>
  </si>
  <si>
    <t>555-0029</t>
  </si>
  <si>
    <t>A030</t>
  </si>
  <si>
    <t>Participant 30</t>
  </si>
  <si>
    <t>Participant30@example.com</t>
  </si>
  <si>
    <t>555-0030</t>
  </si>
  <si>
    <t>A031</t>
  </si>
  <si>
    <t>Participant 31</t>
  </si>
  <si>
    <t>Participant31@example.com</t>
  </si>
  <si>
    <t>555-0031</t>
  </si>
  <si>
    <t>A032</t>
  </si>
  <si>
    <t>Participant 32</t>
  </si>
  <si>
    <t>Participant32@example.com</t>
  </si>
  <si>
    <t>555-0032</t>
  </si>
  <si>
    <t>A033</t>
  </si>
  <si>
    <t>Participant 33</t>
  </si>
  <si>
    <t>Participant33@example.com</t>
  </si>
  <si>
    <t>555-0033</t>
  </si>
  <si>
    <t>A034</t>
  </si>
  <si>
    <t>Participant 34</t>
  </si>
  <si>
    <t>Participant34@example.com</t>
  </si>
  <si>
    <t>555-0034</t>
  </si>
  <si>
    <t>A035</t>
  </si>
  <si>
    <t>Participant 35</t>
  </si>
  <si>
    <t>Participant35@example.com</t>
  </si>
  <si>
    <t>555-0035</t>
  </si>
  <si>
    <t>A036</t>
  </si>
  <si>
    <t>Participant 36</t>
  </si>
  <si>
    <t>Participant36@example.com</t>
  </si>
  <si>
    <t>555-0036</t>
  </si>
  <si>
    <t>A037</t>
  </si>
  <si>
    <t>Participant 37</t>
  </si>
  <si>
    <t>Participant37@example.com</t>
  </si>
  <si>
    <t>555-0037</t>
  </si>
  <si>
    <t>A038</t>
  </si>
  <si>
    <t>Participant 38</t>
  </si>
  <si>
    <t>Participant38@example.com</t>
  </si>
  <si>
    <t>555-0038</t>
  </si>
  <si>
    <t>A039</t>
  </si>
  <si>
    <t>Participant 39</t>
  </si>
  <si>
    <t>Participant39@example.com</t>
  </si>
  <si>
    <t>555-0039</t>
  </si>
  <si>
    <t>A040</t>
  </si>
  <si>
    <t>Participant 40</t>
  </si>
  <si>
    <t>Participant40@example.com</t>
  </si>
  <si>
    <t>555-0040</t>
  </si>
  <si>
    <t>A041</t>
  </si>
  <si>
    <t>Participant 41</t>
  </si>
  <si>
    <t>Participant41@example.com</t>
  </si>
  <si>
    <t>555-0041</t>
  </si>
  <si>
    <t>A042</t>
  </si>
  <si>
    <t>Participant 42</t>
  </si>
  <si>
    <t>Participant42@example.com</t>
  </si>
  <si>
    <t>555-0042</t>
  </si>
  <si>
    <t>A043</t>
  </si>
  <si>
    <t>Participant 43</t>
  </si>
  <si>
    <t>Participant43@example.com</t>
  </si>
  <si>
    <t>555-0043</t>
  </si>
  <si>
    <t>A044</t>
  </si>
  <si>
    <t>Participant 44</t>
  </si>
  <si>
    <t>Participant44@example.com</t>
  </si>
  <si>
    <t>555-0044</t>
  </si>
  <si>
    <t>A045</t>
  </si>
  <si>
    <t>Participant 45</t>
  </si>
  <si>
    <t>Participant45@example.com</t>
  </si>
  <si>
    <t>555-0045</t>
  </si>
  <si>
    <t>A046</t>
  </si>
  <si>
    <t>Participant 46</t>
  </si>
  <si>
    <t>Participant46@example.com</t>
  </si>
  <si>
    <t>555-0046</t>
  </si>
  <si>
    <t>A047</t>
  </si>
  <si>
    <t>Participant 47</t>
  </si>
  <si>
    <t>Participant47@example.com</t>
  </si>
  <si>
    <t>555-0047</t>
  </si>
  <si>
    <t>A048</t>
  </si>
  <si>
    <t>Participant 48</t>
  </si>
  <si>
    <t>Participant48@example.com</t>
  </si>
  <si>
    <t>555-0048</t>
  </si>
  <si>
    <t>A049</t>
  </si>
  <si>
    <t>Participant 49</t>
  </si>
  <si>
    <t>Participant49@example.com</t>
  </si>
  <si>
    <t>555-0049</t>
  </si>
  <si>
    <t>A050</t>
  </si>
  <si>
    <t>Participant 50</t>
  </si>
  <si>
    <t>Participant50@example.com</t>
  </si>
  <si>
    <t>555-0050</t>
  </si>
  <si>
    <t>A051</t>
  </si>
  <si>
    <t>Participant 51</t>
  </si>
  <si>
    <t>Participant51@example.com</t>
  </si>
  <si>
    <t>555-0051</t>
  </si>
  <si>
    <t>A052</t>
  </si>
  <si>
    <t>Participant 52</t>
  </si>
  <si>
    <t>Participant52@example.com</t>
  </si>
  <si>
    <t>555-0052</t>
  </si>
  <si>
    <t>A053</t>
  </si>
  <si>
    <t>Participant 53</t>
  </si>
  <si>
    <t>Participant53@example.com</t>
  </si>
  <si>
    <t>555-0053</t>
  </si>
  <si>
    <t>A054</t>
  </si>
  <si>
    <t>Participant 54</t>
  </si>
  <si>
    <t>Participant54@example.com</t>
  </si>
  <si>
    <t>555-0054</t>
  </si>
  <si>
    <t>A055</t>
  </si>
  <si>
    <t>Participant 55</t>
  </si>
  <si>
    <t>Participant55@example.com</t>
  </si>
  <si>
    <t>555-0055</t>
  </si>
  <si>
    <t>A056</t>
  </si>
  <si>
    <t>Participant 56</t>
  </si>
  <si>
    <t>Participant56@example.com</t>
  </si>
  <si>
    <t>555-0056</t>
  </si>
  <si>
    <t>A057</t>
  </si>
  <si>
    <t>Participant 57</t>
  </si>
  <si>
    <t>Participant57@example.com</t>
  </si>
  <si>
    <t>555-0057</t>
  </si>
  <si>
    <t>A058</t>
  </si>
  <si>
    <t>Participant 58</t>
  </si>
  <si>
    <t>Participant58@example.com</t>
  </si>
  <si>
    <t>555-0058</t>
  </si>
  <si>
    <t>A059</t>
  </si>
  <si>
    <t>Participant 59</t>
  </si>
  <si>
    <t>Participant59@example.com</t>
  </si>
  <si>
    <t>555-0059</t>
  </si>
  <si>
    <t>A060</t>
  </si>
  <si>
    <t>Participant 60</t>
  </si>
  <si>
    <t>Participant60@example.com</t>
  </si>
  <si>
    <t>555-0060</t>
  </si>
  <si>
    <t>A061</t>
  </si>
  <si>
    <t>Participant 61</t>
  </si>
  <si>
    <t>Participant61@example.com</t>
  </si>
  <si>
    <t>555-0061</t>
  </si>
  <si>
    <t>A062</t>
  </si>
  <si>
    <t>Participant 62</t>
  </si>
  <si>
    <t>Participant62@example.com</t>
  </si>
  <si>
    <t>555-0062</t>
  </si>
  <si>
    <t>A063</t>
  </si>
  <si>
    <t>Participant 63</t>
  </si>
  <si>
    <t>Participant63@example.com</t>
  </si>
  <si>
    <t>555-0063</t>
  </si>
  <si>
    <t>A064</t>
  </si>
  <si>
    <t>Participant 64</t>
  </si>
  <si>
    <t>Participant64@example.com</t>
  </si>
  <si>
    <t>555-0064</t>
  </si>
  <si>
    <t>A065</t>
  </si>
  <si>
    <t>Participant 65</t>
  </si>
  <si>
    <t>Participant65@example.com</t>
  </si>
  <si>
    <t>555-0065</t>
  </si>
  <si>
    <t>A066</t>
  </si>
  <si>
    <t>Participant 66</t>
  </si>
  <si>
    <t>Participant66@example.com</t>
  </si>
  <si>
    <t>555-0066</t>
  </si>
  <si>
    <t>A067</t>
  </si>
  <si>
    <t>Participant 67</t>
  </si>
  <si>
    <t>Participant67@example.com</t>
  </si>
  <si>
    <t>555-0067</t>
  </si>
  <si>
    <t>A068</t>
  </si>
  <si>
    <t>Participant 68</t>
  </si>
  <si>
    <t>Participant68@example.com</t>
  </si>
  <si>
    <t>555-0068</t>
  </si>
  <si>
    <t>A069</t>
  </si>
  <si>
    <t>Participant 69</t>
  </si>
  <si>
    <t>Participant69@example.com</t>
  </si>
  <si>
    <t>555-0069</t>
  </si>
  <si>
    <t>A070</t>
  </si>
  <si>
    <t>Participant 70</t>
  </si>
  <si>
    <t>Participant70@example.com</t>
  </si>
  <si>
    <t>555-0070</t>
  </si>
  <si>
    <t>A071</t>
  </si>
  <si>
    <t>Participant 71</t>
  </si>
  <si>
    <t>Participant71@example.com</t>
  </si>
  <si>
    <t>555-0071</t>
  </si>
  <si>
    <t>A072</t>
  </si>
  <si>
    <t>Participant 72</t>
  </si>
  <si>
    <t>Participant72@example.com</t>
  </si>
  <si>
    <t>555-0072</t>
  </si>
  <si>
    <t>A073</t>
  </si>
  <si>
    <t>Participant 73</t>
  </si>
  <si>
    <t>Participant73@example.com</t>
  </si>
  <si>
    <t>555-0073</t>
  </si>
  <si>
    <t>A074</t>
  </si>
  <si>
    <t>Participant 74</t>
  </si>
  <si>
    <t>Participant74@example.com</t>
  </si>
  <si>
    <t>555-0074</t>
  </si>
  <si>
    <t>A075</t>
  </si>
  <si>
    <t>Participant 75</t>
  </si>
  <si>
    <t>Participant75@example.com</t>
  </si>
  <si>
    <t>555-0075</t>
  </si>
  <si>
    <t>A076</t>
  </si>
  <si>
    <t>Participant 76</t>
  </si>
  <si>
    <t>Participant76@example.com</t>
  </si>
  <si>
    <t>555-0076</t>
  </si>
  <si>
    <t>A077</t>
  </si>
  <si>
    <t>Participant 77</t>
  </si>
  <si>
    <t>Participant77@example.com</t>
  </si>
  <si>
    <t>555-0077</t>
  </si>
  <si>
    <t>A078</t>
  </si>
  <si>
    <t>Participant 78</t>
  </si>
  <si>
    <t>Participant78@example.com</t>
  </si>
  <si>
    <t>555-0078</t>
  </si>
  <si>
    <t>A079</t>
  </si>
  <si>
    <t>Participant 79</t>
  </si>
  <si>
    <t>Participant79@example.com</t>
  </si>
  <si>
    <t>555-0079</t>
  </si>
  <si>
    <t>A080</t>
  </si>
  <si>
    <t>Participant 80</t>
  </si>
  <si>
    <t>Participant80@example.com</t>
  </si>
  <si>
    <t>555-0080</t>
  </si>
  <si>
    <t>A081</t>
  </si>
  <si>
    <t>Participant 81</t>
  </si>
  <si>
    <t>Participant81@example.com</t>
  </si>
  <si>
    <t>555-0081</t>
  </si>
  <si>
    <t>A082</t>
  </si>
  <si>
    <t>Participant 82</t>
  </si>
  <si>
    <t>Participant82@example.com</t>
  </si>
  <si>
    <t>555-0082</t>
  </si>
  <si>
    <t>A083</t>
  </si>
  <si>
    <t>Participant 83</t>
  </si>
  <si>
    <t>Participant83@example.com</t>
  </si>
  <si>
    <t>555-0083</t>
  </si>
  <si>
    <t>A084</t>
  </si>
  <si>
    <t>Participant 84</t>
  </si>
  <si>
    <t>Participant84@example.com</t>
  </si>
  <si>
    <t>555-0084</t>
  </si>
  <si>
    <t>A085</t>
  </si>
  <si>
    <t>Participant 85</t>
  </si>
  <si>
    <t>Participant85@example.com</t>
  </si>
  <si>
    <t>555-0085</t>
  </si>
  <si>
    <t>A086</t>
  </si>
  <si>
    <t>Participant 86</t>
  </si>
  <si>
    <t>Participant86@example.com</t>
  </si>
  <si>
    <t>555-0086</t>
  </si>
  <si>
    <t>A087</t>
  </si>
  <si>
    <t>Participant 87</t>
  </si>
  <si>
    <t>Participant87@example.com</t>
  </si>
  <si>
    <t>555-0087</t>
  </si>
  <si>
    <t>A088</t>
  </si>
  <si>
    <t>Participant 88</t>
  </si>
  <si>
    <t>Participant88@example.com</t>
  </si>
  <si>
    <t>555-0088</t>
  </si>
  <si>
    <t>A089</t>
  </si>
  <si>
    <t>Participant 89</t>
  </si>
  <si>
    <t>Participant89@example.com</t>
  </si>
  <si>
    <t>555-0089</t>
  </si>
  <si>
    <t>A090</t>
  </si>
  <si>
    <t>Participant 90</t>
  </si>
  <si>
    <t>Participant90@example.com</t>
  </si>
  <si>
    <t>555-0090</t>
  </si>
  <si>
    <t>A091</t>
  </si>
  <si>
    <t>Participant 91</t>
  </si>
  <si>
    <t>Participant91@example.com</t>
  </si>
  <si>
    <t>555-0091</t>
  </si>
  <si>
    <t>A092</t>
  </si>
  <si>
    <t>Participant 92</t>
  </si>
  <si>
    <t>Participant92@example.com</t>
  </si>
  <si>
    <t>555-0092</t>
  </si>
  <si>
    <t>A093</t>
  </si>
  <si>
    <t>Participant 93</t>
  </si>
  <si>
    <t>Participant93@example.com</t>
  </si>
  <si>
    <t>555-0093</t>
  </si>
  <si>
    <t>A094</t>
  </si>
  <si>
    <t>Participant 94</t>
  </si>
  <si>
    <t>Participant94@example.com</t>
  </si>
  <si>
    <t>555-0094</t>
  </si>
  <si>
    <t>A095</t>
  </si>
  <si>
    <t>Participant 95</t>
  </si>
  <si>
    <t>Participant95@example.com</t>
  </si>
  <si>
    <t>555-0095</t>
  </si>
  <si>
    <t>A096</t>
  </si>
  <si>
    <t>Participant 96</t>
  </si>
  <si>
    <t>Participant96@example.com</t>
  </si>
  <si>
    <t>555-0096</t>
  </si>
  <si>
    <t>A097</t>
  </si>
  <si>
    <t>Participant 97</t>
  </si>
  <si>
    <t>Participant97@example.com</t>
  </si>
  <si>
    <t>555-0097</t>
  </si>
  <si>
    <t>A098</t>
  </si>
  <si>
    <t>Participant 98</t>
  </si>
  <si>
    <t>Participant98@example.com</t>
  </si>
  <si>
    <t>555-0098</t>
  </si>
  <si>
    <t>A099</t>
  </si>
  <si>
    <t>Participant 99</t>
  </si>
  <si>
    <t>Participant99@example.com</t>
  </si>
  <si>
    <t>555-0099</t>
  </si>
  <si>
    <t>A100</t>
  </si>
  <si>
    <t>Participant 100</t>
  </si>
  <si>
    <t>Participant100@example.com</t>
  </si>
  <si>
    <t>555-0100</t>
  </si>
  <si>
    <t>Target profit</t>
  </si>
  <si>
    <t>Marketing costs</t>
  </si>
  <si>
    <t>Operational costs</t>
  </si>
  <si>
    <t>Attendee ID</t>
  </si>
  <si>
    <t>Dietary Preference</t>
  </si>
  <si>
    <t>Vegan</t>
  </si>
  <si>
    <t>Vegetarian</t>
  </si>
  <si>
    <t>Gluten-Free</t>
  </si>
  <si>
    <t>Non-Vegetarian</t>
  </si>
  <si>
    <t>Registration Month</t>
  </si>
  <si>
    <t>Listas del formulario y de la validación de datos (agregadas)</t>
  </si>
  <si>
    <t>Las celdas C2, C4 y C6 son los supuestos originales del dataset. Las tablas de la derecha alimentan las listas del formulario AttendeeForm y la validación de datos de la tabla tblAttendees.</t>
  </si>
  <si>
    <t>Proyecciones: inscripciones, venta de entradas y objetivo de beneficio</t>
  </si>
  <si>
    <t>Sección 1: resumen mensual (Tarea 3). Sección 2: previsión con FORECAST.ETS (Tarea 3). Sección 3: Goal Seek (Tarea 4). Fondo azul claro = valor escrito por Goal Seek; el resto son fórmulas.</t>
  </si>
  <si>
    <t>1. Resumen mensual de inscripciones y venta de entradas</t>
  </si>
  <si>
    <t>Mes</t>
  </si>
  <si>
    <t>Inscripciones</t>
  </si>
  <si>
    <t>Venta de entradas (€)</t>
  </si>
  <si>
    <t>Precio medio (€)</t>
  </si>
  <si>
    <t>¿Entra en el modelo?</t>
  </si>
  <si>
    <t>No (mes parcial: desde el día 13)</t>
  </si>
  <si>
    <t>Sí</t>
  </si>
  <si>
    <t>No (mes parcial: hasta el día 9)</t>
  </si>
  <si>
    <t>Total</t>
  </si>
  <si>
    <t>Control: registros en tblAttendees</t>
  </si>
  <si>
    <t>Meses parciales (se muestran, no entran en el modelo)</t>
  </si>
  <si>
    <t>datos desde el 13/11/2022</t>
  </si>
  <si>
    <t>datos hasta el 09/11/2024</t>
  </si>
  <si>
    <t>2. Previsión de inscripciones: próximos 12 meses</t>
  </si>
  <si>
    <t>Previsión elegida: FORECAST.ETS (estacionalidad automática)</t>
  </si>
  <si>
    <t>Límite inferior (IC 95 %)</t>
  </si>
  <si>
    <t>Límite superior (IC 95 %)</t>
  </si>
  <si>
    <t>Contraste: FORECAST.LINEAR</t>
  </si>
  <si>
    <t>Contraste: FORECAST.ETS con estacionalidad 12</t>
  </si>
  <si>
    <t>Total 12 meses</t>
  </si>
  <si>
    <t>Indicador</t>
  </si>
  <si>
    <t>ETS estacionalidad 12</t>
  </si>
  <si>
    <t>Estacionalidad detectada por Excel</t>
  </si>
  <si>
    <t>Alfa (nivel)</t>
  </si>
  <si>
    <t>Beta (tendencia)</t>
  </si>
  <si>
    <t>Gamma (estacionalidad)</t>
  </si>
  <si>
    <t>MASE (dentro de la muestra)</t>
  </si>
  <si>
    <t>SMAPE (dentro de la muestra)</t>
  </si>
  <si>
    <t>MAE (dentro de la muestra)</t>
  </si>
  <si>
    <t>RMSE (dentro de la muestra)</t>
  </si>
  <si>
    <t>Validación fuera de muestra: entrenar con dic-2022 a jul-2024 (20 meses) y prever ago-2024 a oct-2024</t>
  </si>
  <si>
    <t>Real</t>
  </si>
  <si>
    <t>ETS automática</t>
  </si>
  <si>
    <t>FORECAST.LINEAR</t>
  </si>
  <si>
    <t>Promedio simple</t>
  </si>
  <si>
    <t>Error absoluto medio (MAE)</t>
  </si>
  <si>
    <t>Elección: FORECAST.ETS con detección automática. Excel no detecta un ciclo estable (fila 24) con menos de dos años completos, la versión estacional ajusta mejor dentro de la muestra pero no fuera de ella (fila 38), y las tres previsiones de la fila 18 quedan cerca, así que la elección no cambia el Goal Seek de forma material.</t>
  </si>
  <si>
    <t>Asistencia prevista</t>
  </si>
  <si>
    <t>3. Objetivo de beneficio con Goal Seek (Tarea 4)</t>
  </si>
  <si>
    <t>Modelo: ingresos previstos = precio medio × asistencia prevista; beneficio = ingresos − marketing − costos operativos.</t>
  </si>
  <si>
    <t>Supuestos</t>
  </si>
  <si>
    <t>Valor</t>
  </si>
  <si>
    <t>Asistencia prevista, próximos 12 meses (sección 2)</t>
  </si>
  <si>
    <t>Precio medio de entrada actual (tblAttendees)</t>
  </si>
  <si>
    <t>Costos de marketing (Assumptions)</t>
  </si>
  <si>
    <t>Costos operativos (Assumptions)</t>
  </si>
  <si>
    <t>Beneficio objetivo (Assumptions)</t>
  </si>
  <si>
    <t>Situación con el precio actual</t>
  </si>
  <si>
    <t>Ingresos previstos</t>
  </si>
  <si>
    <t>Beneficio previsto</t>
  </si>
  <si>
    <t>Brecha contra el objetivo</t>
  </si>
  <si>
    <t>Goal Seek A: precio medio necesario</t>
  </si>
  <si>
    <t>Datos &gt; Análisis de hipótesis &gt; Buscar objetivo: definir la celda F79 con el valor de F68 cambiando la celda F77.</t>
  </si>
  <si>
    <t>Precio medio (celda cambiante)</t>
  </si>
  <si>
    <t>Ingresos con ese precio</t>
  </si>
  <si>
    <t>Beneficio (celda objetivo)</t>
  </si>
  <si>
    <t>Comprobación con fórmula cerrada: (objetivo + costos) / asistencia</t>
  </si>
  <si>
    <t>Diferencia Goal Seek menos fórmula</t>
  </si>
  <si>
    <t>Variación sobre el precio actual</t>
  </si>
  <si>
    <t>Goal Seek B: asistentes necesarios</t>
  </si>
  <si>
    <t>Buscar objetivo: definir la celda M79 con el valor de F68 cambiando la celda M77.</t>
  </si>
  <si>
    <t>Asistentes (celda cambiante)</t>
  </si>
  <si>
    <t>Ingresos con esos asistentes</t>
  </si>
  <si>
    <t>Comprobación con fórmula cerrada: (objetivo + costos) / precio</t>
  </si>
  <si>
    <t>Asistentes necesarios (enteros, redondeo hacia arriba)</t>
  </si>
  <si>
    <t>Beneficio con asistentes enteros</t>
  </si>
  <si>
    <t>Variación sobre la asistencia prevista</t>
  </si>
  <si>
    <t>Estado del Goal Seek</t>
  </si>
  <si>
    <t>Vigente: coincide con la fórmula cerrada. Rehacer: pulsar Actualizar Cuadro de Mando.</t>
  </si>
  <si>
    <t>Lectura: con la asistencia prevista, el objetivo exige subir el precio medio o la asistencia en la proporción de las filas 82 y 84; en la práctica conviene combinar ambas palancas.</t>
  </si>
  <si>
    <t>Diagnóstico del modelo (indicadores técnicos de Excel; no hace falta leerlos para usar la previsión)</t>
  </si>
  <si>
    <t>Sensibilidad: precio medio necesario según la base de asistencia</t>
  </si>
  <si>
    <t>Asistentes</t>
  </si>
  <si>
    <t>Precio medio necesario (€)</t>
  </si>
  <si>
    <t>Previsión elegida: FORECAST.ETS (I19)</t>
  </si>
  <si>
    <t>Contraste: ETS estacionalidad 12 (M18)</t>
  </si>
  <si>
    <t>Contraste: FORECAST.LINEAR (L18)</t>
  </si>
  <si>
    <t>Histórico: inscripciones registradas (C31)</t>
  </si>
  <si>
    <t>Los asistentes necesarios no dependen de la base (M82).</t>
  </si>
  <si>
    <t>ETS ciclo 12</t>
  </si>
  <si>
    <t>Cuadro de mando del evento: Tech Innovators Summit</t>
  </si>
  <si>
    <t>Inscripciones desde noviembre de 2022. Fuente: tabla tblAttendees (hoja Database). Guía del libro: hoja ReadMe.</t>
  </si>
  <si>
    <t>Filtrar con la escala de tiempo y las segmentaciones (Ctrl+clic para elegir varias opciones): los indicadores y los tres gráficos se actualizan juntos. La escala muestra trimestres (nivel MESES en el menú de la escala). Para quitar un filtro, usar el ícono de borrar de cada control. Guía del libro: hoja ReadMe.</t>
  </si>
  <si>
    <t>Última actualización (botón Actualizar Cuadro de Mando):</t>
  </si>
  <si>
    <t>Tablas dinámicas de apoyo: alimentan los indicadores y los gráficos (no editar).</t>
  </si>
  <si>
    <t>Ingresos (€)</t>
  </si>
  <si>
    <t>Grand Total</t>
  </si>
  <si>
    <t>Ingresos (€) por sesión</t>
  </si>
  <si>
    <t>Asistentes por modalidad</t>
  </si>
  <si>
    <t>Asistentes por mes</t>
  </si>
  <si>
    <t>Registros totales (sin filtros)</t>
  </si>
  <si>
    <t>Indicadores de la selección (cambian con los filtros)</t>
  </si>
  <si>
    <t>inscriptos registrados en la selección</t>
  </si>
  <si>
    <t>Ingresos por entradas</t>
  </si>
  <si>
    <t>suma de Ticket Price (€)</t>
  </si>
  <si>
    <t>Precio medio de entrada</t>
  </si>
  <si>
    <t>ingresos / asistentes</t>
  </si>
  <si>
    <t>Beneficio histórico de la selección</t>
  </si>
  <si>
    <t>ingresos menos costos prorrateados</t>
  </si>
  <si>
    <t>Planificación del próximo evento (no depende de los filtros)</t>
  </si>
  <si>
    <t>Resultados</t>
  </si>
  <si>
    <t>Asistencia prevista, próximos 12 meses (FORECAST.ETS)</t>
  </si>
  <si>
    <t>Precio medio de entrada actual</t>
  </si>
  <si>
    <t>Costos de marketing</t>
  </si>
  <si>
    <t>Costos operativos</t>
  </si>
  <si>
    <t>Beneficio objetivo</t>
  </si>
  <si>
    <t>Costos totales</t>
  </si>
  <si>
    <t>Ingresos previstos del próximo evento (asistencia prevista × precio)</t>
  </si>
  <si>
    <t>Beneficio previsto (asistencia prevista × precio actual)</t>
  </si>
  <si>
    <t>Precio medio necesario (Goal Seek)</t>
  </si>
  <si>
    <t>Asistentes necesarios (Goal Seek, redondeo hacia arriba)</t>
  </si>
  <si>
    <t>Detalle del Goal Seek (cálculo en la hoja Proyecciones, sección 3)</t>
  </si>
  <si>
    <t>Precio medio necesario (celda cambiante)</t>
  </si>
  <si>
    <t>Beneficio con ese precio</t>
  </si>
  <si>
    <t>Comprobación: (objetivo + costos) / asistencia</t>
  </si>
  <si>
    <t>Asistentes necesarios (celda cambiante)</t>
  </si>
  <si>
    <t>Beneficio con esos asistentes</t>
  </si>
  <si>
    <t>Comprobación: (objetivo + costos) / precio</t>
  </si>
  <si>
    <t>Cuadro de Mando Actualizado del Evento</t>
  </si>
  <si>
    <t>Precio medio histórico de la selección</t>
  </si>
  <si>
    <t>ingresos históricos menos costos del escenario</t>
  </si>
  <si>
    <t>Modelo de Goal Seek del escenario (Datos &gt; Análisis de hipótesis &gt; Buscar objetivo)</t>
  </si>
  <si>
    <t>Precio medio (celda cambiante G58)</t>
  </si>
  <si>
    <t>Beneficio con ese precio (celda objetivo G59)</t>
  </si>
  <si>
    <t>Asistentes (celda cambiante M58)</t>
  </si>
  <si>
    <t>Beneficio con esos asistentes (celda objetivo M59)</t>
  </si>
  <si>
    <t>Precios de entrada por sesión alineados al objetivo (misma proporción que el precio medio necesario)</t>
  </si>
  <si>
    <t>Sesión</t>
  </si>
  <si>
    <t>Inscriptos</t>
  </si>
  <si>
    <t>Precio actual</t>
  </si>
  <si>
    <t>Precio con el objetivo</t>
  </si>
  <si>
    <t>Promedio ponderado por inscriptos</t>
  </si>
  <si>
    <t>Código VBA</t>
  </si>
  <si>
    <t>Copia de lectura del código de AttendeeForm, modAttendeeData y modDashboard; el código que se ejecuta está en el editor VBA (Alt+F11).</t>
  </si>
  <si>
    <t>modAttendeeData: Módulo estándar (582 líneas)</t>
  </si>
  <si>
    <t>Option Explicit</t>
  </si>
  <si>
    <t/>
  </si>
  <si>
    <t>'==============================================================================</t>
  </si>
  <si>
    <t>' Módulo:        modAttendeeData</t>
  </si>
  <si>
    <t>' Propósito:     Capa de datos de la herramienta de gestión de eventos (Tech</t>
  </si>
  <si>
    <t>'                Innovators Summit). Concentra la validación, la búsqueda, el alta</t>
  </si>
  <si>
    <t>'                y la modificación de asistentes en la tabla tblAttendees, de modo</t>
  </si>
  <si>
    <t>'                que el formulario AttendeeForm quede delgado y las reglas se</t>
  </si>
  <si>
    <t>'                puedan probar sin interfaz (Application.Run).</t>
  </si>
  <si>
    <t>' Dependencias:  Hoja Database con la tabla tblAttendees; hoja Assumptions con las</t>
  </si>
  <si>
    <t>'                tablas tblTicketPrices, tblDietaryOptions y tblAttendanceOptions;</t>
  </si>
  <si>
    <t>'                formulario AttendeeForm (lo nombran solo ShowAttendeeForm y Notify).</t>
  </si>
  <si>
    <t>' Convención:    ValidateAttendee, AddAttendee y UpdateAttendee devuelven "" si todo</t>
  </si>
  <si>
    <t>'                salió bien o el mensaje de error listo para mostrar al usuario.</t>
  </si>
  <si>
    <t>' --- Nombres de hojas, tablas y columnas (un solo lugar para cambiarlos) -------</t>
  </si>
  <si>
    <t>Private Const SHEET_DATA As String = "Database"</t>
  </si>
  <si>
    <t>Private Const SHEET_LISTS As String = "Assumptions"</t>
  </si>
  <si>
    <t>Private Const TABLE_ATTENDEES As String = "tblAttendees"</t>
  </si>
  <si>
    <t>Private Const TABLE_PRICES As String = "tblTicketPrices"</t>
  </si>
  <si>
    <t>Private Const TABLE_DIETARY As String = "tblDietaryOptions"</t>
  </si>
  <si>
    <t>Private Const TABLE_ATTENDANCE As String = "tblAttendanceOptions"</t>
  </si>
  <si>
    <t>Private Const COL_ID As String = "Attendee ID"</t>
  </si>
  <si>
    <t>Private Const COL_NAME As String = "Name"</t>
  </si>
  <si>
    <t>Private Const COL_EMAIL As String = "Email"</t>
  </si>
  <si>
    <t>Private Const COL_PHONE As String = "Phone Number"</t>
  </si>
  <si>
    <t>Private Const COL_ATTENDANCE As String = "Attendance Type"</t>
  </si>
  <si>
    <t>Private Const COL_SESSION As String = "Session Preference"</t>
  </si>
  <si>
    <t>Private Const COL_DATE As String = "Registration Date"</t>
  </si>
  <si>
    <t>Private Const COL_DIETARY As String = "Dietary Preference"</t>
  </si>
  <si>
    <t>' --- Reglas de validación ---------------------------------------------------------</t>
  </si>
  <si>
    <t>Private Const MAX_NAME_LENGTH As Long = 80</t>
  </si>
  <si>
    <t>Private Const MIN_REGISTRATION_YEAR As Long = 2000</t>
  </si>
  <si>
    <t>Private Const MIN_PHONE_DIGITS As Long = 7</t>
  </si>
  <si>
    <t>Private Const MSG_TITLE As String = "Tech Innovators Summit"</t>
  </si>
  <si>
    <t>' Mensajes de las reglas 5, 6 y 9: también los usa el formulario (ReadForm) cuando falta una elección.</t>
  </si>
  <si>
    <t>Public Const MSG_CHOOSE_ATTENDANCE As String = "Elegir el tipo de asistencia: Online o In-Person."</t>
  </si>
  <si>
    <t>Public Const MSG_CHOOSE_SESSION As String = "Elegir una preferencia de sesión de la lista."</t>
  </si>
  <si>
    <t>Public Const MSG_CHOOSE_DIETARY As String = "Elegir una preferencia dietética de la lista."</t>
  </si>
  <si>
    <t>' --- Estado compartido con las pruebas automatizadas ------------------------------</t>
  </si>
  <si>
    <t>Public SilentMode As Boolean      ' True en pruebas automatizadas: Notify no muestra MsgBox</t>
  </si>
  <si>
    <t>Public LastMessage As String      ' último mensaje emitido por Notify</t>
  </si>
  <si>
    <t>' Datos de un asistente ya validados y normalizados, listos para escribir en la tabla.</t>
  </si>
  <si>
    <t>Private Type TAttendee</t>
  </si>
  <si>
    <t xml:space="preserve">    ID As String</t>
  </si>
  <si>
    <t xml:space="preserve">    fullName As String</t>
  </si>
  <si>
    <t xml:space="preserve">    email As String</t>
  </si>
  <si>
    <t xml:space="preserve">    phone As String</t>
  </si>
  <si>
    <t xml:space="preserve">    attendanceType As String</t>
  </si>
  <si>
    <t xml:space="preserve">    SessionName As String</t>
  </si>
  <si>
    <t xml:space="preserve">    ticketPrice As Double</t>
  </si>
  <si>
    <t xml:space="preserve">    regDate As Date</t>
  </si>
  <si>
    <t xml:space="preserve">    dietary As String</t>
  </si>
  <si>
    <t>End Type</t>
  </si>
  <si>
    <t>' Mensajes y apertura del formulario</t>
  </si>
  <si>
    <t>Public Sub SetSilentMode(ByVal isSilent As Boolean)</t>
  </si>
  <si>
    <t xml:space="preserve">    ' Activa o desactiva el modo silencioso (sin MsgBox) que usan las pruebas automatizadas.</t>
  </si>
  <si>
    <t xml:space="preserve">    ' Parámetro: isSilent, True para suprimir los cuadros de mensaje.</t>
  </si>
  <si>
    <t xml:space="preserve">    SilentMode = isSilent</t>
  </si>
  <si>
    <t>End Sub</t>
  </si>
  <si>
    <t>Public Sub Notify(ByVal msg As String, Optional ByVal style As VbMsgBoxStyle = vbInformation)</t>
  </si>
  <si>
    <t xml:space="preserve">    ' Informa al usuario: guarda el texto en LastMessage, lo copia en la línea de estado del</t>
  </si>
  <si>
    <t xml:space="preserve">    ' formulario si está cargado y muestra un MsgBox salvo en modo silencioso.</t>
  </si>
  <si>
    <t xml:space="preserve">    ' Parámetros: msg, texto del mensaje; style, íconos y botones de MsgBox (por defecto, información).</t>
  </si>
  <si>
    <t xml:space="preserve">    Dim frm As Object</t>
  </si>
  <si>
    <t xml:space="preserve">    LastMessage = msg</t>
  </si>
  <si>
    <t xml:space="preserve">    ' Se recorre UserForms en lugar de nombrar AttendeeForm, porque nombrarlo cargaría el formulario.</t>
  </si>
  <si>
    <t xml:space="preserve">    For Each frm In VBA.UserForms</t>
  </si>
  <si>
    <t xml:space="preserve">        If frm.Name = "AttendeeForm" Then frm.ShowStatus msg       ' ShowStatus acorta el texto si no entra en la línea</t>
  </si>
  <si>
    <t xml:space="preserve">    Next frm</t>
  </si>
  <si>
    <t xml:space="preserve">    If Not SilentMode Then MsgBox msg, style, MSG_TITLE</t>
  </si>
  <si>
    <t>Public Sub ShowAttendeeForm()</t>
  </si>
  <si>
    <t xml:space="preserve">    ' Abre el formulario de registro de asistentes (modal). Es la macro de los botones</t>
  </si>
  <si>
    <t xml:space="preserve">    ' btnOpenAttendeeForm (tablero) y btnOpenAttendeeFormDB (hoja Database).</t>
  </si>
  <si>
    <t xml:space="preserve">    On Error GoTo ErrHandler</t>
  </si>
  <si>
    <t xml:space="preserve">    AttendeeForm.Show vbModal</t>
  </si>
  <si>
    <t xml:space="preserve">    Exit Sub</t>
  </si>
  <si>
    <t>ErrHandler:</t>
  </si>
  <si>
    <t xml:space="preserve">    Notify "No se pudo abrir el formulario de asistentes." &amp; vbCrLf &amp; _</t>
  </si>
  <si>
    <t xml:space="preserve">           "Error " &amp; Err.Number &amp; ": " &amp; Err.Description, vbExclamation</t>
  </si>
  <si>
    <t>' Acceso a las tablas y utilidades</t>
  </si>
  <si>
    <t>Public Function AttendeesTable() As ListObject</t>
  </si>
  <si>
    <t xml:space="preserve">    ' Devuelve la tabla tblAttendees de la hoja Database (se refiere a ThisWorkbook, nunca a la hoja activa).</t>
  </si>
  <si>
    <t xml:space="preserve">    Set AttendeesTable = ThisWorkbook.Worksheets(SHEET_DATA).ListObjects(TABLE_ATTENDEES)</t>
  </si>
  <si>
    <t>End Function</t>
  </si>
  <si>
    <t>Public Function OptionsTable(ByVal tableName As String) As ListObject</t>
  </si>
  <si>
    <t xml:space="preserve">    ' Devuelve una de las tablas de listas de la hoja Assumptions (precios, dietas o modalidades).</t>
  </si>
  <si>
    <t xml:space="preserve">    ' Parámetro: tableName, nombre de la tabla (por ejemplo "tblTicketPrices").</t>
  </si>
  <si>
    <t xml:space="preserve">    Set OptionsTable = ThisWorkbook.Worksheets(SHEET_LISTS).ListObjects(tableName)</t>
  </si>
  <si>
    <t>Public Function ColPrice() As String</t>
  </si>
  <si>
    <t xml:space="preserve">    ' Devuelve el encabezado de la columna de precio ("Ticket Price" más el símbolo del euro entre</t>
  </si>
  <si>
    <t xml:space="preserve">    ' paréntesis). El euro se arma con ChrW(8364) para que el código no dependa de la página de códigos.</t>
  </si>
  <si>
    <t xml:space="preserve">    ColPrice = "Ticket Price (" &amp; ChrW(8364) &amp; ")"</t>
  </si>
  <si>
    <t>Private Function ColumnValues(ByVal columnName As String) As Variant</t>
  </si>
  <si>
    <t xml:space="preserve">    ' Lee una columna de tblAttendees como matriz de dos dimensiones (1 a n, 1 a 1), también cuando</t>
  </si>
  <si>
    <t xml:space="preserve">    ' hay una sola fila. Devuelve Empty si la tabla no tiene filas de datos.</t>
  </si>
  <si>
    <t xml:space="preserve">    Dim body As Range</t>
  </si>
  <si>
    <t xml:space="preserve">    Dim oneCell(1 To 1, 1 To 1) As Variant</t>
  </si>
  <si>
    <t xml:space="preserve">    Set body = AttendeesTable().ListColumns(columnName).DataBodyRange</t>
  </si>
  <si>
    <t xml:space="preserve">    If body Is Nothing Then Exit Function</t>
  </si>
  <si>
    <t xml:space="preserve">    If body.Cells.Count = 1 Then</t>
  </si>
  <si>
    <t xml:space="preserve">        oneCell(1, 1) = body.Value2</t>
  </si>
  <si>
    <t xml:space="preserve">        ColumnValues = oneCell</t>
  </si>
  <si>
    <t xml:space="preserve">    Else</t>
  </si>
  <si>
    <t xml:space="preserve">        ColumnValues = body.Value2</t>
  </si>
  <si>
    <t xml:space="preserve">    End If</t>
  </si>
  <si>
    <t>Private Function RowCell(ByVal lo As ListObject, ByVal lr As ListRow, ByVal columnName As String) As Range</t>
  </si>
  <si>
    <t xml:space="preserve">    ' Devuelve la celda de una fila de la tabla ubicada por el nombre de su encabezado.</t>
  </si>
  <si>
    <t xml:space="preserve">    Set RowCell = lr.Range.Cells(1, lo.ListColumns(columnName).Index)</t>
  </si>
  <si>
    <t>Private Function CellText(ByVal v As Variant) As String</t>
  </si>
  <si>
    <t xml:space="preserve">    ' Convierte el valor de una celda en texto sin espacios sobrantes; vacío o error dan "".</t>
  </si>
  <si>
    <t xml:space="preserve">    If IsError(v) Or IsNull(v) Or IsEmpty(v) Then Exit Function</t>
  </si>
  <si>
    <t xml:space="preserve">    CellText = Trim$(CStr(v))</t>
  </si>
  <si>
    <t>Private Function CellToDouble(ByVal v As Variant) As Double</t>
  </si>
  <si>
    <t xml:space="preserve">    ' Convierte el valor de una celda en número; si no es numérico devuelve 0.</t>
  </si>
  <si>
    <t xml:space="preserve">    If IsError(v) Or IsEmpty(v) Then Exit Function</t>
  </si>
  <si>
    <t xml:space="preserve">    If IsNumeric(v) Then CellToDouble = CDbl(v)</t>
  </si>
  <si>
    <t>Private Function CellToDate(ByVal v As Variant) As Date</t>
  </si>
  <si>
    <t xml:space="preserve">    ' Convierte el valor de una celda de fecha (número de serie, Date o texto) en Date; 0 si no es fecha.</t>
  </si>
  <si>
    <t xml:space="preserve">    If VarType(v) = vbDate Then</t>
  </si>
  <si>
    <t xml:space="preserve">        CellToDate = v</t>
  </si>
  <si>
    <t xml:space="preserve">    ElseIf IsNumeric(v) Then</t>
  </si>
  <si>
    <t xml:space="preserve">        CellToDate = CDate(CDbl(v))</t>
  </si>
  <si>
    <t xml:space="preserve">    ElseIf IsDate(v) Then</t>
  </si>
  <si>
    <t xml:space="preserve">        CellToDate = CDate(v)</t>
  </si>
  <si>
    <t>Private Function NormalizeID(ByVal attendeeID As String) As String</t>
  </si>
  <si>
    <t xml:space="preserve">    ' Normaliza un ID para comparar y guardar: sin espacios en los extremos y en mayúsculas.</t>
  </si>
  <si>
    <t xml:space="preserve">    NormalizeID = UCase$(Trim$(attendeeID))</t>
  </si>
  <si>
    <t>Private Function AllDigits(ByVal s As String) As Boolean</t>
  </si>
  <si>
    <t xml:space="preserve">    ' True si el texto no está vacío y todos sus caracteres son dígitos de 0 a 9.</t>
  </si>
  <si>
    <t xml:space="preserve">    AllDigits = (Len(s) &gt; 0) And Not (s Like "*[!0-9]*")</t>
  </si>
  <si>
    <t>Private Function IsValidAttendeeID(ByVal attendeeID As String) As Boolean</t>
  </si>
  <si>
    <t xml:space="preserve">    ' Regla 1: el ID empieza con "A" y sigue con 3 a 5 dígitos (A001, A101, A12345).</t>
  </si>
  <si>
    <t xml:space="preserve">    Dim digits As String</t>
  </si>
  <si>
    <t xml:space="preserve">    attendeeID = NormalizeID(attendeeID)</t>
  </si>
  <si>
    <t xml:space="preserve">    If Left$(attendeeID, 1) &lt;&gt; "A" Then Exit Function</t>
  </si>
  <si>
    <t xml:space="preserve">    digits = Mid$(attendeeID, 2)</t>
  </si>
  <si>
    <t xml:space="preserve">    If Len(digits) &lt; 3 Or Len(digits) &gt; 5 Then Exit Function</t>
  </si>
  <si>
    <t xml:space="preserve">    IsValidAttendeeID = AllDigits(digits)</t>
  </si>
  <si>
    <t>Private Function IDNumber(ByVal attendeeID As String) As Long</t>
  </si>
  <si>
    <t xml:space="preserve">    ' Devuelve la parte numérica de un ID con forma A + dígitos (A050 da 50); 0 si no tiene esa forma.</t>
  </si>
  <si>
    <t xml:space="preserve">    If Len(digits) &gt; 9 Then Exit Function          ' evita el desborde de Long</t>
  </si>
  <si>
    <t xml:space="preserve">    If AllDigits(digits) Then IDNumber = CLng(digits)</t>
  </si>
  <si>
    <t>' Búsquedas</t>
  </si>
  <si>
    <t>Public Function FindAttendeeRow(ByVal attendeeID As String) As Long</t>
  </si>
  <si>
    <t xml:space="preserve">    ' Busca un ID en tblAttendees (sin distinguir mayúsculas y sin espacios en los extremos).</t>
  </si>
  <si>
    <t xml:space="preserve">    ' Parámetro: attendeeID, ID a buscar.</t>
  </si>
  <si>
    <t xml:space="preserve">    ' Devuelve: posición dentro del cuerpo de la tabla (1 = primera fila de datos); 0 si no existe.</t>
  </si>
  <si>
    <t xml:space="preserve">    Dim ids As Variant</t>
  </si>
  <si>
    <t xml:space="preserve">    Dim key As String</t>
  </si>
  <si>
    <t xml:space="preserve">    Dim i As Long</t>
  </si>
  <si>
    <t xml:space="preserve">    key = NormalizeID(attendeeID)</t>
  </si>
  <si>
    <t xml:space="preserve">    If Len(key) = 0 Then Exit Function</t>
  </si>
  <si>
    <t xml:space="preserve">    ids = ColumnValues(COL_ID)</t>
  </si>
  <si>
    <t xml:space="preserve">    If IsEmpty(ids) Then Exit Function              ' tabla sin filas de datos</t>
  </si>
  <si>
    <t xml:space="preserve">    For i = 1 To UBound(ids, 1)</t>
  </si>
  <si>
    <t xml:space="preserve">        If StrComp(CellText(ids(i, 1)), key, vbTextCompare) = 0 Then</t>
  </si>
  <si>
    <t xml:space="preserve">            FindAttendeeRow = i</t>
  </si>
  <si>
    <t xml:space="preserve">            Exit Function</t>
  </si>
  <si>
    <t xml:space="preserve">        End If</t>
  </si>
  <si>
    <t xml:space="preserve">    Next i</t>
  </si>
  <si>
    <t>Private Function FindEmailRow(ByVal email As String, ByVal skipIndex As Long) As Long</t>
  </si>
  <si>
    <t xml:space="preserve">    ' Busca un correo en tblAttendees (sin distinguir mayúsculas), ignorando la fila skipIndex.</t>
  </si>
  <si>
    <t xml:space="preserve">    ' Devuelve: posición dentro del cuerpo de la tabla; 0 si no está repetido.</t>
  </si>
  <si>
    <t xml:space="preserve">    Dim emails As Variant</t>
  </si>
  <si>
    <t xml:space="preserve">    email = Trim$(email)</t>
  </si>
  <si>
    <t xml:space="preserve">    emails = ColumnValues(COL_EMAIL)</t>
  </si>
  <si>
    <t xml:space="preserve">    If IsEmpty(emails) Then Exit Function</t>
  </si>
  <si>
    <t xml:space="preserve">    For i = 1 To UBound(emails, 1)</t>
  </si>
  <si>
    <t xml:space="preserve">        If i &lt;&gt; skipIndex Then</t>
  </si>
  <si>
    <t xml:space="preserve">            If StrComp(CellText(emails(i, 1)), email, vbTextCompare) = 0 Then</t>
  </si>
  <si>
    <t xml:space="preserve">                FindEmailRow = i</t>
  </si>
  <si>
    <t xml:space="preserve">                Exit Function</t>
  </si>
  <si>
    <t xml:space="preserve">            End If</t>
  </si>
  <si>
    <t>Public Function NextAttendeeID() As String</t>
  </si>
  <si>
    <t xml:space="preserve">    ' Propone el siguiente ID libre: "A" más el mayor número existente más uno, con 3 dígitos como mínimo.</t>
  </si>
  <si>
    <t xml:space="preserve">    ' Con los datos originales (A001 a A100) devuelve "A101"; con la tabla vacía, "A001".</t>
  </si>
  <si>
    <t xml:space="preserve">    Dim highest As Long</t>
  </si>
  <si>
    <t xml:space="preserve">    Dim n As Long</t>
  </si>
  <si>
    <t xml:space="preserve">    If Not IsEmpty(ids) Then</t>
  </si>
  <si>
    <t xml:space="preserve">        For i = 1 To UBound(ids, 1)</t>
  </si>
  <si>
    <t xml:space="preserve">            n = IDNumber(CellText(ids(i, 1)))</t>
  </si>
  <si>
    <t xml:space="preserve">            If n &gt; highest Then highest = n</t>
  </si>
  <si>
    <t xml:space="preserve">        Next i</t>
  </si>
  <si>
    <t xml:space="preserve">    NextAttendeeID = "A" &amp; Format$(highest + 1, "000")</t>
  </si>
  <si>
    <t>Private Function FindOptionRow(ByVal tableName As String, ByVal item As String) As Long</t>
  </si>
  <si>
    <t xml:space="preserve">    ' Busca un valor en la primera columna de una tabla de listas (sin distinguir mayúsculas).</t>
  </si>
  <si>
    <t xml:space="preserve">    ' Devuelve: posición dentro del cuerpo de esa tabla; 0 si el valor no está.</t>
  </si>
  <si>
    <t xml:space="preserve">    item = Trim$(item)</t>
  </si>
  <si>
    <t xml:space="preserve">    If Len(item) = 0 Then Exit Function</t>
  </si>
  <si>
    <t xml:space="preserve">    Set body = OptionsTable(tableName).DataBodyRange</t>
  </si>
  <si>
    <t xml:space="preserve">    For i = 1 To body.Rows.Count</t>
  </si>
  <si>
    <t xml:space="preserve">        If StrComp(CellText(body.Cells(i, 1).Value2), item, vbTextCompare) = 0 Then</t>
  </si>
  <si>
    <t xml:space="preserve">            FindOptionRow = i</t>
  </si>
  <si>
    <t>Private Function OptionText(ByVal tableName As String, ByVal item As String) As String</t>
  </si>
  <si>
    <t xml:space="preserve">    ' Devuelve el texto tal como figura en la tabla de listas (para guardar siempre la grafía oficial);</t>
  </si>
  <si>
    <t xml:space="preserve">    ' "" si el valor no está en la lista.</t>
  </si>
  <si>
    <t xml:space="preserve">    Dim idx As Long</t>
  </si>
  <si>
    <t xml:space="preserve">    idx = FindOptionRow(tableName, item)</t>
  </si>
  <si>
    <t xml:space="preserve">    If idx &gt; 0 Then OptionText = CellText(OptionsTable(tableName).DataBodyRange.Cells(idx, 1).Value2)</t>
  </si>
  <si>
    <t>Public Function ExpectedPrice(ByVal session As String, ByRef price As Double) As Boolean</t>
  </si>
  <si>
    <t xml:space="preserve">    ' Busca el precio de entrada de una sesión en tblTicketPrices.</t>
  </si>
  <si>
    <t xml:space="preserve">    ' Parámetros: session, nombre de la sesión; price (salida), precio oficial.</t>
  </si>
  <si>
    <t xml:space="preserve">    ' Devuelve: True si la sesión existe; False si no (price queda en 0).</t>
  </si>
  <si>
    <t xml:space="preserve">    price = 0</t>
  </si>
  <si>
    <t xml:space="preserve">    idx = FindOptionRow(TABLE_PRICES, session)</t>
  </si>
  <si>
    <t xml:space="preserve">    If idx = 0 Then Exit Function</t>
  </si>
  <si>
    <t xml:space="preserve">    price = CellToDouble(OptionsTable(TABLE_PRICES).DataBodyRange.Cells(idx, 2).Value2)</t>
  </si>
  <si>
    <t xml:space="preserve">    ExpectedPrice = True</t>
  </si>
  <si>
    <t>' Validaciones de formato</t>
  </si>
  <si>
    <t>Public Function IsValidEmail(ByVal email As String) As Boolean</t>
  </si>
  <si>
    <t xml:space="preserve">    ' Regla de correo: un solo "@", sin espacios, con forma texto@dominio.sufijo, sin ".." ni punto final.</t>
  </si>
  <si>
    <t xml:space="preserve">    If Len(email) = 0 Then Exit Function</t>
  </si>
  <si>
    <t xml:space="preserve">    If InStr(email, " ") &gt; 0 Then Exit Function</t>
  </si>
  <si>
    <t xml:space="preserve">    If Len(email) - Len(Replace(email, "@", "")) &lt;&gt; 1 Then Exit Function</t>
  </si>
  <si>
    <t xml:space="preserve">    If InStr(email, "..") &gt; 0 Then Exit Function</t>
  </si>
  <si>
    <t xml:space="preserve">    If Right$(email, 1) = "." Then Exit Function</t>
  </si>
  <si>
    <t xml:space="preserve">    IsValidEmail = (email Like "?*@?*.?*")</t>
  </si>
  <si>
    <t>Public Function IsValidPhone(ByVal phone As String) As Boolean</t>
  </si>
  <si>
    <t xml:space="preserve">    ' Regla de teléfono: solo dígitos, espacios, +, guiones, paréntesis y puntos, con al menos 7 dígitos.</t>
  </si>
  <si>
    <t xml:space="preserve">    Dim ch As String</t>
  </si>
  <si>
    <t xml:space="preserve">    Dim digitCount As Long</t>
  </si>
  <si>
    <t xml:space="preserve">    phone = Trim$(phone)</t>
  </si>
  <si>
    <t xml:space="preserve">    If Len(phone) = 0 Then Exit Function</t>
  </si>
  <si>
    <t xml:space="preserve">    For i = 1 To Len(phone)</t>
  </si>
  <si>
    <t xml:space="preserve">        ch = Mid$(phone, i, 1)</t>
  </si>
  <si>
    <t xml:space="preserve">        If ch &gt;= "0" And ch &lt;= "9" Then</t>
  </si>
  <si>
    <t xml:space="preserve">            digitCount = digitCount + 1</t>
  </si>
  <si>
    <t xml:space="preserve">        ElseIf InStr(" +-().", ch) = 0 Then</t>
  </si>
  <si>
    <t xml:space="preserve">            Exit Function                           ' carácter no permitido</t>
  </si>
  <si>
    <t xml:space="preserve">    IsValidPhone = (digitCount &gt;= MIN_PHONE_DIGITS)</t>
  </si>
  <si>
    <t>Public Function TryParseISODate(ByVal raw As String, ByRef result As Date) As Boolean</t>
  </si>
  <si>
    <t xml:space="preserve">    ' Convierte un texto "aaaa-mm-dd" en fecha, comprobando que el día exista (no acepta 2024-02-30).</t>
  </si>
  <si>
    <t xml:space="preserve">    ' Parámetros: raw, texto a convertir; result (salida), fecha obtenida (sin cambios si falla).</t>
  </si>
  <si>
    <t xml:space="preserve">    ' Devuelve: True si el texto es una fecha válida en ese formato.</t>
  </si>
  <si>
    <t xml:space="preserve">    Dim y As Long</t>
  </si>
  <si>
    <t xml:space="preserve">    Dim m As Long</t>
  </si>
  <si>
    <t xml:space="preserve">    Dim d As Long</t>
  </si>
  <si>
    <t xml:space="preserve">    Dim candidate As Date</t>
  </si>
  <si>
    <t xml:space="preserve">    raw = Trim$(raw)</t>
  </si>
  <si>
    <t xml:space="preserve">    If Len(raw) &lt;&gt; 10 Then Exit Function</t>
  </si>
  <si>
    <t xml:space="preserve">    If Mid$(raw, 5, 1) &lt;&gt; "-" Or Mid$(raw, 8, 1) &lt;&gt; "-" Then Exit Function</t>
  </si>
  <si>
    <t xml:space="preserve">    If Not AllDigits(Left$(raw, 4)) Or Not AllDigits(Mid$(raw, 6, 2)) Or Not AllDigits(Right$(raw, 2)) Then Exit Function</t>
  </si>
  <si>
    <t xml:space="preserve">    y = CLng(Left$(raw, 4))</t>
  </si>
  <si>
    <t xml:space="preserve">    m = CLng(Mid$(raw, 6, 2))</t>
  </si>
  <si>
    <t xml:space="preserve">    d = CLng(Right$(raw, 2))</t>
  </si>
  <si>
    <t xml:space="preserve">    If y &lt; 100 Or m &lt; 1 Or m &gt; 12 Or d &lt; 1 Or d &gt; 31 Then Exit Function</t>
  </si>
  <si>
    <t xml:space="preserve">    candidate = DateSerial(y, m, d)</t>
  </si>
  <si>
    <t xml:space="preserve">    ' DateSerial "desborda" los días imposibles (30 de febrero pasa a marzo): se exige que nada haya cambiado.</t>
  </si>
  <si>
    <t xml:space="preserve">    If Year(candidate) &lt;&gt; y Or Month(candidate) &lt;&gt; m Or Day(candidate) &lt;&gt; d Then Exit Function</t>
  </si>
  <si>
    <t xml:space="preserve">    result = candidate</t>
  </si>
  <si>
    <t xml:space="preserve">    TryParseISODate = True</t>
  </si>
  <si>
    <t>' Alta, modificación y consulta de asistentes</t>
  </si>
  <si>
    <t>Public Function ValidateContact(ByVal attendeeID As String, ByVal fullName As String, _</t>
  </si>
  <si>
    <t xml:space="preserve">                                ByVal email As String, ByVal phone As String) As String</t>
  </si>
  <si>
    <t xml:space="preserve">    ' Reglas 1 a 4 (ID, nombre, correo y teléfono), en el orden en que aparecen en el formulario. La llaman</t>
  </si>
  <si>
    <t xml:space="preserve">    ' ValidateAttendee y el formulario (ReadForm) antes de revisar las elecciones, para que el primer error que</t>
  </si>
  <si>
    <t xml:space="preserve">    ' se muestre sea el del primer campo de arriba que está mal.</t>
  </si>
  <si>
    <t xml:space="preserve">    ' Devuelve: "" si los cuatro son válidos; si no, el mensaje de la primera regla incumplida.</t>
  </si>
  <si>
    <t xml:space="preserve">    fullName = Trim$(fullName)</t>
  </si>
  <si>
    <t xml:space="preserve">    If Not IsValidAttendeeID(attendeeID) Then</t>
  </si>
  <si>
    <t xml:space="preserve">        ValidateContact = "El ID es obligatorio y debe tener el formato A seguido de 3 a 5 dígitos (por ejemplo, A101)."</t>
  </si>
  <si>
    <t xml:space="preserve">    ElseIf Len(fullName) = 0 Or Len(fullName) &gt; MAX_NAME_LENGTH Then</t>
  </si>
  <si>
    <t xml:space="preserve">        ValidateContact = "El nombre es obligatorio (hasta 80 caracteres)."</t>
  </si>
  <si>
    <t xml:space="preserve">    ElseIf Not IsValidEmail(email) Then</t>
  </si>
  <si>
    <t xml:space="preserve">        ValidateContact = "El correo electrónico no es válido (ejemplo: nombre@dominio.com)."</t>
  </si>
  <si>
    <t xml:space="preserve">    ElseIf Not IsValidPhone(phone) Then</t>
  </si>
  <si>
    <t xml:space="preserve">        ValidateContact = "El teléfono es obligatorio: sólo dígitos, espacios, +, guiones, puntos y paréntesis (al menos 7 dígitos)."</t>
  </si>
  <si>
    <t>Public Function ValidateAttendee(ByVal attendeeID As String, ByVal fullName As String, ByVal email As String, _</t>
  </si>
  <si>
    <t xml:space="preserve">                                 ByVal phone As String, ByVal attendanceType As String, ByVal session As String, _</t>
  </si>
  <si>
    <t xml:space="preserve">                                 ByVal ticketPrice As Double, ByVal regDate As Date, ByVal dietary As String) As String</t>
  </si>
  <si>
    <t xml:space="preserve">    ' Aplica las 9 reglas de validación, en orden, y devuelve el primer error.</t>
  </si>
  <si>
    <t xml:space="preserve">    ' Parámetros: los nueve datos del asistente (ID, nombre, correo, teléfono, modalidad, sesión, precio,</t>
  </si>
  <si>
    <t xml:space="preserve">    '             fecha de registro y preferencia dietética).</t>
  </si>
  <si>
    <t xml:space="preserve">    ' Devuelve: "" si todo es válido; si no, el mensaje de la primera regla incumplida.</t>
  </si>
  <si>
    <t xml:space="preserve">    Dim expected As Double</t>
  </si>
  <si>
    <t xml:space="preserve">    ValidateAttendee = ValidateContact(attendeeID, fullName, email, phone)       ' reglas 1 a 4</t>
  </si>
  <si>
    <t xml:space="preserve">    If Len(ValidateAttendee) &gt; 0 Then Exit Function</t>
  </si>
  <si>
    <t xml:space="preserve">    If FindOptionRow(TABLE_ATTENDANCE, attendanceType) = 0 Then</t>
  </si>
  <si>
    <t xml:space="preserve">        ValidateAttendee = MSG_CHOOSE_ATTENDANCE</t>
  </si>
  <si>
    <t xml:space="preserve">    ElseIf FindOptionRow(TABLE_PRICES, session) = 0 Then</t>
  </si>
  <si>
    <t xml:space="preserve">        ValidateAttendee = MSG_CHOOSE_SESSION</t>
  </si>
  <si>
    <t xml:space="preserve">    ElseIf Not PriceMatchesSession(session, ticketPrice, expected) Then</t>
  </si>
  <si>
    <t xml:space="preserve">        ValidateAttendee = "El precio no coincide con el de la sesión " &amp; OptionText(TABLE_PRICES, session) &amp; _</t>
  </si>
  <si>
    <t xml:space="preserve">                           " (" &amp; Format$(expected, "#,##0") &amp; " " &amp; ChrW(8364) &amp; ")."</t>
  </si>
  <si>
    <t xml:space="preserve">    ElseIf regDate &lt; DateSerial(MIN_REGISTRATION_YEAR, 1, 1) Or DateValue(regDate) &gt; Date Then</t>
  </si>
  <si>
    <t xml:space="preserve">        ValidateAttendee = "La fecha de registro debe estar entre el 01/01/2000 y hoy."</t>
  </si>
  <si>
    <t xml:space="preserve">    ElseIf FindOptionRow(TABLE_DIETARY, dietary) = 0 Then</t>
  </si>
  <si>
    <t xml:space="preserve">        ValidateAttendee = MSG_CHOOSE_DIETARY</t>
  </si>
  <si>
    <t xml:space="preserve">    Exit Function</t>
  </si>
  <si>
    <t xml:space="preserve">    ValidateAttendee = "Error inesperado " &amp; Err.Number &amp; ": " &amp; Err.Description</t>
  </si>
  <si>
    <t>Private Function PriceMatchesSession(ByVal session As String, ByVal ticketPrice As Double, _</t>
  </si>
  <si>
    <t xml:space="preserve">                                     ByRef expected As Double) As Boolean</t>
  </si>
  <si>
    <t xml:space="preserve">    ' Regla 7: el precio recibido debe coincidir con el de la sesión en tblTicketPrices (tolerancia 0,005).</t>
  </si>
  <si>
    <t xml:space="preserve">    ' Parámetros: session, sesión elegida; ticketPrice, precio recibido; expected (salida), precio oficial.</t>
  </si>
  <si>
    <t xml:space="preserve">    ' Devuelve: True si coinciden.</t>
  </si>
  <si>
    <t xml:space="preserve">    If ExpectedPrice(session, expected) Then</t>
  </si>
  <si>
    <t xml:space="preserve">        PriceMatchesSession = (Abs(ticketPrice - expected) &lt; 0.005)</t>
  </si>
  <si>
    <t>Private Function BuildAttendee(ByVal attendeeID As String, ByVal fullName As String, ByVal email As String, _</t>
  </si>
  <si>
    <t xml:space="preserve">                               ByVal phone As String, ByVal attendanceType As String, ByVal session As String, _</t>
  </si>
  <si>
    <t xml:space="preserve">                               ByVal regDate As Date, ByVal dietary As String) As TAttendee</t>
  </si>
  <si>
    <t xml:space="preserve">    ' Normaliza los datos ya validados: recorta espacios, pone el ID en mayúsculas y toma de las listas la</t>
  </si>
  <si>
    <t xml:space="preserve">    ' grafía oficial de modalidad, sesión y dieta. El precio sale de tblTicketPrices, no del argumento.</t>
  </si>
  <si>
    <t xml:space="preserve">    BuildAttendee.ID = NormalizeID(attendeeID)</t>
  </si>
  <si>
    <t xml:space="preserve">    BuildAttendee.fullName = Trim$(fullName)</t>
  </si>
  <si>
    <t xml:space="preserve">    BuildAttendee.email = Trim$(email)</t>
  </si>
  <si>
    <t xml:space="preserve">    BuildAttendee.phone = Trim$(phone)</t>
  </si>
  <si>
    <t xml:space="preserve">    BuildAttendee.attendanceType = OptionText(TABLE_ATTENDANCE, attendanceType)</t>
  </si>
  <si>
    <t xml:space="preserve">    BuildAttendee.SessionName = OptionText(TABLE_PRICES, session)</t>
  </si>
  <si>
    <t xml:space="preserve">    ExpectedPrice session, BuildAttendee.ticketPrice</t>
  </si>
  <si>
    <t xml:space="preserve">    BuildAttendee.regDate = DateValue(regDate)</t>
  </si>
  <si>
    <t xml:space="preserve">    BuildAttendee.dietary = OptionText(TABLE_DIETARY, dietary)</t>
  </si>
  <si>
    <t>Private Sub WriteText(ByVal cell As Range, ByVal textValue As String)</t>
  </si>
  <si>
    <t xml:space="preserve">    ' Escribe texto literal en una celda. El formato Texto (@) evita que Excel lo convierta en número,</t>
  </si>
  <si>
    <t xml:space="preserve">    ' fecha o fórmula: "+5492214567890" perdería el signo, "02214567890" el cero y "=1+1" se calcularía.</t>
  </si>
  <si>
    <t xml:space="preserve">    cell.NumberFormat = "@"</t>
  </si>
  <si>
    <t xml:space="preserve">    cell.Value2 = textValue</t>
  </si>
  <si>
    <t>Private Function NewTableRow(ByVal lo As ListObject, ByRef added As Boolean) As ListRow</t>
  </si>
  <si>
    <t xml:space="preserve">    ' Devuelve la fila donde escribir un alta. Si la tabla tiene una única fila totalmente vacía (Excel la</t>
  </si>
  <si>
    <t xml:space="preserve">    ' conserva al borrar todos los registros) se reutiliza; si no, ListRows.Add agrega una fila al final y</t>
  </si>
  <si>
    <t xml:space="preserve">    ' Excel extiende por sí solo la columna calculada, el formato y el filtro de la tabla.</t>
  </si>
  <si>
    <t xml:space="preserve">    ' Parámetros: lo, tabla de destino; added (salida), True si se agregó una fila nueva.</t>
  </si>
  <si>
    <t xml:space="preserve">    added = False</t>
  </si>
  <si>
    <t xml:space="preserve">    If lo.ListRows.Count = 1 Then</t>
  </si>
  <si>
    <t xml:space="preserve">        If Len(CellText(RowCell(lo, lo.ListRows(1), COL_ID).Value2)) = 0 And _</t>
  </si>
  <si>
    <t xml:space="preserve">           Len(CellText(RowCell(lo, lo.ListRows(1), COL_NAME).Value2)) = 0 Then</t>
  </si>
  <si>
    <t xml:space="preserve">            Set NewTableRow = lo.ListRows(1)</t>
  </si>
  <si>
    <t xml:space="preserve">    Set NewTableRow = lo.ListRows.Add</t>
  </si>
  <si>
    <t xml:space="preserve">    added = True</t>
  </si>
  <si>
    <t>Private Sub WriteAttendeeRow(ByVal lo As ListObject, ByVal lr As ListRow, ByRef rec As TAttendee, _</t>
  </si>
  <si>
    <t xml:space="preserve">                             ByVal writeID As Boolean)</t>
  </si>
  <si>
    <t xml:space="preserve">    ' Escribe los datos de un asistente en una fila de la tabla, ubicando cada columna por su encabezado.</t>
  </si>
  <si>
    <t xml:space="preserve">    ' Parámetros: lo, tabla; lr, fila de destino; rec, datos normalizados; writeID, False en una</t>
  </si>
  <si>
    <t xml:space="preserve">    ' modificación (el ID no cambia). Registration Month es una columna calculada: no se escribe.</t>
  </si>
  <si>
    <t xml:space="preserve">    If writeID Then WriteText RowCell(lo, lr, COL_ID), rec.ID</t>
  </si>
  <si>
    <t xml:space="preserve">    WriteText RowCell(lo, lr, COL_NAME), rec.fullName</t>
  </si>
  <si>
    <t xml:space="preserve">    WriteText RowCell(lo, lr, COL_EMAIL), rec.email</t>
  </si>
  <si>
    <t xml:space="preserve">    WriteText RowCell(lo, lr, COL_PHONE), rec.phone</t>
  </si>
  <si>
    <t xml:space="preserve">    WriteText RowCell(lo, lr, COL_ATTENDANCE), rec.attendanceType</t>
  </si>
  <si>
    <t xml:space="preserve">    WriteText RowCell(lo, lr, COL_SESSION), rec.SessionName</t>
  </si>
  <si>
    <t xml:space="preserve">    RowCell(lo, lr, ColPrice()).Value2 = rec.ticketPrice</t>
  </si>
  <si>
    <t xml:space="preserve">    With RowCell(lo, lr, COL_DATE)</t>
  </si>
  <si>
    <t xml:space="preserve">        .NumberFormat = "yyyy-mm-dd"</t>
  </si>
  <si>
    <t xml:space="preserve">        .Value2 = CDbl(rec.regDate)</t>
  </si>
  <si>
    <t xml:space="preserve">    End With</t>
  </si>
  <si>
    <t xml:space="preserve">    WriteText RowCell(lo, lr, COL_DIETARY), rec.dietary</t>
  </si>
  <si>
    <t>Public Function AddAttendee(ByVal attendeeID As String, ByVal fullName As String, ByVal email As String, _</t>
  </si>
  <si>
    <t xml:space="preserve">                            ByVal phone As String, ByVal attendanceType As String, ByVal session As String, _</t>
  </si>
  <si>
    <t xml:space="preserve">                            ByVal ticketPrice As Double, ByVal regDate As Date, ByVal dietary As String) As String</t>
  </si>
  <si>
    <t xml:space="preserve">    ' Agrega un asistente nuevo al final de tblAttendees después de validarlo y comprobar que ni el ID</t>
  </si>
  <si>
    <t xml:space="preserve">    ' ni el correo estén repetidos.</t>
  </si>
  <si>
    <t xml:space="preserve">    ' Parámetros: los nueve datos del asistente.</t>
  </si>
  <si>
    <t xml:space="preserve">    ' Devuelve: "" si se agregó; si no, el mensaje de error (la tabla queda sin cambios).</t>
  </si>
  <si>
    <t xml:space="preserve">    Dim lo As ListObject</t>
  </si>
  <si>
    <t xml:space="preserve">    Dim lr As ListRow</t>
  </si>
  <si>
    <t xml:space="preserve">    Dim rec As TAttendee</t>
  </si>
  <si>
    <t xml:space="preserve">    Dim msg As String</t>
  </si>
  <si>
    <t xml:space="preserve">    Dim rowAdded As Boolean</t>
  </si>
  <si>
    <t xml:space="preserve">    msg = ValidateAttendee(attendeeID, fullName, email, phone, attendanceType, session, ticketPrice, regDate, dietary)</t>
  </si>
  <si>
    <t xml:space="preserve">    If Len(msg) &gt; 0 Then</t>
  </si>
  <si>
    <t xml:space="preserve">        AddAttendee = msg</t>
  </si>
  <si>
    <t xml:space="preserve">        Exit Function</t>
  </si>
  <si>
    <t xml:space="preserve">    rec = BuildAttendee(attendeeID, fullName, email, phone, attendanceType, session, regDate, dietary)</t>
  </si>
  <si>
    <t xml:space="preserve">    If FindAttendeeRow(rec.ID) &gt; 0 Then</t>
  </si>
  <si>
    <t xml:space="preserve">        AddAttendee = "Ya existe un asistente con el ID " &amp; rec.ID &amp; ". Para modificarlo, usar Fetch y luego Update."</t>
  </si>
  <si>
    <t xml:space="preserve">    If FindEmailRow(rec.email, 0) &gt; 0 Then</t>
  </si>
  <si>
    <t xml:space="preserve">        AddAttendee = "Ya existe un asistente con el correo " &amp; rec.email &amp; "."</t>
  </si>
  <si>
    <t xml:space="preserve">    Set lo = AttendeesTable()</t>
  </si>
  <si>
    <t xml:space="preserve">    Set lr = NewTableRow(lo, rowAdded)</t>
  </si>
  <si>
    <t xml:space="preserve">    WriteAttendeeRow lo, lr, rec, True</t>
  </si>
  <si>
    <t xml:space="preserve">    msg = "Error inesperado " &amp; Err.Number &amp; ": " &amp; Err.Description</t>
  </si>
  <si>
    <t xml:space="preserve">    ' Si la fila ya se había agregado, se quita para no dejar un registro a medias.</t>
  </si>
  <si>
    <t xml:space="preserve">    On Error Resume Next</t>
  </si>
  <si>
    <t xml:space="preserve">    If rowAdded And Not lr Is Nothing Then lr.Delete</t>
  </si>
  <si>
    <t xml:space="preserve">    On Error GoTo 0</t>
  </si>
  <si>
    <t xml:space="preserve">    AddAttendee = msg</t>
  </si>
  <si>
    <t>Public Function UpdateAttendee(ByVal attendeeID As String, ByVal fullName As String, ByVal email As String, _</t>
  </si>
  <si>
    <t xml:space="preserve">                               ByVal ticketPrice As Double, ByVal regDate As Date, ByVal dietary As String) As String</t>
  </si>
  <si>
    <t xml:space="preserve">    ' Modifica un asistente existente (ubicado por su ID) después de validar los datos nuevos. El ID no cambia.</t>
  </si>
  <si>
    <t xml:space="preserve">    ' Parámetros: los nueve datos del asistente; attendeeID identifica la fila a modificar.</t>
  </si>
  <si>
    <t xml:space="preserve">    ' Devuelve: "" si se guardó; si no, el mensaje de error (la tabla queda sin cambios).</t>
  </si>
  <si>
    <t xml:space="preserve">        UpdateAttendee = msg</t>
  </si>
  <si>
    <t xml:space="preserve">    idx = FindAttendeeRow(rec.ID)</t>
  </si>
  <si>
    <t xml:space="preserve">    If idx = 0 Then</t>
  </si>
  <si>
    <t xml:space="preserve">        UpdateAttendee = "No existe un asistente con el ID " &amp; rec.ID &amp; "."</t>
  </si>
  <si>
    <t xml:space="preserve">    If FindEmailRow(rec.email, idx) &gt; 0 Then</t>
  </si>
  <si>
    <t xml:space="preserve">        UpdateAttendee = "Ya existe un asistente con el correo " &amp; rec.email &amp; "."</t>
  </si>
  <si>
    <t xml:space="preserve">    WriteAttendeeRow lo, lo.ListRows(idx), rec, False</t>
  </si>
  <si>
    <t xml:space="preserve">    UpdateAttendee = "Error inesperado " &amp; Err.Number &amp; ": " &amp; Err.Description</t>
  </si>
  <si>
    <t>Public Function GetAttendee(ByVal attendeeID As String) As Variant</t>
  </si>
  <si>
    <t xml:space="preserve">    ' Lee los datos de un asistente.</t>
  </si>
  <si>
    <t xml:space="preserve">    ' Parámetro: attendeeID, ID a buscar (sin distinguir mayúsculas ni espacios en los extremos).</t>
  </si>
  <si>
    <t xml:space="preserve">    ' Devuelve: matriz de 9 elementos (1 a 9: ID, nombre, correo, teléfono, modalidad, sesión, precio,</t>
  </si>
  <si>
    <t xml:space="preserve">    '           fecha de registro y preferencia dietética); Empty si el ID no existe.</t>
  </si>
  <si>
    <t xml:space="preserve">    Dim data(1 To 9) As Variant</t>
  </si>
  <si>
    <t xml:space="preserve">    idx = FindAttendeeRow(attendeeID)</t>
  </si>
  <si>
    <t xml:space="preserve">    Set lr = lo.ListRows(idx)</t>
  </si>
  <si>
    <t xml:space="preserve">    data(1) = CellText(RowCell(lo, lr, COL_ID).Value2)</t>
  </si>
  <si>
    <t xml:space="preserve">    data(2) = CellText(RowCell(lo, lr, COL_NAME).Value2)</t>
  </si>
  <si>
    <t xml:space="preserve">    data(3) = CellText(RowCell(lo, lr, COL_EMAIL).Value2)</t>
  </si>
  <si>
    <t xml:space="preserve">    data(4) = CellText(RowCell(lo, lr, COL_PHONE).Value2)</t>
  </si>
  <si>
    <t xml:space="preserve">    data(5) = CellText(RowCell(lo, lr, COL_ATTENDANCE).Value2)</t>
  </si>
  <si>
    <t xml:space="preserve">    data(6) = CellText(RowCell(lo, lr, COL_SESSION).Value2)</t>
  </si>
  <si>
    <t xml:space="preserve">    data(7) = CellToDouble(RowCell(lo, lr, ColPrice()).Value2)</t>
  </si>
  <si>
    <t xml:space="preserve">    data(8) = CellToDate(RowCell(lo, lr, COL_DATE).Value2)</t>
  </si>
  <si>
    <t xml:space="preserve">    data(9) = CellText(RowCell(lo, lr, COL_DIETARY).Value2)</t>
  </si>
  <si>
    <t xml:space="preserve">    GetAttendee = data</t>
  </si>
  <si>
    <t>modDashboard: Módulo estándar (130 líneas)</t>
  </si>
  <si>
    <t>' Módulo:        modDashboard</t>
  </si>
  <si>
    <t>' Propósito:     Actualiza los tableros del libro con un solo clic: recalcula las</t>
  </si>
  <si>
    <t>'                fórmulas, refresca las tablas dinámicas (y con ellas las</t>
  </si>
  <si>
    <t>'                segmentaciones, la escala de tiempo y los gráficos), vuelve a ejecutar</t>
  </si>
  <si>
    <t>'                los Goal Seek (Buscar objetivo) y registra la fecha de la última</t>
  </si>
  <si>
    <t>'                actualización. Es la macro del botón "Actualizar Cuadro de Mando".</t>
  </si>
  <si>
    <t>' Dependencias:  modAttendeeData (Notify y AttendeesTable); hojas con una tabla dinámica</t>
  </si>
  <si>
    <t>'                llamada ptKPI (los tableros); nombres definidos T4_* y T7_* de los</t>
  </si>
  <si>
    <t>'                Goal Seek (los T7 existen solo en el archivo de la Tarea 7).</t>
  </si>
  <si>
    <t>Private Const LAST_REFRESH_CELL As String = "F64"     ' celda (combinada F64:G64) con la fecha de la última actualización</t>
  </si>
  <si>
    <t>Private Const KPI_PIVOT_NAME As String = "ptKPI"      ' tabla dinámica que identifica a una hoja como tablero</t>
  </si>
  <si>
    <t>Public Sub RefreshDashboard()</t>
  </si>
  <si>
    <t xml:space="preserve">    ' Actualiza el cuadro de mando. Pasos: recalcular, refrescar las tablas dinámicas, rehacer los Goal Seek,</t>
  </si>
  <si>
    <t xml:space="preserve">    ' refrescar los gráficos y anotar la fecha y hora. Muestra un mensaje de confirmación o de error.</t>
  </si>
  <si>
    <t xml:space="preserve">    Dim ws As Worksheet</t>
  </si>
  <si>
    <t xml:space="preserve">    Dim co As ChartObject</t>
  </si>
  <si>
    <t xml:space="preserve">    Dim goals As Variant</t>
  </si>
  <si>
    <t xml:space="preserve">    Dim failed As String</t>
  </si>
  <si>
    <t xml:space="preserve">    Application.ScreenUpdating = False</t>
  </si>
  <si>
    <t xml:space="preserve">    Application.StatusBar = "Actualizando el cuadro de mando..."</t>
  </si>
  <si>
    <t xml:space="preserve">    Application.Calculate</t>
  </si>
  <si>
    <t xml:space="preserve">    ' Una sola caché alimenta todas las tablas dinámicas; su origen es la tabla tblAttendees,</t>
  </si>
  <si>
    <t xml:space="preserve">    ' así que el refresco incorpora las filas agregadas.</t>
  </si>
  <si>
    <t xml:space="preserve">    RefreshPivotCaches</t>
  </si>
  <si>
    <t xml:space="preserve">    ' Cada terna es: celda objetivo, celda con el valor buscado, celda cambiante.</t>
  </si>
  <si>
    <t xml:space="preserve">    ' Los nombres T7_* no existen en el archivo 1: RunGoalSeekIfDefined los omite sin error.</t>
  </si>
  <si>
    <t xml:space="preserve">    goals = Array("T4_PriceProfit", "T4_TargetCell", "T4_PriceChanging", _</t>
  </si>
  <si>
    <t xml:space="preserve">                  "T4_AttProfit", "T4_TargetCell", "T4_AttChanging", _</t>
  </si>
  <si>
    <t xml:space="preserve">                  "T7_PriceProfit", "T7_TargetCell", "T7_PriceChanging", _</t>
  </si>
  <si>
    <t xml:space="preserve">                  "T7_AttProfit", "T7_TargetCell", "T7_AttChanging")</t>
  </si>
  <si>
    <t xml:space="preserve">    For i = LBound(goals) To UBound(goals) Step 3</t>
  </si>
  <si>
    <t xml:space="preserve">        If Not RunGoalSeekIfDefined(CStr(goals(i)), CStr(goals(i + 1)), CStr(goals(i + 2))) Then</t>
  </si>
  <si>
    <t xml:space="preserve">            If Len(failed) &gt; 0 Then failed = failed &amp; ", "</t>
  </si>
  <si>
    <t xml:space="preserve">            failed = failed &amp; goals(i)</t>
  </si>
  <si>
    <t xml:space="preserve">    ' En cada tablero (la hoja que contiene ptKPI) se refrescan los gráficos y se anota la fecha.</t>
  </si>
  <si>
    <t xml:space="preserve">    For Each ws In ThisWorkbook.Worksheets</t>
  </si>
  <si>
    <t xml:space="preserve">        If SheetHasPivot(ws, KPI_PIVOT_NAME) Then</t>
  </si>
  <si>
    <t xml:space="preserve">            For Each co In ws.ChartObjects</t>
  </si>
  <si>
    <t xml:space="preserve">                co.Chart.Refresh</t>
  </si>
  <si>
    <t xml:space="preserve">            Next co</t>
  </si>
  <si>
    <t xml:space="preserve">            ws.Range(LAST_REFRESH_CELL).Value = Now</t>
  </si>
  <si>
    <t xml:space="preserve">    Next ws</t>
  </si>
  <si>
    <t xml:space="preserve">    msg = "Cuadro de mando actualizado (" &amp; AttendeesTable().ListRows.Count &amp; " registros)."</t>
  </si>
  <si>
    <t xml:space="preserve">    If Len(failed) = 0 Then</t>
  </si>
  <si>
    <t xml:space="preserve">        Notify msg, vbInformation</t>
  </si>
  <si>
    <t xml:space="preserve">        Notify msg &amp; " No convergió: " &amp; failed, vbExclamation</t>
  </si>
  <si>
    <t>ExitHere:</t>
  </si>
  <si>
    <t xml:space="preserve">    Application.StatusBar = False</t>
  </si>
  <si>
    <t xml:space="preserve">    Application.ScreenUpdating = True</t>
  </si>
  <si>
    <t xml:space="preserve">    Notify "No se pudo actualizar el cuadro de mando." &amp; vbCrLf &amp; _</t>
  </si>
  <si>
    <t xml:space="preserve">    Resume ExitHere</t>
  </si>
  <si>
    <t>Public Sub RefreshPivotCaches()</t>
  </si>
  <si>
    <t xml:space="preserve">    ' Refresca la caché de las tablas dinámicas (indicadores, gráficos, segmentaciones y escala de tiempo)</t>
  </si>
  <si>
    <t xml:space="preserve">    ' sin rehacer los Goal Seek. Lo usa RefreshDashboard y el formulario después de cada alta o modificación,</t>
  </si>
  <si>
    <t xml:space="preserve">    ' para que los indicadores del tablero no queden a medias entre el alta y la actualización completa.</t>
  </si>
  <si>
    <t xml:space="preserve">    ' Calcula antes (la columna Registration Month de las filas nuevas) y después (los indicadores con</t>
  </si>
  <si>
    <t xml:space="preserve">    ' GETPIVOTDATA), así funciona también si el usuario tiene Excel en cálculo manual; no cambia el modo de cálculo.</t>
  </si>
  <si>
    <t xml:space="preserve">    Dim pc As PivotCache</t>
  </si>
  <si>
    <t xml:space="preserve">    For Each pc In ThisWorkbook.PivotCaches</t>
  </si>
  <si>
    <t xml:space="preserve">        pc.Refresh</t>
  </si>
  <si>
    <t xml:space="preserve">    Next pc</t>
  </si>
  <si>
    <t>Private Function RunGoalSeekIfDefined(ByVal setName As String, ByVal goalName As String, _</t>
  </si>
  <si>
    <t xml:space="preserve">                                      ByVal changeName As String) As Boolean</t>
  </si>
  <si>
    <t xml:space="preserve">    ' Ejecuta Buscar objetivo si los tres nombres existen; devuelve True si no hay nada que hacer o si converge.</t>
  </si>
  <si>
    <t xml:space="preserve">    ' Parámetros: setName, nombre de la celda objetivo (fórmula); goalName, nombre de la celda con el valor</t>
  </si>
  <si>
    <t xml:space="preserve">    '             buscado; changeName, nombre de la celda cambiante (constante).</t>
  </si>
  <si>
    <t xml:space="preserve">    Dim setCell As Range</t>
  </si>
  <si>
    <t xml:space="preserve">    Dim goalCell As Range</t>
  </si>
  <si>
    <t xml:space="preserve">    Dim changeCell As Range</t>
  </si>
  <si>
    <t xml:space="preserve">    Set setCell = ThisWorkbook.Names(setName).RefersToRange</t>
  </si>
  <si>
    <t xml:space="preserve">    Set goalCell = ThisWorkbook.Names(goalName).RefersToRange</t>
  </si>
  <si>
    <t xml:space="preserve">    Set changeCell = ThisWorkbook.Names(changeName).RefersToRange</t>
  </si>
  <si>
    <t xml:space="preserve">    If setCell Is Nothing Or goalCell Is Nothing Or changeCell Is Nothing Then</t>
  </si>
  <si>
    <t xml:space="preserve">        RunGoalSeekIfDefined = True</t>
  </si>
  <si>
    <t xml:space="preserve">    RunGoalSeekIfDefined = setCell.GoalSeek(Goal:=goalCell.Value, ChangingCell:=changeCell)</t>
  </si>
  <si>
    <t>Private Function SheetHasPivot(ByVal ws As Worksheet, ByVal pivotName As String) As Boolean</t>
  </si>
  <si>
    <t xml:space="preserve">    ' Indica si la hoja contiene una tabla dinámica con ese nombre.</t>
  </si>
  <si>
    <t xml:space="preserve">    ' Se recorre la colección en lugar de pedir ws.PivotTables("nombre"): en una hoja sin esa tabla (como</t>
  </si>
  <si>
    <t xml:space="preserve">    ' ReadMe o Database) el acceso por nombre lanza el error 1004.</t>
  </si>
  <si>
    <t xml:space="preserve">    Dim pt As PivotTable</t>
  </si>
  <si>
    <t xml:space="preserve">    For Each pt In ws.PivotTables</t>
  </si>
  <si>
    <t xml:space="preserve">        If pt.Name = pivotName Then</t>
  </si>
  <si>
    <t xml:space="preserve">            SheetHasPivot = True</t>
  </si>
  <si>
    <t xml:space="preserve">    Next pt</t>
  </si>
  <si>
    <t>AttendeeForm: UserForm (código del formulario; los controles están en el diseñador) (349 líneas)</t>
  </si>
  <si>
    <t>' Formulario:    AttendeeForm</t>
  </si>
  <si>
    <t>' Propósito:     Registrar (Submit) y editar (Fetch y Update) asistentes de la tabla</t>
  </si>
  <si>
    <t>'                tblAttendees, o cerrar sin guardar (Cancel). El formulario solo lee y</t>
  </si>
  <si>
    <t>'                muestra datos; las reglas de validación y la escritura en la tabla</t>
  </si>
  <si>
    <t>'                viven en el módulo modAttendeeData.</t>
  </si>
  <si>
    <t>' Dependencias:  modAttendeeData (AddAttendee, UpdateAttendee, GetAttendee, NextAttendeeID,</t>
  </si>
  <si>
    <t>'                ValidateContact, TryParseISODate, OptionsTable, AttendeesTable, FindAttendeeRow,</t>
  </si>
  <si>
    <t>'                Notify y los mensajes MSG_CHOOSE_*); modDashboard (RefreshPivotCaches).</t>
  </si>
  <si>
    <t>' Controles:     Prefijos lbl (etiqueta), txt (cuadro de texto), cbo (lista desplegable),</t>
  </si>
  <si>
    <t>'                opt (opción), lst (lista) y cmd (botón de comando).</t>
  </si>
  <si>
    <t>Private Const HINT_NEXT_ID As String = "Se propone el siguiente ID libre"</t>
  </si>
  <si>
    <t>Private Const HINT_LOADED_ID As String = "El ID no se puede cambiar"</t>
  </si>
  <si>
    <t>Private Const STATUS_DEFAULT As String = "Para registrar: completar los datos y pulsar Submit. " &amp; _</t>
  </si>
  <si>
    <t xml:space="preserve">    "Para editar: escribir el ID, pulsar Fetch, modificar y pulsar Update."</t>
  </si>
  <si>
    <t>Private Const MSG_DATE_FORMAT As String = "La fecha debe tener el formato aaaa-mm-dd, por ejemplo 2024-11-08."</t>
  </si>
  <si>
    <t>Private mLoadedID As String      ' ID del registro recuperado con Fetch ("" si no hay ninguno)</t>
  </si>
  <si>
    <t>Private mPrices() As Double      ' precios de entrada, en el mismo orden que cboSession y cboTicketPrice</t>
  </si>
  <si>
    <t>Private mSyncing As Boolean      ' True mientras un combo copia su selección al otro (evita el bucle de eventos)</t>
  </si>
  <si>
    <t>' Apertura y estado del formulario</t>
  </si>
  <si>
    <t>Private Sub UserForm_Initialize()</t>
  </si>
  <si>
    <t xml:space="preserve">    ' Se ejecuta al cargar el formulario: fija el tamaño, llena las listas desde la hoja Assumptions y lo deja</t>
  </si>
  <si>
    <t xml:space="preserve">    ' listo para un alta. El tamaño se fija también por código porque asignarlo en el diseñador depende del DPI.</t>
  </si>
  <si>
    <t xml:space="preserve">    Me.Width = 435</t>
  </si>
  <si>
    <t xml:space="preserve">    Me.Height = 400</t>
  </si>
  <si>
    <t xml:space="preserve">    LoadSessionLists</t>
  </si>
  <si>
    <t xml:space="preserve">    LoadDietaryList</t>
  </si>
  <si>
    <t xml:space="preserve">    ResetForNewEntry</t>
  </si>
  <si>
    <t xml:space="preserve">    Notify "Error inesperado " &amp; Err.Number &amp; ": " &amp; Err.Description, vbExclamation</t>
  </si>
  <si>
    <t>Private Sub LoadSessionLists()</t>
  </si>
  <si>
    <t xml:space="preserve">    ' Llena cboSession y cboTicketPrice desde tblTicketPrices en el mismo orden, y guarda los precios</t>
  </si>
  <si>
    <t xml:space="preserve">    ' numéricos en mPrices (el combo de precios solo muestra texto como "300" y el símbolo del euro).</t>
  </si>
  <si>
    <t xml:space="preserve">    Me.cboSession.Clear</t>
  </si>
  <si>
    <t xml:space="preserve">    Me.cboTicketPrice.Clear</t>
  </si>
  <si>
    <t xml:space="preserve">    Set body = OptionsTable("tblTicketPrices").DataBodyRange</t>
  </si>
  <si>
    <t xml:space="preserve">    If body Is Nothing Then Exit Sub</t>
  </si>
  <si>
    <t xml:space="preserve">    ReDim mPrices(1 To body.Rows.Count)</t>
  </si>
  <si>
    <t xml:space="preserve">        mPrices(i) = CDbl(body.Cells(i, 2).Value2)</t>
  </si>
  <si>
    <t xml:space="preserve">        Me.cboSession.AddItem CStr(body.Cells(i, 1).Value2)</t>
  </si>
  <si>
    <t xml:space="preserve">        Me.cboTicketPrice.AddItem Format$(mPrices(i), "#,##0") &amp; " " &amp; ChrW(8364)</t>
  </si>
  <si>
    <t>Private Sub LoadDietaryList()</t>
  </si>
  <si>
    <t xml:space="preserve">    ' Llena lstDietary con las preferencias dietéticas de tblDietaryOptions.</t>
  </si>
  <si>
    <t xml:space="preserve">    Me.lstDietary.Clear</t>
  </si>
  <si>
    <t xml:space="preserve">    Set body = OptionsTable("tblDietaryOptions").DataBodyRange</t>
  </si>
  <si>
    <t xml:space="preserve">        Me.lstDietary.AddItem CStr(body.Cells(i, 1).Value2)</t>
  </si>
  <si>
    <t>Private Sub ClearEntryFields()</t>
  </si>
  <si>
    <t xml:space="preserve">    ' Vacía los campos de datos (todos menos el ID): la fecha queda vacía a propósito, para que quien carga</t>
  </si>
  <si>
    <t xml:space="preserve">    ' un registro la escriba; una fecha propuesta (hoy) caería fuera del resumen mensual histórico.</t>
  </si>
  <si>
    <t xml:space="preserve">    Me.txtName.Value = ""</t>
  </si>
  <si>
    <t xml:space="preserve">    Me.txtEmail.Value = ""</t>
  </si>
  <si>
    <t xml:space="preserve">    Me.txtPhone.Value = ""</t>
  </si>
  <si>
    <t xml:space="preserve">    Me.txtRegistrationDate.Value = ""</t>
  </si>
  <si>
    <t xml:space="preserve">    Me.cboSession.ListIndex = -1</t>
  </si>
  <si>
    <t xml:space="preserve">    Me.optOnline.Value = False</t>
  </si>
  <si>
    <t xml:space="preserve">    Me.optInPerson.Value = False</t>
  </si>
  <si>
    <t xml:space="preserve">    Me.lstDietary.ListIndex = -1</t>
  </si>
  <si>
    <t>Private Sub ResetForNewEntry()</t>
  </si>
  <si>
    <t xml:space="preserve">    ' Prepara el formulario para un alta nuevo: limpia los campos, propone el siguiente ID libre y</t>
  </si>
  <si>
    <t xml:space="preserve">    ' restablece la línea de estado con las instrucciones.</t>
  </si>
  <si>
    <t xml:space="preserve">    mLoadedID = ""</t>
  </si>
  <si>
    <t xml:space="preserve">    ClearEntryFields</t>
  </si>
  <si>
    <t xml:space="preserve">    Me.txtAttendeeID.Value = NextAttendeeID()</t>
  </si>
  <si>
    <t xml:space="preserve">    Me.lblIDHint.Caption = HINT_NEXT_ID</t>
  </si>
  <si>
    <t xml:space="preserve">    Me.lblStatus.Caption = STATUS_DEFAULT</t>
  </si>
  <si>
    <t>Public Sub ShowStatus(ByVal msg As String)</t>
  </si>
  <si>
    <t xml:space="preserve">    ' Muestra un mensaje en la línea de estado (lblStatus). Si no entra completo en las líneas disponibles (por ejemplo,</t>
  </si>
  <si>
    <t xml:space="preserve">    ' un correo de 120 caracteres o la descripción de un error de VBA), lo acorta y lo termina con "...": el cuadro de</t>
  </si>
  <si>
    <t xml:space="preserve">    ' mensaje sí muestra el texto entero. Mide con AutoSize (el alto que necesita el texto al ancho del control) y</t>
  </si>
  <si>
    <t xml:space="preserve">    ' devuelve el control a su tamaño de diseño. Lo llama Notify.</t>
  </si>
  <si>
    <t xml:space="preserve">    Dim shown As String</t>
  </si>
  <si>
    <t xml:space="preserve">    Dim maxHeight As Single</t>
  </si>
  <si>
    <t xml:space="preserve">    Dim designWidth As Single</t>
  </si>
  <si>
    <t xml:space="preserve">    With Me.lblStatus</t>
  </si>
  <si>
    <t xml:space="preserve">        maxHeight = .Height</t>
  </si>
  <si>
    <t xml:space="preserve">        designWidth = .Width</t>
  </si>
  <si>
    <t xml:space="preserve">        shown = msg</t>
  </si>
  <si>
    <t xml:space="preserve">        .Caption = shown</t>
  </si>
  <si>
    <t xml:space="preserve">        .AutoSize = True</t>
  </si>
  <si>
    <t xml:space="preserve">        Do While .Height &gt; maxHeight And Len(shown) &gt; 5</t>
  </si>
  <si>
    <t xml:space="preserve">            shown = RTrim$(Left$(shown, Len(shown) - 5))</t>
  </si>
  <si>
    <t xml:space="preserve">            .Caption = shown &amp; "..."</t>
  </si>
  <si>
    <t xml:space="preserve">        Loop</t>
  </si>
  <si>
    <t xml:space="preserve">        .AutoSize = False</t>
  </si>
  <si>
    <t xml:space="preserve">        .Width = designWidth</t>
  </si>
  <si>
    <t xml:space="preserve">        .Height = maxHeight</t>
  </si>
  <si>
    <t>Private Sub SelectItem(ByVal ctl As Object, ByVal itemText As String)</t>
  </si>
  <si>
    <t xml:space="preserve">    ' Selecciona en un ComboBox o ListBox el elemento con ese texto (sin distinguir mayúsculas);</t>
  </si>
  <si>
    <t xml:space="preserve">    ' si no está en la lista, deja la selección vacía.</t>
  </si>
  <si>
    <t xml:space="preserve">    ctl.ListIndex = -1</t>
  </si>
  <si>
    <t xml:space="preserve">    For i = 0 To ctl.ListCount - 1</t>
  </si>
  <si>
    <t xml:space="preserve">        If StrComp(CStr(ctl.List(i)), itemText, vbTextCompare) = 0 Then</t>
  </si>
  <si>
    <t xml:space="preserve">            ctl.ListIndex = i</t>
  </si>
  <si>
    <t xml:space="preserve">            Exit Sub</t>
  </si>
  <si>
    <t>Private Sub CopySelection(ByVal fromCombo As Object, ByVal toCombo As Object)</t>
  </si>
  <si>
    <t xml:space="preserve">    ' Copia la posición elegida en un combo al otro. Ambas listas tienen el mismo orden (sesión y precio),</t>
  </si>
  <si>
    <t xml:space="preserve">    ' así que la posición basta. mSyncing evita que el cambio del destino vuelva a disparar la copia.</t>
  </si>
  <si>
    <t xml:space="preserve">    If mSyncing Then Exit Sub</t>
  </si>
  <si>
    <t xml:space="preserve">    mSyncing = True</t>
  </si>
  <si>
    <t xml:space="preserve">    On Error GoTo ExitHere</t>
  </si>
  <si>
    <t xml:space="preserve">    toCombo.ListIndex = fromCombo.ListIndex</t>
  </si>
  <si>
    <t xml:space="preserve">    mSyncing = False</t>
  </si>
  <si>
    <t>Private Sub cboSession_Change()</t>
  </si>
  <si>
    <t xml:space="preserve">    ' Al elegir la sesión, el precio de entrada se ajusta a la misma posición.</t>
  </si>
  <si>
    <t xml:space="preserve">    CopySelection Me.cboSession, Me.cboTicketPrice</t>
  </si>
  <si>
    <t>Private Sub cboTicketPrice_Change()</t>
  </si>
  <si>
    <t xml:space="preserve">    ' Al elegir el precio, la sesión se ajusta a la misma posición (sincronización en los dos sentidos).</t>
  </si>
  <si>
    <t xml:space="preserve">    CopySelection Me.cboTicketPrice, Me.cboSession</t>
  </si>
  <si>
    <t>' Lectura de los controles</t>
  </si>
  <si>
    <t>Private Function ReadForm(ByRef attendeeID As String, ByRef fullName As String, ByRef email As String, _</t>
  </si>
  <si>
    <t xml:space="preserve">                          ByRef phone As String, ByRef attendanceType As String, ByRef session As String, _</t>
  </si>
  <si>
    <t xml:space="preserve">                          ByRef ticketPrice As Double, ByRef regDate As Date, ByRef dietary As String) As String</t>
  </si>
  <si>
    <t xml:space="preserve">    ' Lee y recorta los controles y exige, en el orden en que se ven en pantalla: ID, nombre, correo y teléfono</t>
  </si>
  <si>
    <t xml:space="preserve">    ' (ValidateContact); después sesión, modalidad, dieta y fecha. El precio se toma recién cuando hay sesión</t>
  </si>
  <si>
    <t xml:space="preserve">    ' (sin sesión no hay posición válida en mPrices).</t>
  </si>
  <si>
    <t xml:space="preserve">    ' Parámetros (salida): los nueve datos del asistente.</t>
  </si>
  <si>
    <t xml:space="preserve">    ' Devuelve: "" si se pudo leer todo; si no, el mensaje del primer dato que falta o no es válido.</t>
  </si>
  <si>
    <t xml:space="preserve">    attendeeID = UCase$(Trim$(Me.txtAttendeeID.Value))</t>
  </si>
  <si>
    <t xml:space="preserve">    fullName = Trim$(Me.txtName.Value)</t>
  </si>
  <si>
    <t xml:space="preserve">    email = Trim$(Me.txtEmail.Value)</t>
  </si>
  <si>
    <t xml:space="preserve">    phone = Trim$(Me.txtPhone.Value)</t>
  </si>
  <si>
    <t xml:space="preserve">    ReadForm = ValidateContact(attendeeID, fullName, email, phone)</t>
  </si>
  <si>
    <t xml:space="preserve">    If Len(ReadForm) &gt; 0 Then Exit Function</t>
  </si>
  <si>
    <t xml:space="preserve">    If Me.cboSession.ListIndex &lt; 0 Then</t>
  </si>
  <si>
    <t xml:space="preserve">        ReadForm = MSG_CHOOSE_SESSION</t>
  </si>
  <si>
    <t xml:space="preserve">    session = Me.cboSession.List(Me.cboSession.ListIndex)</t>
  </si>
  <si>
    <t xml:space="preserve">    If Me.optOnline.Value Then</t>
  </si>
  <si>
    <t xml:space="preserve">        attendanceType = Me.optOnline.Caption</t>
  </si>
  <si>
    <t xml:space="preserve">    ElseIf Me.optInPerson.Value Then</t>
  </si>
  <si>
    <t xml:space="preserve">        attendanceType = Me.optInPerson.Caption</t>
  </si>
  <si>
    <t xml:space="preserve">        ReadForm = MSG_CHOOSE_ATTENDANCE</t>
  </si>
  <si>
    <t xml:space="preserve">    If Me.lstDietary.ListIndex &lt; 0 Then</t>
  </si>
  <si>
    <t xml:space="preserve">        ReadForm = MSG_CHOOSE_DIETARY</t>
  </si>
  <si>
    <t xml:space="preserve">    dietary = Me.lstDietary.List(Me.lstDietary.ListIndex)</t>
  </si>
  <si>
    <t xml:space="preserve">    If Not TryParseISODate(Me.txtRegistrationDate.Value, regDate) Then</t>
  </si>
  <si>
    <t xml:space="preserve">        ReadForm = MSG_DATE_FORMAT</t>
  </si>
  <si>
    <t xml:space="preserve">    ticketPrice = mPrices(Me.cboSession.ListIndex + 1)          ' el precio ocupa la misma posición que la sesión</t>
  </si>
  <si>
    <t>' Acciones (los botones llaman a estos procedimientos)</t>
  </si>
  <si>
    <t>Public Sub DoSubmit()</t>
  </si>
  <si>
    <t xml:space="preserve">    ' Alta de un asistente nuevo con los datos del formulario. Es público (y lo llama cmdSubmit_Click)</t>
  </si>
  <si>
    <t xml:space="preserve">    ' para poder probarlo sin hacer clic.</t>
  </si>
  <si>
    <t xml:space="preserve">    Dim attendeeID As String, fullName As String, email As String, phone As String</t>
  </si>
  <si>
    <t xml:space="preserve">    Dim attendanceType As String, session As String, dietary As String</t>
  </si>
  <si>
    <t xml:space="preserve">    Dim ticketPrice As Double</t>
  </si>
  <si>
    <t xml:space="preserve">    Dim regDate As Date</t>
  </si>
  <si>
    <t xml:space="preserve">    Dim sheetRow As Long</t>
  </si>
  <si>
    <t xml:space="preserve">    msg = ReadForm(attendeeID, fullName, email, phone, attendanceType, session, ticketPrice, regDate, dietary)</t>
  </si>
  <si>
    <t xml:space="preserve">    If Len(msg) = 0 Then</t>
  </si>
  <si>
    <t xml:space="preserve">        msg = AddAttendee(attendeeID, fullName, email, phone, attendanceType, session, ticketPrice, regDate, dietary)</t>
  </si>
  <si>
    <t xml:space="preserve">        Notify msg, vbExclamation</t>
  </si>
  <si>
    <t xml:space="preserve">        Exit Sub</t>
  </si>
  <si>
    <t xml:space="preserve">    ' El registro ya está guardado: si el refresco del tablero fallara, no debe ocultar el alta.</t>
  </si>
  <si>
    <t xml:space="preserve">    ' La fila de la hoja es el encabezado de la tabla más la posición del registro dentro del cuerpo.</t>
  </si>
  <si>
    <t xml:space="preserve">    sheetRow = AttendeesTable().HeaderRowRange.Row + FindAttendeeRow(attendeeID)</t>
  </si>
  <si>
    <t xml:space="preserve">    msg = "Asistente " &amp; attendeeID &amp; " registrado en la fila " &amp; sheetRow &amp; " de la hoja Database. " &amp; _</t>
  </si>
  <si>
    <t xml:space="preserve">          "El tablero ya lo incluye; pulsar Actualizar Cuadro de Mando para rehacer los Goal Seek."</t>
  </si>
  <si>
    <t xml:space="preserve">    Notify msg                      ' después de limpiar, para que la confirmación quede en la línea de estado</t>
  </si>
  <si>
    <t>Public Sub DoFetch()</t>
  </si>
  <si>
    <t xml:space="preserve">    ' Recupera el asistente del ID escrito y carga sus datos en los controles. Es público (y lo llama</t>
  </si>
  <si>
    <t xml:space="preserve">    ' cmdFetch_Click) para poder probarlo sin hacer clic.</t>
  </si>
  <si>
    <t xml:space="preserve">    Dim attendeeID As String</t>
  </si>
  <si>
    <t xml:space="preserve">    Dim data As Variant</t>
  </si>
  <si>
    <t xml:space="preserve">    If Len(attendeeID) = 0 Then</t>
  </si>
  <si>
    <t xml:space="preserve">        Notify "Escribir el ID del asistente a buscar y pulsar Fetch.", vbExclamation</t>
  </si>
  <si>
    <t xml:space="preserve">    data = GetAttendee(attendeeID)</t>
  </si>
  <si>
    <t xml:space="preserve">    If IsEmpty(data) Then</t>
  </si>
  <si>
    <t xml:space="preserve">        mLoadedID = ""</t>
  </si>
  <si>
    <t xml:space="preserve">        ClearEntryFields</t>
  </si>
  <si>
    <t xml:space="preserve">        Me.lblIDHint.Caption = HINT_NEXT_ID</t>
  </si>
  <si>
    <t xml:space="preserve">        Notify "No existe un asistente con el ID " &amp; attendeeID &amp; ".", vbExclamation</t>
  </si>
  <si>
    <t xml:space="preserve">    Me.txtAttendeeID.Value = data(1)</t>
  </si>
  <si>
    <t xml:space="preserve">    Me.txtName.Value = data(2)</t>
  </si>
  <si>
    <t xml:space="preserve">    Me.txtEmail.Value = data(3)</t>
  </si>
  <si>
    <t xml:space="preserve">    Me.txtPhone.Value = data(4)</t>
  </si>
  <si>
    <t xml:space="preserve">    Me.optOnline.Value = (StrComp(CStr(data(5)), Me.optOnline.Caption, vbTextCompare) = 0)</t>
  </si>
  <si>
    <t xml:space="preserve">    Me.optInPerson.Value = (StrComp(CStr(data(5)), Me.optInPerson.Caption, vbTextCompare) = 0)</t>
  </si>
  <si>
    <t xml:space="preserve">    SelectItem Me.cboSession, CStr(data(6))              ' el cambio del combo ajusta también el precio</t>
  </si>
  <si>
    <t xml:space="preserve">    Me.txtRegistrationDate.Value = Format$(data(8), "yyyy-mm-dd")</t>
  </si>
  <si>
    <t xml:space="preserve">    SelectItem Me.lstDietary, CStr(data(9))</t>
  </si>
  <si>
    <t xml:space="preserve">    mLoadedID = CStr(data(1))</t>
  </si>
  <si>
    <t xml:space="preserve">    Me.lblIDHint.Caption = HINT_LOADED_ID</t>
  </si>
  <si>
    <t xml:space="preserve">    ' Aviso discreto: solo la línea de estado, sin ventana emergente en cada consulta correcta.</t>
  </si>
  <si>
    <t xml:space="preserve">    ShowStatus "Registro " &amp; mLoadedID &amp; " cargado. Modificar los datos y pulsar Update para guardar."</t>
  </si>
  <si>
    <t>Public Sub DoUpdate()</t>
  </si>
  <si>
    <t xml:space="preserve">    ' Guarda los cambios del asistente recuperado con Fetch. Es público (y lo llama cmdUpdate_Click)</t>
  </si>
  <si>
    <t xml:space="preserve">    ' Solo se actualiza un registro recuperado y con el mismo ID: el ID es la clave y no se edita.</t>
  </si>
  <si>
    <t xml:space="preserve">    If Len(mLoadedID) = 0 Or StrComp(Trim$(Me.txtAttendeeID.Value), mLoadedID, vbTextCompare) &lt;&gt; 0 Then</t>
  </si>
  <si>
    <t xml:space="preserve">        Notify "Primero recuperar el registro con Fetch. El ID no puede cambiarse al actualizar.", vbExclamation</t>
  </si>
  <si>
    <t xml:space="preserve">        msg = UpdateAttendee(attendeeID, fullName, email, phone, attendanceType, session, ticketPrice, regDate, dietary)</t>
  </si>
  <si>
    <t xml:space="preserve">    ' El registro ya está guardado: si el refresco del tablero fallara, no debe ocultar el cambio.</t>
  </si>
  <si>
    <t xml:space="preserve">    Notify "Asistente " &amp; attendeeID &amp; " actualizado."</t>
  </si>
  <si>
    <t>' Eventos de los botones (delgados: solo delegan)</t>
  </si>
  <si>
    <t>Private Sub cmdSubmit_Click()</t>
  </si>
  <si>
    <t xml:space="preserve">    ' Botón Submit: delega en DoSubmit (público para poder probarlo sin hacer clic).</t>
  </si>
  <si>
    <t xml:space="preserve">    DoSubmit</t>
  </si>
  <si>
    <t>Private Sub cmdFetch_Click()</t>
  </si>
  <si>
    <t xml:space="preserve">    ' Botón Fetch: delega en DoFetch (público para poder probarlo sin hacer clic).</t>
  </si>
  <si>
    <t xml:space="preserve">    DoFetch</t>
  </si>
  <si>
    <t>Private Sub cmdUpdate_Click()</t>
  </si>
  <si>
    <t xml:space="preserve">    ' Botón Update: delega en DoUpdate (público para poder probarlo sin hacer clic).</t>
  </si>
  <si>
    <t xml:space="preserve">    DoUpdate</t>
  </si>
  <si>
    <t>Private Sub cmdCancel_Click()</t>
  </si>
  <si>
    <t xml:space="preserve">    ' Botón Cancel (también Esc): cierra el formulario sin escribir nada en la tabla.</t>
  </si>
  <si>
    <t xml:space="preserve">    Unload Me</t>
  </si>
  <si>
    <t>Herramienta integral de gestión de eventos: Tech Innovators Summit</t>
  </si>
  <si>
    <t>Proyecto acumulativo del Certificado Profesional de Microsoft Excel (Coursera). Autor: Lucas Barbuto.</t>
  </si>
  <si>
    <t>Archivo 2 de 2: Tarea 7. Incluye todas las hojas del archivo 1 y la hoja Cuadro de Mando Actualizado.</t>
  </si>
  <si>
    <t>English summary</t>
  </si>
  <si>
    <t>Purpose</t>
  </si>
  <si>
    <t>Event management tool for the Tech Innovators Summit (Microsoft Excel Professional Certificate, Coursera), by Lucas Barbuto. File 2 of 2: Task 7, plus every sheet of file 1.</t>
  </si>
  <si>
    <t>Sheet map</t>
  </si>
  <si>
    <t>ReadMe = guide; Database = attendees (Task 1); Assumptions = budget inputs and form lists; Proyecciones = Projections (Tasks 3 and 4); Cuadro de mando del evento = Event dashboard (Tasks 5 and 6); Cuadro de Mando Actualizado = Updated dashboard, budget challenge (Task 7); Código VBA = read-only copy of the VBA code.</t>
  </si>
  <si>
    <t>How to use</t>
  </si>
  <si>
    <t>Enable macros when prompted (if the file is blocked: Properties in Windows, Unblock). Filter each dashboard with its timeline and slicers; the Actualizar Cuadro de Mando button refreshes both and reruns every Goal Seek; Registrar o editar asistente opens the form (desktop Excel only). Rubric map: see the table below.</t>
  </si>
  <si>
    <t>Cómo usar el libro</t>
  </si>
  <si>
    <t>Paso 1</t>
  </si>
  <si>
    <t>Habilitar el contenido (macros) al abrir. Si Excel indica que las macros están bloqueadas, cerrar el archivo, abrir sus Propiedades en Windows, marcar Desbloquear y volver a abrirlo.</t>
  </si>
  <si>
    <t>Paso 2</t>
  </si>
  <si>
    <t>Cuadro de mando del evento: filtrar con la escala de tiempo y las segmentaciones. El botón Actualizar Cuadro de Mando refresca las tablas dinámicas y los gráficos y vuelve a ejecutar los Goal Seek.</t>
  </si>
  <si>
    <t>Paso 3</t>
  </si>
  <si>
    <t>Registrar o editar asistentes: botón Registrar o editar asistente (en Database y en el cuadro de mando). Submit agrega, Fetch recupera por ID, Update guarda los cambios y Cancel cierra sin guardar. El formulario requiere Excel de escritorio para Windows.</t>
  </si>
  <si>
    <t>Paso 4</t>
  </si>
  <si>
    <t>Cuadro de Mando Actualizado: los supuestos del escenario son las celdas de fondo ámbar G52 a G54. Al cambiarlas, pulsar Actualizar Cuadro de Mando para rehacer el Goal Seek.</t>
  </si>
  <si>
    <t>Hojas del libro y criterios de la rúbrica</t>
  </si>
  <si>
    <t>Hoja</t>
  </si>
  <si>
    <t>Qué contiene</t>
  </si>
  <si>
    <t>Criterio de la rúbrica</t>
  </si>
  <si>
    <t>Database</t>
  </si>
  <si>
    <t>Tabla tblAttendees: 100 asistentes con ID, nombre, correo, teléfono, tipo de asistencia, sesión, precio de entrada, fecha de registro y preferencia dietética (Tarea 1).</t>
  </si>
  <si>
    <t>Completar el conjunto de datos</t>
  </si>
  <si>
    <t>Assumptions</t>
  </si>
  <si>
    <t>Supuestos originales (beneficio objetivo, marketing y costos operativos en C2, C4 y C6) y listas agregadas para el formulario y la validación de datos.</t>
  </si>
  <si>
    <t>Proyecciones</t>
  </si>
  <si>
    <t>Resumen mensual de inscripciones y venta de entradas, previsión de 12 meses con FORECAST.ETS (intervalo de confianza, contrastes y validación) y Goal Seek de precio medio y asistentes (Tareas 3 y 4).</t>
  </si>
  <si>
    <t>Resúmenes mensuales (sección 1). Aplicación de previsiones (sección 2). Goal Seek de la Tarea 4 (sección 3).</t>
  </si>
  <si>
    <t>Cuadro de mando del evento</t>
  </si>
  <si>
    <t>Indicadores, tres gráficos dinámicos, dos segmentaciones y una escala de tiempo conectadas a todas las tablas dinámicas, panel de planificación y botón de actualización (Tareas 5 y 6).</t>
  </si>
  <si>
    <t>Tablero original, base del escenario de la Tarea 7 (actualización del tablero).</t>
  </si>
  <si>
    <t>Cuadro de Mando Actualizado</t>
  </si>
  <si>
    <t>Copia del cuadro de mando con el escenario de desafío presupuestario (Tarea 7): supuestos propios, Goal Seek local del precio medio y de los asistentes, y precios de entrada por sesión alineados al objetivo (filas 66 a 71). El nombre de la hoja se abrevió porque Excel admite hasta 31 caracteres; el título completo está en la cabecera.</t>
  </si>
  <si>
    <t>Ajuste del presupuesto y actualización del tablero: panel de planificación y modelo de Goal Seek.</t>
  </si>
  <si>
    <t>Copia de lectura del código de AttendeeForm, modAttendeeData y modDashboard, para quien no pueda abrir el editor de VBA (Alt+F11). Se genera desde el código que contiene el libro.</t>
  </si>
  <si>
    <t>Funcionalidad del código VBA</t>
  </si>
  <si>
    <t>AttendeeForm (VBA)</t>
  </si>
  <si>
    <t>Formulario de registro y edición de asistentes. Se abre con el botón Registrar o editar asistente o con Alt+F11.</t>
  </si>
  <si>
    <t>Diseño del formulario de usuario</t>
  </si>
  <si>
    <t>modAttendeeData y modDashboard (VBA)</t>
  </si>
  <si>
    <t>Validación, búsqueda por ID, alta y modificación de registros (modAttendeeData) y la macro RefreshDashboard del botón Actualizar Cuadro de Mando (modDashboard). Todo el código está comentado.</t>
  </si>
  <si>
    <t>Datos y supuestos</t>
  </si>
  <si>
    <t>(a) Encabezado agregado</t>
  </si>
  <si>
    <t>La celda A1 de Database venía vacía y se tituló Attendee ID.</t>
  </si>
  <si>
    <t>(b) Preferencia dietética</t>
  </si>
  <si>
    <t>Columna I: el dataset no la traía y el formulario la necesita. Es un dato sintético agregado para completar el conjunto: 30 Vegetarian, 28 Non-Vegetarian, 21 Gluten-Free y 21 Vegan (la distribución del dataset Conference del mismo curso), asignados al azar con semilla fija 20241109 para que el resultado sea reproducible.</t>
  </si>
  <si>
    <t>(c) Registration Month</t>
  </si>
  <si>
    <t>Columna J: columna calculada con el primer día del mes de la fecha de registro; agrupa el gráfico mensual y no se carga a mano.</t>
  </si>
  <si>
    <t>(d) Precio de entrada</t>
  </si>
  <si>
    <t>Depende sólo de la sesión (Cybersecurity 300 €, Data Analytics 450 €, Artificial Intelligence 700 €); el formulario lo completa al elegir la sesión.</t>
  </si>
  <si>
    <t>(e) Meses parciales</t>
  </si>
  <si>
    <t>Noviembre de 2022 empieza el día 13 y noviembre de 2024 termina el día 9. Se muestran en el resumen, pero la previsión se entrena con los 23 meses completos (diciembre de 2022 a octubre de 2024). Las altas posteriores a noviembre de 2024 se suman al cuadro de mando, pero no al resumen histórico.</t>
  </si>
  <si>
    <t>(f) Previsión</t>
  </si>
  <si>
    <t>FORECAST.ETS con detección automática de estacionalidad e intervalo de confianza del 95 %, los mismos valores por defecto de la Hoja de pronóstico. Excel no detecta un ciclo estable con menos de dos años completos y la validación fuera de muestra no mejora con estacionalidad 12; ambos contrastes están en Proyecciones.</t>
  </si>
  <si>
    <t>(g) Asistencia prevista</t>
  </si>
  <si>
    <t>Suma de la previsión de noviembre de 2024 a octubre de 2025 (el ciclo de inscripción del próximo evento), redondeada; cada inscripción cuenta como un asistente. En Proyecciones, sección 3, una tabla de sensibilidad muestra el precio necesario con otras bases de asistencia (por ejemplo, las 100 inscripciones históricas).</t>
  </si>
  <si>
    <t>(h) Beneficio del cuadro de mando</t>
  </si>
  <si>
    <t>Ingresos de la selección menos los costos de marketing y operativos prorrateados por asistente; sin filtros coincide con ingresos menos costos totales. No es el beneficio previsto del próximo evento: ese está en el panel de planificación (M51).</t>
  </si>
  <si>
    <t>(i) Goal Seek</t>
  </si>
  <si>
    <t>Buscar objetivo escribe el valor de las celdas cambiantes (fondo azul claro); la fila Comprobación lo contrasta con la fórmula cerrada. El botón Actualizar Cuadro de Mando lo recalcula si cambian los datos.</t>
  </si>
  <si>
    <t>(j) Beneficio objetivo de la Tarea 7</t>
  </si>
  <si>
    <t>La consigna dice «100.00 euros»; se interpreta como cien mil euros (100000 €). Los supuestos del escenario están en la hoja Cuadro de Mando Actualizado (G52 a G54); Assumptions conserva los valores originales.</t>
  </si>
  <si>
    <t>AttendeeForm</t>
  </si>
  <si>
    <t>Controles, lectura de pantalla y botones Submit, Fetch, Update y Cancel.</t>
  </si>
  <si>
    <t>modAttendeeData</t>
  </si>
  <si>
    <t>Validación, búsqueda por ID, alta y modificación de registros en tblAttendees.</t>
  </si>
  <si>
    <t>modDashboard</t>
  </si>
  <si>
    <t>RefreshDashboard, la macro del botón Actualizar Cuadro de Mando.</t>
  </si>
  <si>
    <t>Vista del formulario</t>
  </si>
  <si>
    <t>Vista del formulario AttendeeForm durante un alta nueva (datos de ejemplo ficticios).</t>
  </si>
  <si>
    <t>Colores</t>
  </si>
  <si>
    <t>Código de colores</t>
  </si>
  <si>
    <t>Fondo ámbar: supuesto editable. Fondo azul claro: valor escrito por Goal Seek. Fondo verde agua: resultado clave de la previsión. El resto son fórmulas.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</si>
</sst>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yyyy\-mm\-dd"/>
    <numFmt numFmtId="165" formatCode="_-* #,##0_-;\-* #,##0_-;_-* &quot;-&quot;??_-;_-@"/>
    <numFmt numFmtId="166" formatCode="mmm\ yyyy"/>
    <numFmt numFmtId="167" formatCode="#,##0\ &quot;€&quot;"/>
    <numFmt numFmtId="168" formatCode="#,##0.00\ &quot;€&quot;"/>
    <numFmt numFmtId="169" formatCode="0.0"/>
    <numFmt numFmtId="170" formatCode="0.000"/>
    <numFmt numFmtId="171" formatCode="0.000000"/>
    <numFmt numFmtId="172" formatCode="0.0%"/>
    <numFmt numFmtId="173" formatCode="yyyy/mm/dd\ hh:mm"/>
  </numFmts>
  <fonts count="40" x14ac:knownFonts="1">
    <font>
      <sz val="11"/>
      <color theme="1"/>
      <name val="Calibri"/>
      <scheme val="minor"/>
    </font>
    <font>
      <b/>
      <sz val="11"/>
      <color theme="1"/>
      <name val="Calibri"/>
      <family val="2"/>
    </font>
    <font>
      <sz val="11"/>
      <color theme="1"/>
      <name val="Calibri"/>
      <family val="2"/>
      <scheme val="minor"/>
    </font>
    <font>
      <sz val="11"/>
      <color theme="1"/>
      <name val="Calibri"/>
      <family val="2"/>
    </font>
    <font>
      <b/>
      <sz val="11"/>
      <color theme="1"/>
      <name val="Calibri"/>
      <family val="2"/>
      <scheme val="minor"/>
    </font>
    <font>
      <sz val="10"/>
      <color theme="1"/>
      <name val="Segoe UI"/>
      <family val="2"/>
    </font>
    <font>
      <b/>
      <sz val="10"/>
      <color rgb="FF475569"/>
      <name val="Segoe UI"/>
      <family val="2"/>
    </font>
    <font>
      <i/>
      <sz val="9"/>
      <color rgb="FF475569"/>
      <name val="Segoe UI"/>
      <family val="2"/>
    </font>
    <font>
      <sz val="10"/>
      <color rgb="FF1E293B"/>
      <name val="Segoe UI"/>
      <family val="2"/>
    </font>
    <font>
      <b/>
      <sz val="16"/>
      <color rgb="FF1E3A8A"/>
      <name val="Segoe UI"/>
      <family val="2"/>
    </font>
    <font>
      <b/>
      <sz val="12"/>
      <color rgb="FF1E293B"/>
      <name val="Segoe UI"/>
      <family val="2"/>
    </font>
    <font>
      <b/>
      <sz val="12"/>
      <color rgb="FF1E3A8A"/>
      <name val="Segoe UI"/>
      <family val="2"/>
    </font>
    <font>
      <b/>
      <sz val="10"/>
      <color rgb="FF1E293B"/>
      <name val="Segoe UI"/>
      <family val="2"/>
    </font>
    <font>
      <b/>
      <sz val="10"/>
      <color rgb="FF1E3A8A"/>
      <name val="Segoe UI"/>
      <family val="2"/>
    </font>
    <font>
      <i/>
      <sz val="10"/>
      <color rgb="FF64748B"/>
      <name val="Segoe UI"/>
      <family val="2"/>
    </font>
    <font>
      <sz val="10"/>
      <color rgb="FF475569"/>
      <name val="Segoe UI"/>
      <family val="2"/>
    </font>
    <font>
      <sz val="10"/>
      <color rgb="FF64748B"/>
      <name val="Segoe UI"/>
      <family val="2"/>
    </font>
    <font>
      <b/>
      <sz val="12"/>
      <color rgb="FF0F766E"/>
      <name val="Segoe UI"/>
      <family val="2"/>
    </font>
    <font>
      <b/>
      <sz val="11"/>
      <color rgb="FF1E3A8A"/>
      <name val="Segoe UI"/>
      <family val="2"/>
    </font>
    <font>
      <b/>
      <sz val="10"/>
      <color rgb="FF0F766E"/>
      <name val="Segoe UI"/>
      <family val="2"/>
    </font>
    <font>
      <b/>
      <sz val="20"/>
      <color rgb="FFFFFFFF"/>
      <name val="Segoe UI"/>
      <family val="2"/>
    </font>
    <font>
      <sz val="10"/>
      <color rgb="FFDBEAFE"/>
      <name val="Segoe UI"/>
      <family val="2"/>
    </font>
    <font>
      <sz val="9"/>
      <color rgb="FF475569"/>
      <name val="Segoe UI"/>
      <family val="2"/>
    </font>
    <font>
      <i/>
      <sz val="9"/>
      <color rgb="FF64748B"/>
      <name val="Segoe UI"/>
      <family val="2"/>
    </font>
    <font>
      <sz val="10"/>
      <color rgb="FF475569"/>
      <name val="Calibri"/>
      <family val="2"/>
      <scheme val="minor"/>
    </font>
    <font>
      <b/>
      <sz val="24"/>
      <color rgb="FF0F766E"/>
      <name val="Segoe UI"/>
      <family val="2"/>
    </font>
    <font>
      <b/>
      <sz val="24"/>
      <color rgb="FF1E40AF"/>
      <name val="Segoe UI"/>
      <family val="2"/>
    </font>
    <font>
      <b/>
      <sz val="24"/>
      <color rgb="FFB45309"/>
      <name val="Segoe UI"/>
      <family val="2"/>
    </font>
    <font>
      <b/>
      <sz val="12"/>
      <color rgb="FF1E40AF"/>
      <name val="Segoe UI"/>
      <family val="2"/>
    </font>
    <font>
      <u/>
      <sz val="11"/>
      <color theme="10"/>
      <name val="Calibri"/>
      <family val="2"/>
      <scheme val="minor"/>
    </font>
    <font>
      <b/>
      <u/>
      <sz val="10"/>
      <color rgb="FF1E40AF"/>
      <name val="Segoe UI"/>
      <family val="2"/>
    </font>
    <font>
      <b/>
      <sz val="10"/>
      <color rgb="FF000000"/>
      <name val="Segoe UI"/>
      <family val="2"/>
    </font>
    <font>
      <b/>
      <sz val="9"/>
      <color indexed="81"/>
      <name val="Tahoma"/>
      <family val="2"/>
    </font>
    <font>
      <sz val="10"/>
      <color rgb="FFFEF3C7"/>
      <name val="Segoe UI"/>
      <family val="2"/>
    </font>
    <font>
      <b/>
      <sz val="10"/>
      <color rgb="FF92400E"/>
      <name val="Segoe UI"/>
      <family val="2"/>
    </font>
    <font>
      <b/>
      <sz val="10"/>
      <color rgb="FF1E40AF"/>
      <name val="Segoe UI"/>
      <family val="2"/>
    </font>
    <font>
      <b/>
      <sz val="14"/>
      <color rgb="FF1E3A8A"/>
      <name val="Segoe UI"/>
      <family val="2"/>
    </font>
    <font>
      <sz val="9"/>
      <color rgb="FF1E293B"/>
      <name val="Consolas"/>
      <family val="3"/>
    </font>
    <font>
      <b/>
      <sz val="18"/>
      <color rgb="FF1E3A8A"/>
      <name val="Segoe UI"/>
      <family val="2"/>
    </font>
    <font>
      <i/>
      <sz val="10"/>
      <color rgb="FF475569"/>
      <name val="Segoe UI"/>
      <family val="2"/>
    </font>
  </fonts>
  <fills count="9">
    <fill>
      <patternFill patternType="none"/>
    </fill>
    <fill>
      <patternFill patternType="gray125"/>
    </fill>
    <fill>
      <patternFill patternType="solid">
        <fgColor rgb="FFDBEAFE"/>
        <bgColor indexed="64"/>
      </patternFill>
    </fill>
    <fill>
      <patternFill patternType="solid">
        <fgColor rgb="FFCCFBF1"/>
        <bgColor indexed="64"/>
      </patternFill>
    </fill>
    <fill>
      <patternFill patternType="solid">
        <fgColor rgb="FFF8FAFC"/>
        <bgColor indexed="64"/>
      </patternFill>
    </fill>
    <fill>
      <patternFill patternType="solid">
        <fgColor rgb="FF1E3A8A"/>
        <bgColor indexed="64"/>
      </patternFill>
    </fill>
    <fill>
      <patternFill patternType="solid">
        <fgColor rgb="FFFFFFFF"/>
        <bgColor indexed="64"/>
      </patternFill>
    </fill>
    <fill>
      <patternFill patternType="solid">
        <fgColor rgb="FF92400E"/>
        <bgColor indexed="64"/>
      </patternFill>
    </fill>
    <fill>
      <patternFill patternType="solid">
        <fgColor rgb="FFFEF3C7"/>
        <bgColor indexed="64"/>
      </patternFill>
    </fill>
  </fills>
  <borders count="43">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E2E8F0"/>
      </top>
      <bottom/>
      <diagonal/>
    </border>
    <border>
      <left style="thin">
        <color rgb="FFE2E8F0"/>
      </left>
      <right style="thin">
        <color rgb="FFE2E8F0"/>
      </right>
      <top style="thin">
        <color rgb="FFE2E8F0"/>
      </top>
      <bottom style="thin">
        <color rgb="FFE2E8F0"/>
      </bottom>
      <diagonal/>
    </border>
    <border>
      <left style="thin">
        <color rgb="FFE2E8F0"/>
      </left>
      <right style="thin">
        <color rgb="FFE2E8F0"/>
      </right>
      <top style="thin">
        <color rgb="FFE2E8F0"/>
      </top>
      <bottom/>
      <diagonal/>
    </border>
    <border>
      <left style="thin">
        <color rgb="FFE2E8F0"/>
      </left>
      <right style="thin">
        <color rgb="FFE2E8F0"/>
      </right>
      <top/>
      <bottom style="thin">
        <color rgb="FFE2E8F0"/>
      </bottom>
      <diagonal/>
    </border>
    <border>
      <left style="thin">
        <color rgb="FFE2E8F0"/>
      </left>
      <right style="thin">
        <color rgb="FFE2E8F0"/>
      </right>
      <top style="thin">
        <color rgb="FF64748B"/>
      </top>
      <bottom style="thin">
        <color rgb="FFE2E8F0"/>
      </bottom>
      <diagonal/>
    </border>
    <border>
      <left style="thin">
        <color rgb="FFE2E8F0"/>
      </left>
      <right style="thin">
        <color rgb="FFE2E8F0"/>
      </right>
      <top style="thin">
        <color rgb="FF64748B"/>
      </top>
      <bottom/>
      <diagonal/>
    </border>
    <border>
      <left style="thin">
        <color rgb="FFE2E8F0"/>
      </left>
      <right/>
      <top style="thin">
        <color rgb="FFE2E8F0"/>
      </top>
      <bottom style="thin">
        <color rgb="FFE2E8F0"/>
      </bottom>
      <diagonal/>
    </border>
    <border>
      <left/>
      <right/>
      <top style="thin">
        <color rgb="FFE2E8F0"/>
      </top>
      <bottom style="thin">
        <color rgb="FFE2E8F0"/>
      </bottom>
      <diagonal/>
    </border>
    <border>
      <left style="thin">
        <color rgb="FFE2E8F0"/>
      </left>
      <right/>
      <top/>
      <bottom/>
      <diagonal/>
    </border>
    <border>
      <left style="thin">
        <color rgb="FFE2E8F0"/>
      </left>
      <right/>
      <top style="thin">
        <color rgb="FFE2E8F0"/>
      </top>
      <bottom/>
      <diagonal/>
    </border>
    <border>
      <left style="thin">
        <color rgb="FFE2E8F0"/>
      </left>
      <right/>
      <top/>
      <bottom style="thin">
        <color rgb="FFE2E8F0"/>
      </bottom>
      <diagonal/>
    </border>
    <border>
      <left/>
      <right/>
      <top/>
      <bottom style="thin">
        <color rgb="FFE2E8F0"/>
      </bottom>
      <diagonal/>
    </border>
    <border>
      <left/>
      <right style="thin">
        <color rgb="FFE2E8F0"/>
      </right>
      <top style="thin">
        <color rgb="FFE2E8F0"/>
      </top>
      <bottom/>
      <diagonal/>
    </border>
    <border>
      <left/>
      <right style="thin">
        <color rgb="FFE2E8F0"/>
      </right>
      <top/>
      <bottom/>
      <diagonal/>
    </border>
    <border>
      <left/>
      <right style="thin">
        <color rgb="FFE2E8F0"/>
      </right>
      <top/>
      <bottom style="thin">
        <color rgb="FFE2E8F0"/>
      </bottom>
      <diagonal/>
    </border>
    <border>
      <left style="thin">
        <color rgb="FFE2E8F0"/>
      </left>
      <right/>
      <top style="thick">
        <color rgb="FF0F766E"/>
      </top>
      <bottom/>
      <diagonal/>
    </border>
    <border>
      <left/>
      <right/>
      <top style="thick">
        <color rgb="FF0F766E"/>
      </top>
      <bottom/>
      <diagonal/>
    </border>
    <border>
      <left style="thin">
        <color rgb="FFE2E8F0"/>
      </left>
      <right/>
      <top style="thick">
        <color rgb="FF1E40AF"/>
      </top>
      <bottom/>
      <diagonal/>
    </border>
    <border>
      <left/>
      <right/>
      <top style="thick">
        <color rgb="FF1E40AF"/>
      </top>
      <bottom/>
      <diagonal/>
    </border>
    <border>
      <left style="thin">
        <color rgb="FFE2E8F0"/>
      </left>
      <right/>
      <top style="thick">
        <color rgb="FFD97706"/>
      </top>
      <bottom/>
      <diagonal/>
    </border>
    <border>
      <left/>
      <right/>
      <top style="thick">
        <color rgb="FFD97706"/>
      </top>
      <bottom/>
      <diagonal/>
    </border>
    <border>
      <left/>
      <right style="thin">
        <color rgb="FFE2E8F0"/>
      </right>
      <top style="thick">
        <color rgb="FFD97706"/>
      </top>
      <bottom/>
      <diagonal/>
    </border>
    <border>
      <left style="thin">
        <color rgb="FFE2E8F0"/>
      </left>
      <right/>
      <top style="thin">
        <color rgb="FFE2E8F0"/>
      </top>
      <bottom style="hair">
        <color rgb="FFE2E8F0"/>
      </bottom>
      <diagonal/>
    </border>
    <border>
      <left/>
      <right/>
      <top style="thin">
        <color rgb="FFE2E8F0"/>
      </top>
      <bottom style="hair">
        <color rgb="FFE2E8F0"/>
      </bottom>
      <diagonal/>
    </border>
    <border>
      <left/>
      <right style="thin">
        <color rgb="FFE2E8F0"/>
      </right>
      <top style="thin">
        <color rgb="FFE2E8F0"/>
      </top>
      <bottom style="hair">
        <color rgb="FFE2E8F0"/>
      </bottom>
      <diagonal/>
    </border>
    <border>
      <left style="thin">
        <color rgb="FFE2E8F0"/>
      </left>
      <right/>
      <top style="hair">
        <color rgb="FFE2E8F0"/>
      </top>
      <bottom style="hair">
        <color rgb="FFE2E8F0"/>
      </bottom>
      <diagonal/>
    </border>
    <border>
      <left/>
      <right/>
      <top style="hair">
        <color rgb="FFE2E8F0"/>
      </top>
      <bottom style="hair">
        <color rgb="FFE2E8F0"/>
      </bottom>
      <diagonal/>
    </border>
    <border>
      <left/>
      <right style="thin">
        <color rgb="FFE2E8F0"/>
      </right>
      <top style="hair">
        <color rgb="FFE2E8F0"/>
      </top>
      <bottom style="hair">
        <color rgb="FFE2E8F0"/>
      </bottom>
      <diagonal/>
    </border>
    <border>
      <left style="thin">
        <color rgb="FFE2E8F0"/>
      </left>
      <right/>
      <top style="hair">
        <color rgb="FFE2E8F0"/>
      </top>
      <bottom/>
      <diagonal/>
    </border>
    <border>
      <left/>
      <right/>
      <top style="hair">
        <color rgb="FFE2E8F0"/>
      </top>
      <bottom/>
      <diagonal/>
    </border>
    <border>
      <left/>
      <right style="thin">
        <color rgb="FFE2E8F0"/>
      </right>
      <top style="hair">
        <color rgb="FFE2E8F0"/>
      </top>
      <bottom/>
      <diagonal/>
    </border>
    <border>
      <left style="thin">
        <color rgb="FFE2E8F0"/>
      </left>
      <right/>
      <top/>
      <bottom style="hair">
        <color rgb="FFE2E8F0"/>
      </bottom>
      <diagonal/>
    </border>
    <border>
      <left/>
      <right/>
      <top/>
      <bottom style="hair">
        <color rgb="FFE2E8F0"/>
      </bottom>
      <diagonal/>
    </border>
    <border>
      <left/>
      <right style="thin">
        <color rgb="FFE2E8F0"/>
      </right>
      <top/>
      <bottom style="hair">
        <color rgb="FFE2E8F0"/>
      </bottom>
      <diagonal/>
    </border>
    <border>
      <left style="thin">
        <color rgb="FFE2E8F0"/>
      </left>
      <right/>
      <top style="hair">
        <color rgb="FFE2E8F0"/>
      </top>
      <bottom style="thin">
        <color rgb="FFE2E8F0"/>
      </bottom>
      <diagonal/>
    </border>
    <border>
      <left/>
      <right/>
      <top style="hair">
        <color rgb="FFE2E8F0"/>
      </top>
      <bottom style="thin">
        <color rgb="FFE2E8F0"/>
      </bottom>
      <diagonal/>
    </border>
    <border>
      <left/>
      <right style="thin">
        <color rgb="FFE2E8F0"/>
      </right>
      <top style="hair">
        <color rgb="FFE2E8F0"/>
      </top>
      <bottom style="thin">
        <color rgb="FFE2E8F0"/>
      </bottom>
      <diagonal/>
    </border>
    <border>
      <left style="thin">
        <color rgb="FFD97706"/>
      </left>
      <right style="thin">
        <color rgb="FFD97706"/>
      </right>
      <top style="thin">
        <color rgb="FFD97706"/>
      </top>
      <bottom style="thin">
        <color rgb="FFD97706"/>
      </bottom>
      <diagonal/>
    </border>
    <border>
      <left style="thin">
        <color rgb="FFD97706"/>
      </left>
      <right style="thin">
        <color rgb="FFD97706"/>
      </right>
      <top style="thin">
        <color rgb="FFD97706"/>
      </top>
      <bottom/>
      <diagonal/>
    </border>
    <border>
      <left style="thin">
        <color rgb="FFE2E8F0"/>
      </left>
      <right style="thin">
        <color rgb="FFE2E8F0"/>
      </right>
      <top/>
      <bottom/>
      <diagonal/>
    </border>
  </borders>
  <cellStyleXfs count="2">
    <xf numFmtId="0" fontId="0" fillId="0" borderId="0"/>
    <xf numFmtId="0" fontId="29" fillId="0" borderId="0" applyNumberFormat="0" applyFill="0" applyBorder="0" applyAlignment="0" applyProtection="0"/>
  </cellStyleXfs>
  <cellXfs count="234">
    <xf numFmtId="0" fontId="0" fillId="0" borderId="0" xfId="0"/>
    <xf numFmtId="0" fontId="2" fillId="0" borderId="0" xfId="0" applyFont="1"/>
    <xf numFmtId="164" fontId="3" fillId="0" borderId="0" xfId="0" applyNumberFormat="1" applyFont="1"/>
    <xf numFmtId="165" fontId="3" fillId="0" borderId="0" xfId="0" applyNumberFormat="1" applyFont="1"/>
    <xf numFmtId="166" fontId="0" fillId="0" borderId="0" xfId="0" applyNumberFormat="1"/>
    <xf numFmtId="0" fontId="0" fillId="0" borderId="0" xfId="0" applyAlignment="1">
      <alignment horizontal="left" indent="1"/>
    </xf>
    <xf numFmtId="167" fontId="2" fillId="0" borderId="0" xfId="0" applyNumberFormat="1" applyFont="1"/>
    <xf numFmtId="0" fontId="5" fillId="0" borderId="0" xfId="0" applyFont="1"/>
    <xf numFmtId="0" fontId="6" fillId="0" borderId="0" xfId="0" applyFont="1"/>
    <xf numFmtId="167" fontId="5" fillId="0" borderId="0" xfId="0" applyNumberFormat="1" applyFont="1"/>
    <xf numFmtId="0" fontId="7" fillId="0" borderId="0" xfId="0" applyFont="1"/>
    <xf numFmtId="0" fontId="8" fillId="0" borderId="0" xfId="0" applyFont="1" applyAlignment="1">
      <alignment vertical="center"/>
    </xf>
    <xf numFmtId="0" fontId="9" fillId="0" borderId="0" xfId="0" applyFont="1" applyAlignment="1">
      <alignment vertical="center"/>
    </xf>
    <xf numFmtId="0" fontId="7" fillId="0" borderId="0" xfId="0" applyFont="1" applyAlignment="1">
      <alignment vertical="center"/>
    </xf>
    <xf numFmtId="0" fontId="11" fillId="0" borderId="0" xfId="0" applyFont="1" applyAlignment="1">
      <alignment vertical="center"/>
    </xf>
    <xf numFmtId="0" fontId="13" fillId="2" borderId="0" xfId="0" applyFont="1" applyFill="1" applyAlignment="1">
      <alignment horizontal="center" vertical="center" wrapText="1"/>
    </xf>
    <xf numFmtId="0" fontId="12" fillId="0" borderId="0" xfId="0" applyFont="1" applyAlignment="1">
      <alignment vertical="center"/>
    </xf>
    <xf numFmtId="1" fontId="8" fillId="0" borderId="0" xfId="0" applyNumberFormat="1" applyFont="1" applyAlignment="1">
      <alignment vertical="center"/>
    </xf>
    <xf numFmtId="167" fontId="8" fillId="0" borderId="0" xfId="0" applyNumberFormat="1" applyFont="1" applyAlignment="1">
      <alignment vertical="center"/>
    </xf>
    <xf numFmtId="1" fontId="12" fillId="0" borderId="0" xfId="0" applyNumberFormat="1" applyFont="1" applyAlignment="1">
      <alignment vertical="center"/>
    </xf>
    <xf numFmtId="168" fontId="12" fillId="0" borderId="0" xfId="0" applyNumberFormat="1" applyFont="1" applyAlignment="1">
      <alignment vertical="center"/>
    </xf>
    <xf numFmtId="0" fontId="15" fillId="0" borderId="6" xfId="0" applyFont="1" applyBorder="1" applyAlignment="1">
      <alignment vertical="center" wrapText="1"/>
    </xf>
    <xf numFmtId="1" fontId="15" fillId="0" borderId="6" xfId="0" applyNumberFormat="1" applyFont="1" applyBorder="1" applyAlignment="1">
      <alignment vertical="center"/>
    </xf>
    <xf numFmtId="167" fontId="15" fillId="0" borderId="6" xfId="0" applyNumberFormat="1" applyFont="1" applyBorder="1" applyAlignment="1">
      <alignment vertical="center"/>
    </xf>
    <xf numFmtId="0" fontId="15" fillId="0" borderId="6" xfId="0" applyFont="1" applyBorder="1" applyAlignment="1">
      <alignment vertical="center"/>
    </xf>
    <xf numFmtId="0" fontId="13" fillId="2" borderId="4" xfId="0" applyFont="1" applyFill="1" applyBorder="1" applyAlignment="1">
      <alignment horizontal="center" vertical="center" wrapText="1"/>
    </xf>
    <xf numFmtId="166" fontId="14" fillId="0" borderId="4" xfId="0" applyNumberFormat="1" applyFont="1" applyBorder="1" applyAlignment="1">
      <alignment horizontal="left" vertical="center"/>
    </xf>
    <xf numFmtId="1" fontId="14" fillId="0" borderId="4" xfId="0" applyNumberFormat="1" applyFont="1" applyBorder="1" applyAlignment="1">
      <alignment vertical="center"/>
    </xf>
    <xf numFmtId="167" fontId="14" fillId="0" borderId="4" xfId="0" applyNumberFormat="1" applyFont="1" applyBorder="1" applyAlignment="1">
      <alignment vertical="center"/>
    </xf>
    <xf numFmtId="168" fontId="14" fillId="0" borderId="4" xfId="0" applyNumberFormat="1" applyFont="1" applyBorder="1" applyAlignment="1">
      <alignment vertical="center"/>
    </xf>
    <xf numFmtId="0" fontId="14" fillId="0" borderId="4" xfId="0" applyFont="1" applyBorder="1" applyAlignment="1">
      <alignment horizontal="center" vertical="center" wrapText="1"/>
    </xf>
    <xf numFmtId="166" fontId="8" fillId="0" borderId="4" xfId="0" applyNumberFormat="1" applyFont="1" applyBorder="1" applyAlignment="1">
      <alignment horizontal="left" vertical="center"/>
    </xf>
    <xf numFmtId="1" fontId="8" fillId="0" borderId="4" xfId="0" applyNumberFormat="1" applyFont="1" applyBorder="1" applyAlignment="1">
      <alignment vertical="center"/>
    </xf>
    <xf numFmtId="167" fontId="8" fillId="0" borderId="4" xfId="0" applyNumberFormat="1" applyFont="1" applyBorder="1" applyAlignment="1">
      <alignment vertical="center"/>
    </xf>
    <xf numFmtId="168" fontId="8" fillId="0" borderId="4" xfId="0" applyNumberFormat="1" applyFont="1" applyBorder="1" applyAlignment="1">
      <alignment vertical="center"/>
    </xf>
    <xf numFmtId="0" fontId="8" fillId="0" borderId="4" xfId="0" applyFont="1" applyBorder="1" applyAlignment="1">
      <alignment horizontal="center" vertical="center" wrapText="1"/>
    </xf>
    <xf numFmtId="0" fontId="12" fillId="0" borderId="4" xfId="0" applyFont="1" applyBorder="1" applyAlignment="1">
      <alignment vertical="center"/>
    </xf>
    <xf numFmtId="166" fontId="14" fillId="0" borderId="5" xfId="0" applyNumberFormat="1" applyFont="1" applyBorder="1" applyAlignment="1">
      <alignment horizontal="left" vertical="center"/>
    </xf>
    <xf numFmtId="1" fontId="14" fillId="0" borderId="5" xfId="0" applyNumberFormat="1" applyFont="1" applyBorder="1" applyAlignment="1">
      <alignment vertical="center"/>
    </xf>
    <xf numFmtId="167" fontId="14" fillId="0" borderId="5" xfId="0" applyNumberFormat="1" applyFont="1" applyBorder="1" applyAlignment="1">
      <alignment vertical="center"/>
    </xf>
    <xf numFmtId="168" fontId="14" fillId="0" borderId="5" xfId="0" applyNumberFormat="1" applyFont="1" applyBorder="1" applyAlignment="1">
      <alignment vertical="center"/>
    </xf>
    <xf numFmtId="0" fontId="14" fillId="0" borderId="5" xfId="0" applyFont="1" applyBorder="1" applyAlignment="1">
      <alignment horizontal="center" vertical="center" wrapText="1"/>
    </xf>
    <xf numFmtId="0" fontId="12" fillId="0" borderId="7" xfId="0" applyFont="1" applyBorder="1" applyAlignment="1">
      <alignment vertical="center"/>
    </xf>
    <xf numFmtId="1" fontId="12" fillId="0" borderId="7" xfId="0" applyNumberFormat="1" applyFont="1" applyBorder="1" applyAlignment="1">
      <alignment vertical="center"/>
    </xf>
    <xf numFmtId="167" fontId="12" fillId="0" borderId="7" xfId="0" applyNumberFormat="1" applyFont="1" applyBorder="1" applyAlignment="1">
      <alignment vertical="center"/>
    </xf>
    <xf numFmtId="168" fontId="12" fillId="0" borderId="7" xfId="0" applyNumberFormat="1" applyFont="1" applyBorder="1" applyAlignment="1">
      <alignment vertical="center"/>
    </xf>
    <xf numFmtId="1" fontId="8" fillId="0" borderId="3" xfId="0" applyNumberFormat="1" applyFont="1" applyBorder="1" applyAlignment="1">
      <alignment vertical="center"/>
    </xf>
    <xf numFmtId="166" fontId="8" fillId="0" borderId="5" xfId="0" applyNumberFormat="1" applyFont="1" applyBorder="1" applyAlignment="1">
      <alignment horizontal="left" vertical="center"/>
    </xf>
    <xf numFmtId="1" fontId="8" fillId="0" borderId="5" xfId="0" applyNumberFormat="1" applyFont="1" applyBorder="1" applyAlignment="1">
      <alignment vertical="center"/>
    </xf>
    <xf numFmtId="0" fontId="14" fillId="0" borderId="4" xfId="0" applyFont="1" applyBorder="1" applyAlignment="1">
      <alignment vertical="center"/>
    </xf>
    <xf numFmtId="169" fontId="8" fillId="0" borderId="4" xfId="0" applyNumberFormat="1" applyFont="1" applyBorder="1" applyAlignment="1">
      <alignment vertical="center"/>
    </xf>
    <xf numFmtId="169" fontId="16" fillId="0" borderId="4" xfId="0" applyNumberFormat="1" applyFont="1" applyBorder="1" applyAlignment="1">
      <alignment vertical="center"/>
    </xf>
    <xf numFmtId="169" fontId="8" fillId="0" borderId="5" xfId="0" applyNumberFormat="1" applyFont="1" applyBorder="1" applyAlignment="1">
      <alignment vertical="center"/>
    </xf>
    <xf numFmtId="169" fontId="16" fillId="0" borderId="5" xfId="0" applyNumberFormat="1" applyFont="1" applyBorder="1" applyAlignment="1">
      <alignment vertical="center"/>
    </xf>
    <xf numFmtId="169" fontId="12" fillId="0" borderId="7" xfId="0" applyNumberFormat="1" applyFont="1" applyBorder="1" applyAlignment="1">
      <alignment vertical="center"/>
    </xf>
    <xf numFmtId="169" fontId="12" fillId="0" borderId="8" xfId="0" applyNumberFormat="1" applyFont="1" applyBorder="1" applyAlignment="1">
      <alignment vertical="center"/>
    </xf>
    <xf numFmtId="1" fontId="17" fillId="3" borderId="4" xfId="0" applyNumberFormat="1" applyFont="1" applyFill="1" applyBorder="1" applyAlignment="1">
      <alignment horizontal="center" vertical="center"/>
    </xf>
    <xf numFmtId="0" fontId="18" fillId="0" borderId="0" xfId="0" applyFont="1" applyAlignment="1">
      <alignment vertical="center"/>
    </xf>
    <xf numFmtId="0" fontId="13" fillId="2" borderId="0" xfId="0" applyFont="1" applyFill="1" applyAlignment="1">
      <alignment horizontal="left" vertical="center" wrapText="1"/>
    </xf>
    <xf numFmtId="0" fontId="13" fillId="2" borderId="9" xfId="0" applyFont="1" applyFill="1" applyBorder="1" applyAlignment="1">
      <alignment horizontal="left" vertical="center" wrapText="1"/>
    </xf>
    <xf numFmtId="0" fontId="13" fillId="2" borderId="10" xfId="0" applyFont="1" applyFill="1" applyBorder="1" applyAlignment="1">
      <alignment horizontal="center" vertical="center" wrapText="1"/>
    </xf>
    <xf numFmtId="0" fontId="8" fillId="0" borderId="9" xfId="0" applyFont="1" applyBorder="1" applyAlignment="1">
      <alignment vertical="center"/>
    </xf>
    <xf numFmtId="0" fontId="8" fillId="0" borderId="10" xfId="0" applyFont="1" applyBorder="1" applyAlignment="1">
      <alignment vertical="center"/>
    </xf>
    <xf numFmtId="0" fontId="13" fillId="2" borderId="9" xfId="0" applyFont="1" applyFill="1" applyBorder="1" applyAlignment="1">
      <alignment horizontal="center" vertical="center" wrapText="1"/>
    </xf>
    <xf numFmtId="170" fontId="8" fillId="0" borderId="9" xfId="0" applyNumberFormat="1" applyFont="1" applyBorder="1" applyAlignment="1">
      <alignment vertical="center"/>
    </xf>
    <xf numFmtId="170" fontId="8" fillId="0" borderId="4" xfId="0" applyNumberFormat="1" applyFont="1" applyBorder="1" applyAlignment="1">
      <alignment vertical="center"/>
    </xf>
    <xf numFmtId="2" fontId="12" fillId="0" borderId="7" xfId="0" applyNumberFormat="1" applyFont="1" applyBorder="1" applyAlignment="1">
      <alignment vertical="center"/>
    </xf>
    <xf numFmtId="168" fontId="8" fillId="0" borderId="10" xfId="0" applyNumberFormat="1" applyFont="1" applyBorder="1" applyAlignment="1">
      <alignment vertical="center"/>
    </xf>
    <xf numFmtId="0" fontId="8" fillId="0" borderId="3" xfId="0" applyFont="1" applyBorder="1" applyAlignment="1">
      <alignment vertical="center"/>
    </xf>
    <xf numFmtId="168" fontId="8" fillId="0" borderId="3" xfId="0" applyNumberFormat="1" applyFont="1" applyBorder="1" applyAlignment="1">
      <alignment vertical="center"/>
    </xf>
    <xf numFmtId="167" fontId="8" fillId="0" borderId="10" xfId="0" applyNumberFormat="1" applyFont="1" applyBorder="1" applyAlignment="1">
      <alignment vertical="center"/>
    </xf>
    <xf numFmtId="167" fontId="8" fillId="0" borderId="3" xfId="0" applyNumberFormat="1" applyFont="1" applyBorder="1" applyAlignment="1">
      <alignment vertical="center"/>
    </xf>
    <xf numFmtId="0" fontId="13" fillId="2" borderId="0" xfId="0" applyFont="1" applyFill="1" applyAlignment="1">
      <alignment horizontal="left" vertical="center"/>
    </xf>
    <xf numFmtId="168" fontId="12" fillId="2" borderId="0" xfId="0" applyNumberFormat="1" applyFont="1" applyFill="1" applyAlignment="1">
      <alignment vertical="center"/>
    </xf>
    <xf numFmtId="171" fontId="8" fillId="0" borderId="3" xfId="0" applyNumberFormat="1" applyFont="1" applyBorder="1" applyAlignment="1">
      <alignment vertical="center"/>
    </xf>
    <xf numFmtId="172" fontId="8" fillId="0" borderId="10" xfId="0" applyNumberFormat="1" applyFont="1" applyBorder="1" applyAlignment="1">
      <alignment vertical="center"/>
    </xf>
    <xf numFmtId="2" fontId="12" fillId="2" borderId="0" xfId="0" applyNumberFormat="1" applyFont="1" applyFill="1" applyAlignment="1">
      <alignment vertical="center"/>
    </xf>
    <xf numFmtId="2" fontId="8" fillId="0" borderId="3" xfId="0" applyNumberFormat="1" applyFont="1" applyBorder="1" applyAlignment="1">
      <alignment vertical="center"/>
    </xf>
    <xf numFmtId="1" fontId="10" fillId="0" borderId="3" xfId="0" applyNumberFormat="1" applyFont="1" applyBorder="1" applyAlignment="1">
      <alignment vertical="center"/>
    </xf>
    <xf numFmtId="0" fontId="12" fillId="0" borderId="0" xfId="0" applyFont="1" applyAlignment="1">
      <alignment horizontal="center" vertical="center"/>
    </xf>
    <xf numFmtId="0" fontId="7" fillId="0" borderId="0" xfId="0" applyFont="1" applyAlignment="1">
      <alignment horizontal="left" vertical="center"/>
    </xf>
    <xf numFmtId="49" fontId="2" fillId="0" borderId="0" xfId="0" applyNumberFormat="1" applyFont="1"/>
    <xf numFmtId="0" fontId="1" fillId="0" borderId="1" xfId="0" applyFont="1" applyBorder="1" applyAlignment="1">
      <alignment horizontal="center" vertical="center"/>
    </xf>
    <xf numFmtId="0" fontId="4" fillId="0" borderId="0" xfId="0" applyFont="1" applyAlignment="1">
      <alignment horizontal="center" vertical="center"/>
    </xf>
    <xf numFmtId="0" fontId="1" fillId="0" borderId="2" xfId="0" applyFont="1" applyBorder="1" applyAlignment="1">
      <alignment horizontal="center" vertical="center"/>
    </xf>
    <xf numFmtId="0" fontId="19" fillId="0" borderId="0" xfId="0" applyFont="1" applyAlignment="1">
      <alignment horizontal="left" vertical="center"/>
    </xf>
    <xf numFmtId="0" fontId="6" fillId="0" borderId="6" xfId="0" applyFont="1" applyBorder="1" applyAlignment="1">
      <alignment horizontal="left" vertical="center"/>
    </xf>
    <xf numFmtId="1" fontId="8" fillId="0" borderId="10" xfId="0" applyNumberFormat="1" applyFont="1" applyBorder="1" applyAlignment="1">
      <alignment vertical="center"/>
    </xf>
    <xf numFmtId="0" fontId="12" fillId="0" borderId="8" xfId="0" applyFont="1" applyBorder="1" applyAlignment="1">
      <alignment vertical="center"/>
    </xf>
    <xf numFmtId="0" fontId="8" fillId="0" borderId="0" xfId="0" applyFont="1"/>
    <xf numFmtId="0" fontId="8" fillId="4" borderId="0" xfId="0" applyFont="1" applyFill="1"/>
    <xf numFmtId="0" fontId="8" fillId="5" borderId="0" xfId="0" applyFont="1" applyFill="1"/>
    <xf numFmtId="0" fontId="20" fillId="5" borderId="0" xfId="0" applyFont="1" applyFill="1" applyAlignment="1">
      <alignment horizontal="left" vertical="center" indent="1"/>
    </xf>
    <xf numFmtId="0" fontId="21" fillId="5" borderId="0" xfId="0" applyFont="1" applyFill="1" applyAlignment="1">
      <alignment horizontal="left" vertical="center" indent="1"/>
    </xf>
    <xf numFmtId="0" fontId="22" fillId="4" borderId="0" xfId="0" applyFont="1" applyFill="1" applyAlignment="1">
      <alignment vertical="center"/>
    </xf>
    <xf numFmtId="0" fontId="23" fillId="0" borderId="0" xfId="0" applyFont="1"/>
    <xf numFmtId="167" fontId="0" fillId="0" borderId="0" xfId="0" applyNumberFormat="1"/>
    <xf numFmtId="3" fontId="0" fillId="0" borderId="0" xfId="0" applyNumberFormat="1"/>
    <xf numFmtId="0" fontId="0" fillId="0" borderId="0" xfId="0" pivotButton="1"/>
    <xf numFmtId="0" fontId="24" fillId="0" borderId="0" xfId="0" applyFont="1"/>
    <xf numFmtId="3" fontId="0" fillId="0" borderId="0" xfId="0" applyNumberFormat="1" applyAlignment="1">
      <alignment horizontal="right"/>
    </xf>
    <xf numFmtId="0" fontId="6" fillId="4" borderId="0" xfId="0" applyFont="1" applyFill="1" applyAlignment="1">
      <alignment vertical="center"/>
    </xf>
    <xf numFmtId="0" fontId="6" fillId="6" borderId="18" xfId="0" applyFont="1" applyFill="1" applyBorder="1" applyAlignment="1">
      <alignment horizontal="centerContinuous" vertical="center"/>
    </xf>
    <xf numFmtId="0" fontId="6" fillId="6" borderId="19" xfId="0" applyFont="1" applyFill="1" applyBorder="1" applyAlignment="1">
      <alignment horizontal="centerContinuous" vertical="center"/>
    </xf>
    <xf numFmtId="0" fontId="6" fillId="6" borderId="20" xfId="0" applyFont="1" applyFill="1" applyBorder="1" applyAlignment="1">
      <alignment horizontal="centerContinuous" vertical="center"/>
    </xf>
    <xf numFmtId="0" fontId="6" fillId="6" borderId="21" xfId="0" applyFont="1" applyFill="1" applyBorder="1" applyAlignment="1">
      <alignment horizontal="centerContinuous" vertical="center"/>
    </xf>
    <xf numFmtId="0" fontId="6" fillId="6" borderId="22" xfId="0" applyFont="1" applyFill="1" applyBorder="1" applyAlignment="1">
      <alignment horizontal="centerContinuous" vertical="center"/>
    </xf>
    <xf numFmtId="0" fontId="6" fillId="6" borderId="23" xfId="0" applyFont="1" applyFill="1" applyBorder="1" applyAlignment="1">
      <alignment horizontal="centerContinuous" vertical="center"/>
    </xf>
    <xf numFmtId="0" fontId="6" fillId="6" borderId="24" xfId="0" applyFont="1" applyFill="1" applyBorder="1" applyAlignment="1">
      <alignment horizontal="centerContinuous" vertical="center"/>
    </xf>
    <xf numFmtId="0" fontId="8" fillId="6" borderId="0" xfId="0" applyFont="1" applyFill="1"/>
    <xf numFmtId="0" fontId="6" fillId="6" borderId="11" xfId="0" applyFont="1" applyFill="1" applyBorder="1" applyAlignment="1">
      <alignment horizontal="left" vertical="center" indent="1"/>
    </xf>
    <xf numFmtId="0" fontId="8" fillId="6" borderId="11" xfId="0" applyFont="1" applyFill="1" applyBorder="1"/>
    <xf numFmtId="0" fontId="11" fillId="6" borderId="12" xfId="0" applyFont="1" applyFill="1" applyBorder="1" applyAlignment="1">
      <alignment horizontal="left" vertical="center" indent="1"/>
    </xf>
    <xf numFmtId="0" fontId="8" fillId="6" borderId="3" xfId="0" applyFont="1" applyFill="1" applyBorder="1"/>
    <xf numFmtId="0" fontId="8" fillId="6" borderId="15" xfId="0" applyFont="1" applyFill="1" applyBorder="1"/>
    <xf numFmtId="0" fontId="8" fillId="6" borderId="16" xfId="0" applyFont="1" applyFill="1" applyBorder="1"/>
    <xf numFmtId="0" fontId="30" fillId="6" borderId="12" xfId="1" applyFont="1" applyFill="1" applyBorder="1" applyAlignment="1">
      <alignment horizontal="left" vertical="center" indent="1"/>
    </xf>
    <xf numFmtId="0" fontId="8" fillId="6" borderId="12" xfId="0" applyFont="1" applyFill="1" applyBorder="1"/>
    <xf numFmtId="0" fontId="8" fillId="6" borderId="25" xfId="0" applyFont="1" applyFill="1" applyBorder="1" applyAlignment="1">
      <alignment horizontal="left" vertical="center" indent="1"/>
    </xf>
    <xf numFmtId="0" fontId="8" fillId="6" borderId="26" xfId="0" applyFont="1" applyFill="1" applyBorder="1"/>
    <xf numFmtId="1" fontId="8" fillId="6" borderId="26" xfId="0" applyNumberFormat="1" applyFont="1" applyFill="1" applyBorder="1" applyAlignment="1">
      <alignment horizontal="right" vertical="center" indent="1"/>
    </xf>
    <xf numFmtId="167" fontId="8" fillId="6" borderId="27" xfId="0" applyNumberFormat="1" applyFont="1" applyFill="1" applyBorder="1" applyAlignment="1">
      <alignment horizontal="right" vertical="center" indent="1"/>
    </xf>
    <xf numFmtId="0" fontId="8" fillId="6" borderId="28" xfId="0" applyFont="1" applyFill="1" applyBorder="1" applyAlignment="1">
      <alignment horizontal="left" vertical="center" indent="1"/>
    </xf>
    <xf numFmtId="0" fontId="8" fillId="6" borderId="29" xfId="0" applyFont="1" applyFill="1" applyBorder="1"/>
    <xf numFmtId="168" fontId="8" fillId="6" borderId="29" xfId="0" applyNumberFormat="1" applyFont="1" applyFill="1" applyBorder="1" applyAlignment="1">
      <alignment horizontal="right" vertical="center" indent="1"/>
    </xf>
    <xf numFmtId="167" fontId="8" fillId="6" borderId="30" xfId="0" applyNumberFormat="1" applyFont="1" applyFill="1" applyBorder="1" applyAlignment="1">
      <alignment horizontal="right" vertical="center" indent="1"/>
    </xf>
    <xf numFmtId="167" fontId="8" fillId="6" borderId="29" xfId="0" applyNumberFormat="1" applyFont="1" applyFill="1" applyBorder="1" applyAlignment="1">
      <alignment horizontal="right" vertical="center" indent="1"/>
    </xf>
    <xf numFmtId="168" fontId="28" fillId="6" borderId="30" xfId="0" applyNumberFormat="1" applyFont="1" applyFill="1" applyBorder="1" applyAlignment="1">
      <alignment horizontal="right" vertical="center" indent="1"/>
    </xf>
    <xf numFmtId="1" fontId="17" fillId="6" borderId="30" xfId="0" applyNumberFormat="1" applyFont="1" applyFill="1" applyBorder="1" applyAlignment="1">
      <alignment horizontal="right" vertical="center" indent="1"/>
    </xf>
    <xf numFmtId="0" fontId="8" fillId="6" borderId="31" xfId="0" applyFont="1" applyFill="1" applyBorder="1" applyAlignment="1">
      <alignment horizontal="left" vertical="center" indent="1"/>
    </xf>
    <xf numFmtId="0" fontId="8" fillId="6" borderId="32" xfId="0" applyFont="1" applyFill="1" applyBorder="1"/>
    <xf numFmtId="167" fontId="8" fillId="6" borderId="32" xfId="0" applyNumberFormat="1" applyFont="1" applyFill="1" applyBorder="1" applyAlignment="1">
      <alignment horizontal="right" vertical="center" indent="1"/>
    </xf>
    <xf numFmtId="0" fontId="12" fillId="6" borderId="33" xfId="0" applyFont="1" applyFill="1" applyBorder="1" applyAlignment="1">
      <alignment horizontal="right" vertical="center" indent="1"/>
    </xf>
    <xf numFmtId="0" fontId="8" fillId="6" borderId="34" xfId="0" applyFont="1" applyFill="1" applyBorder="1" applyAlignment="1">
      <alignment horizontal="left" vertical="center" indent="1"/>
    </xf>
    <xf numFmtId="0" fontId="8" fillId="6" borderId="35" xfId="0" applyFont="1" applyFill="1" applyBorder="1"/>
    <xf numFmtId="168" fontId="8" fillId="6" borderId="35" xfId="0" applyNumberFormat="1" applyFont="1" applyFill="1" applyBorder="1" applyAlignment="1">
      <alignment horizontal="right" vertical="center" indent="1"/>
    </xf>
    <xf numFmtId="2" fontId="8" fillId="6" borderId="36" xfId="0" applyNumberFormat="1" applyFont="1" applyFill="1" applyBorder="1" applyAlignment="1">
      <alignment horizontal="right" vertical="center" indent="1"/>
    </xf>
    <xf numFmtId="2" fontId="8" fillId="6" borderId="30" xfId="0" applyNumberFormat="1" applyFont="1" applyFill="1" applyBorder="1" applyAlignment="1">
      <alignment horizontal="right" vertical="center" indent="1"/>
    </xf>
    <xf numFmtId="171" fontId="8" fillId="6" borderId="29" xfId="0" applyNumberFormat="1" applyFont="1" applyFill="1" applyBorder="1" applyAlignment="1">
      <alignment horizontal="right" vertical="center" indent="1"/>
    </xf>
    <xf numFmtId="171" fontId="8" fillId="6" borderId="30" xfId="0" applyNumberFormat="1" applyFont="1" applyFill="1" applyBorder="1" applyAlignment="1">
      <alignment horizontal="right" vertical="center" indent="1"/>
    </xf>
    <xf numFmtId="0" fontId="8" fillId="6" borderId="37" xfId="0" applyFont="1" applyFill="1" applyBorder="1" applyAlignment="1">
      <alignment horizontal="left" vertical="center" indent="1"/>
    </xf>
    <xf numFmtId="0" fontId="8" fillId="6" borderId="38" xfId="0" applyFont="1" applyFill="1" applyBorder="1"/>
    <xf numFmtId="172" fontId="8" fillId="6" borderId="38" xfId="0" applyNumberFormat="1" applyFont="1" applyFill="1" applyBorder="1" applyAlignment="1">
      <alignment horizontal="right" vertical="center" indent="1"/>
    </xf>
    <xf numFmtId="172" fontId="8" fillId="6" borderId="39" xfId="0" applyNumberFormat="1" applyFont="1" applyFill="1" applyBorder="1" applyAlignment="1">
      <alignment horizontal="right" vertical="center" indent="1"/>
    </xf>
    <xf numFmtId="0" fontId="13" fillId="4" borderId="0" xfId="0" applyFont="1" applyFill="1" applyAlignment="1">
      <alignment horizontal="left" vertical="center"/>
    </xf>
    <xf numFmtId="0" fontId="20" fillId="7" borderId="0" xfId="0" applyFont="1" applyFill="1" applyAlignment="1">
      <alignment horizontal="left" vertical="center" indent="1"/>
    </xf>
    <xf numFmtId="0" fontId="8" fillId="7" borderId="0" xfId="0" applyFont="1" applyFill="1"/>
    <xf numFmtId="0" fontId="33" fillId="7" borderId="0" xfId="0" applyFont="1" applyFill="1" applyAlignment="1">
      <alignment horizontal="left" vertical="center" indent="1"/>
    </xf>
    <xf numFmtId="0" fontId="34" fillId="4" borderId="0" xfId="0" applyFont="1" applyFill="1" applyAlignment="1">
      <alignment horizontal="left" vertical="center"/>
    </xf>
    <xf numFmtId="168" fontId="28" fillId="6" borderId="30" xfId="0" applyNumberFormat="1" applyFont="1" applyFill="1" applyBorder="1" applyAlignment="1">
      <alignment horizontal="right" vertical="center" shrinkToFit="1"/>
    </xf>
    <xf numFmtId="1" fontId="17" fillId="6" borderId="30" xfId="0" applyNumberFormat="1" applyFont="1" applyFill="1" applyBorder="1" applyAlignment="1">
      <alignment horizontal="right" vertical="center" shrinkToFit="1"/>
    </xf>
    <xf numFmtId="0" fontId="8" fillId="6" borderId="29" xfId="0" applyFont="1" applyFill="1" applyBorder="1" applyAlignment="1">
      <alignment horizontal="left" vertical="center" indent="1"/>
    </xf>
    <xf numFmtId="168" fontId="8" fillId="6" borderId="32" xfId="0" applyNumberFormat="1" applyFont="1" applyFill="1" applyBorder="1" applyAlignment="1">
      <alignment horizontal="right" vertical="center" indent="1"/>
    </xf>
    <xf numFmtId="167" fontId="8" fillId="8" borderId="40" xfId="0" applyNumberFormat="1" applyFont="1" applyFill="1" applyBorder="1" applyAlignment="1">
      <alignment horizontal="right" vertical="center" indent="1"/>
    </xf>
    <xf numFmtId="167" fontId="8" fillId="8" borderId="41" xfId="0" applyNumberFormat="1" applyFont="1" applyFill="1" applyBorder="1" applyAlignment="1">
      <alignment horizontal="right" vertical="center" indent="1"/>
    </xf>
    <xf numFmtId="167" fontId="8" fillId="6" borderId="0" xfId="0" applyNumberFormat="1" applyFont="1" applyFill="1" applyAlignment="1">
      <alignment horizontal="right" vertical="center" indent="1"/>
    </xf>
    <xf numFmtId="0" fontId="12" fillId="0" borderId="0" xfId="0" applyFont="1"/>
    <xf numFmtId="168" fontId="12" fillId="2" borderId="35" xfId="0" applyNumberFormat="1" applyFont="1" applyFill="1" applyBorder="1" applyAlignment="1">
      <alignment horizontal="right" vertical="center" indent="1"/>
    </xf>
    <xf numFmtId="2" fontId="12" fillId="2" borderId="36" xfId="0" applyNumberFormat="1" applyFont="1" applyFill="1" applyBorder="1" applyAlignment="1">
      <alignment horizontal="right" vertical="center" indent="1"/>
    </xf>
    <xf numFmtId="0" fontId="6" fillId="6" borderId="0" xfId="0" applyFont="1" applyFill="1" applyAlignment="1">
      <alignment horizontal="right" vertical="center" wrapText="1"/>
    </xf>
    <xf numFmtId="0" fontId="6" fillId="6" borderId="11" xfId="0" applyFont="1" applyFill="1" applyBorder="1" applyAlignment="1">
      <alignment horizontal="left" vertical="center" wrapText="1" indent="1"/>
    </xf>
    <xf numFmtId="0" fontId="12" fillId="6" borderId="13" xfId="0" applyFont="1" applyFill="1" applyBorder="1" applyAlignment="1">
      <alignment horizontal="left" vertical="center"/>
    </xf>
    <xf numFmtId="0" fontId="12" fillId="6" borderId="14" xfId="0" applyFont="1" applyFill="1" applyBorder="1" applyAlignment="1">
      <alignment vertical="center"/>
    </xf>
    <xf numFmtId="3" fontId="12" fillId="6" borderId="14" xfId="0" applyNumberFormat="1" applyFont="1" applyFill="1" applyBorder="1" applyAlignment="1">
      <alignment horizontal="right" vertical="center"/>
    </xf>
    <xf numFmtId="168" fontId="12" fillId="6" borderId="14" xfId="0" applyNumberFormat="1" applyFont="1" applyFill="1" applyBorder="1" applyAlignment="1">
      <alignment horizontal="right" vertical="center"/>
    </xf>
    <xf numFmtId="0" fontId="8" fillId="6" borderId="14" xfId="0" applyFont="1" applyFill="1" applyBorder="1"/>
    <xf numFmtId="0" fontId="8" fillId="6" borderId="25" xfId="0" applyFont="1" applyFill="1" applyBorder="1" applyAlignment="1">
      <alignment horizontal="left" vertical="center"/>
    </xf>
    <xf numFmtId="0" fontId="8" fillId="6" borderId="26" xfId="0" applyFont="1" applyFill="1" applyBorder="1" applyAlignment="1">
      <alignment vertical="center"/>
    </xf>
    <xf numFmtId="3" fontId="8" fillId="6" borderId="26" xfId="0" applyNumberFormat="1" applyFont="1" applyFill="1" applyBorder="1" applyAlignment="1">
      <alignment horizontal="right" vertical="center"/>
    </xf>
    <xf numFmtId="168" fontId="8" fillId="6" borderId="26" xfId="0" applyNumberFormat="1" applyFont="1" applyFill="1" applyBorder="1" applyAlignment="1">
      <alignment horizontal="right" vertical="center"/>
    </xf>
    <xf numFmtId="168" fontId="35" fillId="6" borderId="26" xfId="0" applyNumberFormat="1" applyFont="1" applyFill="1" applyBorder="1" applyAlignment="1">
      <alignment horizontal="right" vertical="center"/>
    </xf>
    <xf numFmtId="0" fontId="8" fillId="6" borderId="28" xfId="0" applyFont="1" applyFill="1" applyBorder="1" applyAlignment="1">
      <alignment horizontal="left" vertical="center"/>
    </xf>
    <xf numFmtId="0" fontId="8" fillId="6" borderId="29" xfId="0" applyFont="1" applyFill="1" applyBorder="1" applyAlignment="1">
      <alignment vertical="center"/>
    </xf>
    <xf numFmtId="3" fontId="8" fillId="6" borderId="29" xfId="0" applyNumberFormat="1" applyFont="1" applyFill="1" applyBorder="1" applyAlignment="1">
      <alignment horizontal="right" vertical="center"/>
    </xf>
    <xf numFmtId="168" fontId="8" fillId="6" borderId="29" xfId="0" applyNumberFormat="1" applyFont="1" applyFill="1" applyBorder="1" applyAlignment="1">
      <alignment horizontal="right" vertical="center"/>
    </xf>
    <xf numFmtId="168" fontId="35" fillId="6" borderId="29" xfId="0" applyNumberFormat="1" applyFont="1" applyFill="1" applyBorder="1" applyAlignment="1">
      <alignment horizontal="right" vertical="center"/>
    </xf>
    <xf numFmtId="0" fontId="8" fillId="6" borderId="37" xfId="0" applyFont="1" applyFill="1" applyBorder="1" applyAlignment="1">
      <alignment horizontal="left" vertical="center"/>
    </xf>
    <xf numFmtId="0" fontId="8" fillId="6" borderId="38" xfId="0" applyFont="1" applyFill="1" applyBorder="1" applyAlignment="1">
      <alignment vertical="center"/>
    </xf>
    <xf numFmtId="3" fontId="8" fillId="6" borderId="38" xfId="0" applyNumberFormat="1" applyFont="1" applyFill="1" applyBorder="1" applyAlignment="1">
      <alignment horizontal="right" vertical="center"/>
    </xf>
    <xf numFmtId="168" fontId="8" fillId="6" borderId="38" xfId="0" applyNumberFormat="1" applyFont="1" applyFill="1" applyBorder="1" applyAlignment="1">
      <alignment horizontal="right" vertical="center"/>
    </xf>
    <xf numFmtId="168" fontId="35" fillId="6" borderId="38" xfId="0" applyNumberFormat="1" applyFont="1" applyFill="1" applyBorder="1" applyAlignment="1">
      <alignment horizontal="right" vertical="center"/>
    </xf>
    <xf numFmtId="49" fontId="8" fillId="0" borderId="0" xfId="0" applyNumberFormat="1" applyFont="1"/>
    <xf numFmtId="0" fontId="36" fillId="0" borderId="0" xfId="0" applyFont="1" applyAlignment="1">
      <alignment vertical="center"/>
    </xf>
    <xf numFmtId="0" fontId="15" fillId="0" borderId="0" xfId="0" applyFont="1"/>
    <xf numFmtId="49" fontId="13" fillId="2" borderId="0" xfId="0" applyNumberFormat="1" applyFont="1" applyFill="1" applyAlignment="1">
      <alignment vertical="center"/>
    </xf>
    <xf numFmtId="49" fontId="37" fillId="0" borderId="0" xfId="0" applyNumberFormat="1" applyFont="1" applyAlignment="1">
      <alignment horizontal="left" vertical="center"/>
    </xf>
    <xf numFmtId="49" fontId="37" fillId="0" borderId="0" xfId="0" quotePrefix="1" applyNumberFormat="1" applyFont="1" applyAlignment="1">
      <alignment horizontal="left" vertical="center"/>
    </xf>
    <xf numFmtId="0" fontId="38" fillId="0" borderId="0" xfId="0" applyFont="1" applyAlignment="1">
      <alignment vertical="center"/>
    </xf>
    <xf numFmtId="0" fontId="15" fillId="0" borderId="0" xfId="0" applyFont="1" applyAlignment="1">
      <alignment vertical="center"/>
    </xf>
    <xf numFmtId="0" fontId="11" fillId="0" borderId="14" xfId="0" applyFont="1" applyBorder="1" applyAlignment="1">
      <alignment vertical="center"/>
    </xf>
    <xf numFmtId="0" fontId="8" fillId="0" borderId="14" xfId="0" applyFont="1" applyBorder="1"/>
    <xf numFmtId="0" fontId="6" fillId="0" borderId="26" xfId="0" applyFont="1" applyBorder="1" applyAlignment="1">
      <alignment horizontal="left" vertical="top" wrapText="1"/>
    </xf>
    <xf numFmtId="0" fontId="6" fillId="0" borderId="3" xfId="0" applyFont="1" applyBorder="1" applyAlignment="1">
      <alignment horizontal="left" vertical="top" wrapText="1"/>
    </xf>
    <xf numFmtId="0" fontId="6" fillId="0" borderId="29" xfId="0" applyFont="1" applyBorder="1" applyAlignment="1">
      <alignment horizontal="left" vertical="top" wrapText="1"/>
    </xf>
    <xf numFmtId="0" fontId="6" fillId="0" borderId="32" xfId="0" applyFont="1" applyBorder="1" applyAlignment="1">
      <alignment horizontal="left" vertical="top" wrapText="1"/>
    </xf>
    <xf numFmtId="0" fontId="13" fillId="2" borderId="5" xfId="0" applyFont="1" applyFill="1" applyBorder="1" applyAlignment="1">
      <alignment horizontal="left" vertical="center" wrapText="1"/>
    </xf>
    <xf numFmtId="0" fontId="8" fillId="0" borderId="42" xfId="0" applyFont="1" applyBorder="1" applyAlignment="1">
      <alignment horizontal="left" vertical="top" wrapText="1"/>
    </xf>
    <xf numFmtId="0" fontId="6" fillId="0" borderId="5" xfId="0" applyFont="1" applyBorder="1" applyAlignment="1">
      <alignment horizontal="left" vertical="top" wrapText="1"/>
    </xf>
    <xf numFmtId="0" fontId="8" fillId="0" borderId="5" xfId="0" applyFont="1" applyBorder="1" applyAlignment="1">
      <alignment horizontal="left" vertical="top" wrapText="1"/>
    </xf>
    <xf numFmtId="0" fontId="6" fillId="0" borderId="4" xfId="0" applyFont="1" applyBorder="1" applyAlignment="1">
      <alignment horizontal="left" vertical="top" wrapText="1"/>
    </xf>
    <xf numFmtId="0" fontId="8" fillId="0" borderId="4" xfId="0" applyFont="1" applyBorder="1" applyAlignment="1">
      <alignment horizontal="left" vertical="top" wrapText="1"/>
    </xf>
    <xf numFmtId="0" fontId="30" fillId="0" borderId="42" xfId="1" applyFont="1" applyBorder="1" applyAlignment="1">
      <alignment horizontal="left" vertical="top" wrapText="1"/>
    </xf>
    <xf numFmtId="0" fontId="30" fillId="0" borderId="5" xfId="1" applyFont="1" applyBorder="1" applyAlignment="1">
      <alignment horizontal="left" vertical="top" wrapText="1"/>
    </xf>
    <xf numFmtId="0" fontId="39" fillId="0" borderId="0" xfId="0" applyFont="1"/>
    <xf numFmtId="173" fontId="22" fillId="4" borderId="0" xfId="0" applyNumberFormat="1" applyFont="1" applyFill="1" applyAlignment="1">
      <alignment horizontal="left" vertical="center"/>
    </xf>
    <xf numFmtId="0" fontId="7" fillId="6" borderId="13" xfId="0" applyFont="1" applyFill="1" applyBorder="1" applyAlignment="1">
      <alignment horizontal="left" vertical="center" wrapText="1" indent="1"/>
    </xf>
    <xf numFmtId="0" fontId="7" fillId="6" borderId="14" xfId="0" applyFont="1" applyFill="1" applyBorder="1" applyAlignment="1">
      <alignment horizontal="left" vertical="center" wrapText="1" indent="1"/>
    </xf>
    <xf numFmtId="0" fontId="7" fillId="6" borderId="17" xfId="0" applyFont="1" applyFill="1" applyBorder="1" applyAlignment="1">
      <alignment horizontal="left" vertical="center" wrapText="1" indent="1"/>
    </xf>
    <xf numFmtId="0" fontId="7" fillId="6" borderId="0" xfId="0" applyFont="1" applyFill="1" applyAlignment="1">
      <alignment horizontal="left" vertical="center" wrapText="1"/>
    </xf>
    <xf numFmtId="0" fontId="7" fillId="6" borderId="16" xfId="0" applyFont="1" applyFill="1" applyBorder="1" applyAlignment="1">
      <alignment horizontal="left" vertical="center" wrapText="1"/>
    </xf>
    <xf numFmtId="0" fontId="7" fillId="6" borderId="14" xfId="0" applyFont="1" applyFill="1" applyBorder="1" applyAlignment="1">
      <alignment horizontal="left" vertical="center" wrapText="1"/>
    </xf>
    <xf numFmtId="0" fontId="7" fillId="6" borderId="17" xfId="0" applyFont="1" applyFill="1" applyBorder="1" applyAlignment="1">
      <alignment horizontal="left" vertical="center" wrapText="1"/>
    </xf>
    <xf numFmtId="0" fontId="7" fillId="4" borderId="0" xfId="0" applyFont="1" applyFill="1" applyAlignment="1">
      <alignment horizontal="left" vertical="center" wrapText="1"/>
    </xf>
    <xf numFmtId="3" fontId="25" fillId="6" borderId="11" xfId="0" applyNumberFormat="1" applyFont="1" applyFill="1" applyBorder="1" applyAlignment="1">
      <alignment horizontal="center" vertical="center"/>
    </xf>
    <xf numFmtId="3" fontId="25" fillId="6" borderId="0" xfId="0" applyNumberFormat="1" applyFont="1" applyFill="1" applyAlignment="1">
      <alignment horizontal="center" vertical="center"/>
    </xf>
    <xf numFmtId="167" fontId="26" fillId="6" borderId="11" xfId="0" applyNumberFormat="1" applyFont="1" applyFill="1" applyBorder="1" applyAlignment="1">
      <alignment horizontal="center" vertical="center"/>
    </xf>
    <xf numFmtId="167" fontId="26" fillId="6" borderId="0" xfId="0" applyNumberFormat="1" applyFont="1" applyFill="1" applyAlignment="1">
      <alignment horizontal="center" vertical="center"/>
    </xf>
    <xf numFmtId="168" fontId="26" fillId="6" borderId="11" xfId="0" applyNumberFormat="1" applyFont="1" applyFill="1" applyBorder="1" applyAlignment="1">
      <alignment horizontal="center" vertical="center"/>
    </xf>
    <xf numFmtId="168" fontId="26" fillId="6" borderId="0" xfId="0" applyNumberFormat="1" applyFont="1" applyFill="1" applyAlignment="1">
      <alignment horizontal="center" vertical="center"/>
    </xf>
    <xf numFmtId="167" fontId="27" fillId="6" borderId="11" xfId="0" applyNumberFormat="1" applyFont="1" applyFill="1" applyBorder="1" applyAlignment="1">
      <alignment horizontal="center" vertical="center"/>
    </xf>
    <xf numFmtId="167" fontId="27" fillId="6" borderId="0" xfId="0" applyNumberFormat="1" applyFont="1" applyFill="1" applyAlignment="1">
      <alignment horizontal="center" vertical="center"/>
    </xf>
    <xf numFmtId="167" fontId="27" fillId="6" borderId="16" xfId="0" applyNumberFormat="1" applyFont="1" applyFill="1" applyBorder="1" applyAlignment="1">
      <alignment horizontal="center" vertical="center"/>
    </xf>
    <xf numFmtId="0" fontId="23" fillId="6" borderId="13" xfId="0" applyFont="1" applyFill="1" applyBorder="1" applyAlignment="1">
      <alignment horizontal="center" vertical="center"/>
    </xf>
    <xf numFmtId="0" fontId="23" fillId="6" borderId="14" xfId="0" applyFont="1" applyFill="1" applyBorder="1" applyAlignment="1">
      <alignment horizontal="center" vertical="center"/>
    </xf>
    <xf numFmtId="0" fontId="23" fillId="6" borderId="17" xfId="0" applyFont="1" applyFill="1" applyBorder="1" applyAlignment="1">
      <alignment horizontal="center" vertical="center"/>
    </xf>
    <xf numFmtId="0" fontId="8" fillId="0" borderId="32" xfId="0" applyFont="1" applyBorder="1" applyAlignment="1">
      <alignment horizontal="left" vertical="top" wrapText="1"/>
    </xf>
    <xf numFmtId="0" fontId="8" fillId="0" borderId="3" xfId="0" applyFont="1" applyBorder="1" applyAlignment="1">
      <alignment horizontal="left" vertical="top" wrapText="1"/>
    </xf>
    <xf numFmtId="0" fontId="8" fillId="0" borderId="29" xfId="0" applyFont="1" applyBorder="1" applyAlignment="1">
      <alignment horizontal="left" vertical="top" wrapText="1"/>
    </xf>
    <xf numFmtId="0" fontId="8" fillId="0" borderId="26" xfId="0" applyFont="1" applyBorder="1" applyAlignment="1">
      <alignment horizontal="left" vertical="top" wrapText="1"/>
    </xf>
    <xf numFmtId="0" fontId="7" fillId="0" borderId="0" xfId="0" applyFont="1" applyAlignment="1">
      <alignment horizontal="left" vertical="center" wrapText="1"/>
    </xf>
    <xf numFmtId="0" fontId="8" fillId="0" borderId="0" xfId="0" applyFont="1" applyAlignment="1">
      <alignment horizontal="left" vertical="center" wrapText="1"/>
    </xf>
    <xf numFmtId="0" fontId="7" fillId="0" borderId="3" xfId="0" applyFont="1" applyBorder="1" applyAlignment="1">
      <alignment horizontal="left" vertical="center" wrapText="1"/>
    </xf>
    <xf numFmtId="0" fontId="8" fillId="0" borderId="3" xfId="0" applyFont="1" applyBorder="1" applyAlignment="1">
      <alignment horizontal="left" vertical="center" wrapText="1"/>
    </xf>
    <xf numFmtId="0" fontId="13" fillId="2" borderId="0" xfId="0" applyFont="1" applyFill="1" applyAlignment="1">
      <alignment horizontal="left" vertical="center" wrapText="1"/>
    </xf>
  </cellXfs>
  <cellStyles count="2">
    <cellStyle name="Hyperlink" xfId="1" builtinId="8"/>
    <cellStyle name="Normal" xfId="0" builtinId="0"/>
  </cellStyles>
  <dxfs count="37">
    <dxf>
      <font>
        <color rgb="FFB45309"/>
      </font>
    </dxf>
    <dxf>
      <font>
        <color rgb="FF15803D"/>
      </font>
    </dxf>
    <dxf>
      <font>
        <color rgb="FFB91C1C"/>
      </font>
    </dxf>
    <dxf>
      <font>
        <color rgb="FFB91C1C"/>
      </font>
    </dxf>
    <dxf>
      <font>
        <color rgb="FFB45309"/>
      </font>
    </dxf>
    <dxf>
      <font>
        <color rgb="FF15803D"/>
      </font>
    </dxf>
    <dxf>
      <font>
        <color rgb="FFB91C1C"/>
      </font>
    </dxf>
    <dxf>
      <font>
        <color rgb="FFB91C1C"/>
      </font>
    </dxf>
    <dxf>
      <font>
        <color rgb="FF15803D"/>
      </font>
    </dxf>
    <dxf>
      <font>
        <b/>
        <i val="0"/>
        <color rgb="FF0F766E"/>
      </font>
    </dxf>
    <dxf>
      <font>
        <color rgb="FFB45309"/>
      </font>
    </dxf>
    <dxf>
      <font>
        <color rgb="FF15803D"/>
      </font>
    </dxf>
    <dxf>
      <font>
        <color rgb="FFB91C1C"/>
      </font>
    </dxf>
    <dxf>
      <font>
        <color rgb="FFB91C1C"/>
      </font>
    </dxf>
    <dxf>
      <font>
        <color rgb="FF15803D"/>
      </fon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numFmt numFmtId="167" formatCode="#,##0\ &quot;€&quo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dxf>
    <dxf>
      <font>
        <b val="0"/>
        <i val="0"/>
        <strike val="0"/>
        <outline val="0"/>
        <shadow val="0"/>
        <u val="none"/>
        <vertAlign val="baseline"/>
        <sz val="10"/>
        <color theme="1"/>
        <name val="Segoe UI"/>
        <family val="2"/>
        <scheme val="none"/>
      </font>
    </dxf>
    <dxf>
      <font>
        <b val="0"/>
        <i val="0"/>
        <strike val="0"/>
        <condense val="0"/>
        <extend val="0"/>
        <outline val="0"/>
        <shadow val="0"/>
        <u val="none"/>
        <vertAlign val="baseline"/>
        <sz val="11"/>
        <color theme="1"/>
        <name val="Calibri"/>
        <scheme val="minor"/>
      </font>
      <numFmt numFmtId="166" formatCode="mmm\ yyyy"/>
    </dxf>
    <dxf>
      <alignment horizontal="left" vertical="bottom" textRotation="0" wrapText="0" indent="1" justifyLastLine="0" shrinkToFit="0" readingOrder="0"/>
    </dxf>
    <dxf>
      <font>
        <b val="0"/>
        <i val="0"/>
        <strike val="0"/>
        <condense val="0"/>
        <extend val="0"/>
        <outline val="0"/>
        <shadow val="0"/>
        <u val="none"/>
        <vertAlign val="baseline"/>
        <sz val="11"/>
        <color theme="1"/>
        <name val="Calibri"/>
        <scheme val="none"/>
      </font>
      <numFmt numFmtId="164" formatCode="yyyy\-mm\-dd"/>
    </dxf>
    <dxf>
      <font>
        <b val="0"/>
        <i val="0"/>
        <strike val="0"/>
        <condense val="0"/>
        <extend val="0"/>
        <outline val="0"/>
        <shadow val="0"/>
        <u val="none"/>
        <vertAlign val="baseline"/>
        <sz val="11"/>
        <color theme="1"/>
        <name val="Calibri"/>
        <scheme val="minor"/>
      </font>
      <numFmt numFmtId="167" formatCode="#,##0\ &quot;€&quo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30" formatCode="@"/>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30" formatCode="@"/>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none"/>
      </font>
      <alignment horizontal="center" vertical="center" textRotation="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1/relationships/timelineCache" Target="timelineCaches/timelineCache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customschemas.google.com/relationships/workbookmetadata" Target="metadata"/><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11/relationships/timelineCache" Target="timelineCaches/timeline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r>
              <a:rPr lang="en-GB"/>
              <a:t>Inscripciones por mes: observadas y previstas con FORECAST.ETS (IC 95 %)</a:t>
            </a:r>
          </a:p>
        </c:rich>
      </c:tx>
      <c:overlay val="0"/>
      <c:spPr>
        <a:noFill/>
        <a:ln>
          <a:noFill/>
        </a:ln>
        <a:effectLst/>
      </c:spPr>
      <c:txPr>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endParaRPr lang="en-US"/>
        </a:p>
      </c:txPr>
    </c:title>
    <c:autoTitleDeleted val="0"/>
    <c:plotArea>
      <c:layout/>
      <c:scatterChart>
        <c:scatterStyle val="lineMarker"/>
        <c:varyColors val="0"/>
        <c:ser>
          <c:idx val="0"/>
          <c:order val="0"/>
          <c:tx>
            <c:v>Observado (meses completos)</c:v>
          </c:tx>
          <c:spPr>
            <a:ln w="28575" cap="rnd">
              <a:solidFill>
                <a:srgbClr val="0F766E"/>
              </a:solidFill>
              <a:round/>
            </a:ln>
            <a:effectLst/>
          </c:spPr>
          <c:marker>
            <c:symbol val="circle"/>
            <c:size val="5"/>
            <c:spPr>
              <a:solidFill>
                <a:srgbClr val="0F766E"/>
              </a:solidFill>
              <a:ln w="28575">
                <a:solidFill>
                  <a:srgbClr val="0F766E"/>
                </a:solidFill>
                <a:prstDash val="solid"/>
              </a:ln>
              <a:effectLst/>
            </c:spPr>
          </c:marker>
          <c:xVal>
            <c:numRef>
              <c:f>Proyecciones!$B$7:$B$29</c:f>
              <c:numCache>
                <c:formatCode>mmm\ yyyy</c:formatCode>
                <c:ptCount val="23"/>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numCache>
            </c:numRef>
          </c:xVal>
          <c:yVal>
            <c:numRef>
              <c:f>Proyecciones!$C$7:$C$29</c:f>
              <c:numCache>
                <c:formatCode>0</c:formatCode>
                <c:ptCount val="23"/>
                <c:pt idx="0">
                  <c:v>4</c:v>
                </c:pt>
                <c:pt idx="1">
                  <c:v>3</c:v>
                </c:pt>
                <c:pt idx="2">
                  <c:v>8</c:v>
                </c:pt>
                <c:pt idx="3">
                  <c:v>1</c:v>
                </c:pt>
                <c:pt idx="4">
                  <c:v>6</c:v>
                </c:pt>
                <c:pt idx="5">
                  <c:v>3</c:v>
                </c:pt>
                <c:pt idx="6">
                  <c:v>2</c:v>
                </c:pt>
                <c:pt idx="7">
                  <c:v>5</c:v>
                </c:pt>
                <c:pt idx="8">
                  <c:v>3</c:v>
                </c:pt>
                <c:pt idx="9">
                  <c:v>3</c:v>
                </c:pt>
                <c:pt idx="10">
                  <c:v>4</c:v>
                </c:pt>
                <c:pt idx="11">
                  <c:v>2</c:v>
                </c:pt>
                <c:pt idx="12">
                  <c:v>2</c:v>
                </c:pt>
                <c:pt idx="13">
                  <c:v>7</c:v>
                </c:pt>
                <c:pt idx="14">
                  <c:v>9</c:v>
                </c:pt>
                <c:pt idx="15">
                  <c:v>5</c:v>
                </c:pt>
                <c:pt idx="16">
                  <c:v>3</c:v>
                </c:pt>
                <c:pt idx="17">
                  <c:v>3</c:v>
                </c:pt>
                <c:pt idx="18">
                  <c:v>6</c:v>
                </c:pt>
                <c:pt idx="19">
                  <c:v>3</c:v>
                </c:pt>
                <c:pt idx="20">
                  <c:v>7</c:v>
                </c:pt>
                <c:pt idx="21">
                  <c:v>2</c:v>
                </c:pt>
                <c:pt idx="22">
                  <c:v>6</c:v>
                </c:pt>
              </c:numCache>
            </c:numRef>
          </c:yVal>
          <c:smooth val="0"/>
          <c:extLst>
            <c:ext xmlns:c16="http://schemas.microsoft.com/office/drawing/2014/chart" uri="{C3380CC4-5D6E-409C-BE32-E72D297353CC}">
              <c16:uniqueId val="{00000001-21B1-4D82-AD3D-4B928E3630B0}"/>
            </c:ext>
          </c:extLst>
        </c:ser>
        <c:ser>
          <c:idx val="1"/>
          <c:order val="1"/>
          <c:tx>
            <c:v>Mes parcial (excluido)</c:v>
          </c:tx>
          <c:spPr>
            <a:ln w="25400" cap="rnd">
              <a:noFill/>
              <a:round/>
            </a:ln>
            <a:effectLst/>
          </c:spPr>
          <c:marker>
            <c:symbol val="circle"/>
            <c:size val="7"/>
            <c:spPr>
              <a:noFill/>
              <a:ln w="9525">
                <a:solidFill>
                  <a:srgbClr val="64748B"/>
                </a:solidFill>
                <a:prstDash val="solid"/>
              </a:ln>
              <a:effectLst/>
            </c:spPr>
          </c:marker>
          <c:xVal>
            <c:numRef>
              <c:f>Proyecciones!$B$35:$B$36</c:f>
              <c:numCache>
                <c:formatCode>mmm\ yyyy</c:formatCode>
                <c:ptCount val="2"/>
                <c:pt idx="0">
                  <c:v>44866</c:v>
                </c:pt>
                <c:pt idx="1">
                  <c:v>45597</c:v>
                </c:pt>
              </c:numCache>
            </c:numRef>
          </c:xVal>
          <c:yVal>
            <c:numRef>
              <c:f>Proyecciones!$C$35:$C$36</c:f>
              <c:numCache>
                <c:formatCode>0</c:formatCode>
                <c:ptCount val="2"/>
                <c:pt idx="0">
                  <c:v>1</c:v>
                </c:pt>
                <c:pt idx="1">
                  <c:v>2</c:v>
                </c:pt>
              </c:numCache>
            </c:numRef>
          </c:yVal>
          <c:smooth val="0"/>
          <c:extLst>
            <c:ext xmlns:c16="http://schemas.microsoft.com/office/drawing/2014/chart" uri="{C3380CC4-5D6E-409C-BE32-E72D297353CC}">
              <c16:uniqueId val="{00000002-21B1-4D82-AD3D-4B928E3630B0}"/>
            </c:ext>
          </c:extLst>
        </c:ser>
        <c:ser>
          <c:idx val="2"/>
          <c:order val="2"/>
          <c:tx>
            <c:v>Previsión FORECAST.ETS</c:v>
          </c:tx>
          <c:spPr>
            <a:ln w="28575" cap="rnd">
              <a:solidFill>
                <a:srgbClr val="D97706"/>
              </a:solidFill>
              <a:round/>
            </a:ln>
            <a:effectLst/>
          </c:spPr>
          <c:marker>
            <c:symbol val="circle"/>
            <c:size val="5"/>
            <c:spPr>
              <a:solidFill>
                <a:srgbClr val="D97706"/>
              </a:solidFill>
              <a:ln w="28575">
                <a:solidFill>
                  <a:srgbClr val="D97706"/>
                </a:solidFill>
                <a:prstDash val="solid"/>
              </a:ln>
              <a:effectLst/>
            </c:spPr>
          </c:marker>
          <c:xVal>
            <c:numRef>
              <c:f>Proyecciones!$H$6:$H$17</c:f>
              <c:numCache>
                <c:formatCode>mmm\ yyyy</c:formatCode>
                <c:ptCount val="12"/>
                <c:pt idx="0">
                  <c:v>45597</c:v>
                </c:pt>
                <c:pt idx="1">
                  <c:v>45627</c:v>
                </c:pt>
                <c:pt idx="2">
                  <c:v>45658</c:v>
                </c:pt>
                <c:pt idx="3">
                  <c:v>45689</c:v>
                </c:pt>
                <c:pt idx="4">
                  <c:v>45717</c:v>
                </c:pt>
                <c:pt idx="5">
                  <c:v>45748</c:v>
                </c:pt>
                <c:pt idx="6">
                  <c:v>45778</c:v>
                </c:pt>
                <c:pt idx="7">
                  <c:v>45809</c:v>
                </c:pt>
                <c:pt idx="8">
                  <c:v>45839</c:v>
                </c:pt>
                <c:pt idx="9">
                  <c:v>45870</c:v>
                </c:pt>
                <c:pt idx="10">
                  <c:v>45901</c:v>
                </c:pt>
                <c:pt idx="11">
                  <c:v>45931</c:v>
                </c:pt>
              </c:numCache>
            </c:numRef>
          </c:xVal>
          <c:yVal>
            <c:numRef>
              <c:f>Proyecciones!$I$6:$I$17</c:f>
              <c:numCache>
                <c:formatCode>0.0</c:formatCode>
                <c:ptCount val="12"/>
                <c:pt idx="0">
                  <c:v>4.997937280378582</c:v>
                </c:pt>
                <c:pt idx="1">
                  <c:v>5.0390425534469436</c:v>
                </c:pt>
                <c:pt idx="2">
                  <c:v>5.0801478265152973</c:v>
                </c:pt>
                <c:pt idx="3">
                  <c:v>5.1212530995836589</c:v>
                </c:pt>
                <c:pt idx="4">
                  <c:v>5.1623583726520126</c:v>
                </c:pt>
                <c:pt idx="5">
                  <c:v>5.2034636457203742</c:v>
                </c:pt>
                <c:pt idx="6">
                  <c:v>5.2445689187887279</c:v>
                </c:pt>
                <c:pt idx="7">
                  <c:v>5.2856741918570895</c:v>
                </c:pt>
                <c:pt idx="8">
                  <c:v>5.3267794649254432</c:v>
                </c:pt>
                <c:pt idx="9">
                  <c:v>5.3678847379938048</c:v>
                </c:pt>
                <c:pt idx="10">
                  <c:v>5.4089900110621585</c:v>
                </c:pt>
                <c:pt idx="11">
                  <c:v>5.4500952841305201</c:v>
                </c:pt>
              </c:numCache>
            </c:numRef>
          </c:yVal>
          <c:smooth val="0"/>
          <c:extLst>
            <c:ext xmlns:c16="http://schemas.microsoft.com/office/drawing/2014/chart" uri="{C3380CC4-5D6E-409C-BE32-E72D297353CC}">
              <c16:uniqueId val="{00000003-21B1-4D82-AD3D-4B928E3630B0}"/>
            </c:ext>
          </c:extLst>
        </c:ser>
        <c:ser>
          <c:idx val="3"/>
          <c:order val="3"/>
          <c:tx>
            <c:v>Límite inferior 95 %</c:v>
          </c:tx>
          <c:spPr>
            <a:ln w="12700" cap="rnd">
              <a:solidFill>
                <a:srgbClr val="64748B"/>
              </a:solidFill>
              <a:prstDash val="dash"/>
              <a:round/>
            </a:ln>
            <a:effectLst/>
          </c:spPr>
          <c:marker>
            <c:symbol val="none"/>
          </c:marker>
          <c:xVal>
            <c:numRef>
              <c:f>Proyecciones!$H$6:$H$17</c:f>
              <c:numCache>
                <c:formatCode>mmm\ yyyy</c:formatCode>
                <c:ptCount val="12"/>
                <c:pt idx="0">
                  <c:v>45597</c:v>
                </c:pt>
                <c:pt idx="1">
                  <c:v>45627</c:v>
                </c:pt>
                <c:pt idx="2">
                  <c:v>45658</c:v>
                </c:pt>
                <c:pt idx="3">
                  <c:v>45689</c:v>
                </c:pt>
                <c:pt idx="4">
                  <c:v>45717</c:v>
                </c:pt>
                <c:pt idx="5">
                  <c:v>45748</c:v>
                </c:pt>
                <c:pt idx="6">
                  <c:v>45778</c:v>
                </c:pt>
                <c:pt idx="7">
                  <c:v>45809</c:v>
                </c:pt>
                <c:pt idx="8">
                  <c:v>45839</c:v>
                </c:pt>
                <c:pt idx="9">
                  <c:v>45870</c:v>
                </c:pt>
                <c:pt idx="10">
                  <c:v>45901</c:v>
                </c:pt>
                <c:pt idx="11">
                  <c:v>45931</c:v>
                </c:pt>
              </c:numCache>
            </c:numRef>
          </c:xVal>
          <c:yVal>
            <c:numRef>
              <c:f>Proyecciones!$J$6:$J$17</c:f>
              <c:numCache>
                <c:formatCode>0.0</c:formatCode>
                <c:ptCount val="12"/>
                <c:pt idx="0">
                  <c:v>0.83324592276640708</c:v>
                </c:pt>
                <c:pt idx="1">
                  <c:v>0.87433245476582666</c:v>
                </c:pt>
                <c:pt idx="2">
                  <c:v>0.91540441058651467</c:v>
                </c:pt>
                <c:pt idx="3">
                  <c:v>0.95645762598897743</c:v>
                </c:pt>
                <c:pt idx="4">
                  <c:v>0.99748793716155237</c:v>
                </c:pt>
                <c:pt idx="5">
                  <c:v>1.0384911809286077</c:v>
                </c:pt>
                <c:pt idx="6">
                  <c:v>1.0794631950001623</c:v>
                </c:pt>
                <c:pt idx="7">
                  <c:v>1.1203998182631114</c:v>
                </c:pt>
                <c:pt idx="8">
                  <c:v>1.1612968911137216</c:v>
                </c:pt>
                <c:pt idx="9">
                  <c:v>1.2021502558315378</c:v>
                </c:pt>
                <c:pt idx="10">
                  <c:v>1.2429557569943004</c:v>
                </c:pt>
                <c:pt idx="11">
                  <c:v>1.2837092419339573</c:v>
                </c:pt>
              </c:numCache>
            </c:numRef>
          </c:yVal>
          <c:smooth val="0"/>
          <c:extLst>
            <c:ext xmlns:c16="http://schemas.microsoft.com/office/drawing/2014/chart" uri="{C3380CC4-5D6E-409C-BE32-E72D297353CC}">
              <c16:uniqueId val="{00000004-21B1-4D82-AD3D-4B928E3630B0}"/>
            </c:ext>
          </c:extLst>
        </c:ser>
        <c:ser>
          <c:idx val="4"/>
          <c:order val="4"/>
          <c:tx>
            <c:v>Límite superior 95 %</c:v>
          </c:tx>
          <c:spPr>
            <a:ln w="12700" cap="rnd">
              <a:solidFill>
                <a:srgbClr val="64748B"/>
              </a:solidFill>
              <a:prstDash val="dash"/>
              <a:round/>
            </a:ln>
            <a:effectLst/>
          </c:spPr>
          <c:marker>
            <c:symbol val="none"/>
          </c:marker>
          <c:xVal>
            <c:numRef>
              <c:f>Proyecciones!$H$6:$H$17</c:f>
              <c:numCache>
                <c:formatCode>mmm\ yyyy</c:formatCode>
                <c:ptCount val="12"/>
                <c:pt idx="0">
                  <c:v>45597</c:v>
                </c:pt>
                <c:pt idx="1">
                  <c:v>45627</c:v>
                </c:pt>
                <c:pt idx="2">
                  <c:v>45658</c:v>
                </c:pt>
                <c:pt idx="3">
                  <c:v>45689</c:v>
                </c:pt>
                <c:pt idx="4">
                  <c:v>45717</c:v>
                </c:pt>
                <c:pt idx="5">
                  <c:v>45748</c:v>
                </c:pt>
                <c:pt idx="6">
                  <c:v>45778</c:v>
                </c:pt>
                <c:pt idx="7">
                  <c:v>45809</c:v>
                </c:pt>
                <c:pt idx="8">
                  <c:v>45839</c:v>
                </c:pt>
                <c:pt idx="9">
                  <c:v>45870</c:v>
                </c:pt>
                <c:pt idx="10">
                  <c:v>45901</c:v>
                </c:pt>
                <c:pt idx="11">
                  <c:v>45931</c:v>
                </c:pt>
              </c:numCache>
            </c:numRef>
          </c:xVal>
          <c:yVal>
            <c:numRef>
              <c:f>Proyecciones!$K$6:$K$17</c:f>
              <c:numCache>
                <c:formatCode>0.0</c:formatCode>
                <c:ptCount val="12"/>
                <c:pt idx="0">
                  <c:v>9.1626286379907569</c:v>
                </c:pt>
                <c:pt idx="1">
                  <c:v>9.2037526521280597</c:v>
                </c:pt>
                <c:pt idx="2">
                  <c:v>9.2448912424440799</c:v>
                </c:pt>
                <c:pt idx="3">
                  <c:v>9.2860485731783413</c:v>
                </c:pt>
                <c:pt idx="4">
                  <c:v>9.3272288081424719</c:v>
                </c:pt>
                <c:pt idx="5">
                  <c:v>9.3684361105121408</c:v>
                </c:pt>
                <c:pt idx="6">
                  <c:v>9.4096746425772935</c:v>
                </c:pt>
                <c:pt idx="7">
                  <c:v>9.4509485654510677</c:v>
                </c:pt>
                <c:pt idx="8">
                  <c:v>9.4922620387371648</c:v>
                </c:pt>
                <c:pt idx="9">
                  <c:v>9.5336192201560728</c:v>
                </c:pt>
                <c:pt idx="10">
                  <c:v>9.5750242651300166</c:v>
                </c:pt>
                <c:pt idx="11">
                  <c:v>9.616481326327083</c:v>
                </c:pt>
              </c:numCache>
            </c:numRef>
          </c:yVal>
          <c:smooth val="0"/>
          <c:extLst>
            <c:ext xmlns:c16="http://schemas.microsoft.com/office/drawing/2014/chart" uri="{C3380CC4-5D6E-409C-BE32-E72D297353CC}">
              <c16:uniqueId val="{00000005-21B1-4D82-AD3D-4B928E3630B0}"/>
            </c:ext>
          </c:extLst>
        </c:ser>
        <c:dLbls>
          <c:showLegendKey val="0"/>
          <c:showVal val="0"/>
          <c:showCatName val="0"/>
          <c:showSerName val="0"/>
          <c:showPercent val="0"/>
          <c:showBubbleSize val="0"/>
        </c:dLbls>
        <c:axId val="58696703"/>
        <c:axId val="1612143983"/>
      </c:scatterChart>
      <c:valAx>
        <c:axId val="58696703"/>
        <c:scaling>
          <c:orientation val="minMax"/>
          <c:max val="45962"/>
          <c:min val="44851"/>
        </c:scaling>
        <c:delete val="0"/>
        <c:axPos val="b"/>
        <c:majorGridlines>
          <c:spPr>
            <a:ln w="9525" cap="flat" cmpd="sng" algn="ctr">
              <a:solidFill>
                <a:schemeClr val="tx1">
                  <a:lumMod val="15000"/>
                  <a:lumOff val="85000"/>
                </a:schemeClr>
              </a:solidFill>
              <a:round/>
            </a:ln>
            <a:effectLst/>
          </c:spPr>
        </c:majorGridlines>
        <c:numFmt formatCode="mmm\ 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475569"/>
                </a:solidFill>
                <a:latin typeface="Segoe UI"/>
                <a:ea typeface="Segoe UI"/>
                <a:cs typeface="Segoe UI"/>
              </a:defRPr>
            </a:pPr>
            <a:endParaRPr lang="en-US"/>
          </a:p>
        </c:txPr>
        <c:crossAx val="1612143983"/>
        <c:crosses val="autoZero"/>
        <c:crossBetween val="midCat"/>
        <c:majorUnit val="91.3125"/>
      </c:valAx>
      <c:valAx>
        <c:axId val="1612143983"/>
        <c:scaling>
          <c:orientation val="minMax"/>
          <c:min val="0"/>
        </c:scaling>
        <c:delete val="0"/>
        <c:axPos val="l"/>
        <c:majorGridlines>
          <c:spPr>
            <a:ln w="9525" cap="flat" cmpd="sng" algn="ctr">
              <a:solidFill>
                <a:srgbClr val="E2E8F0"/>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475569"/>
                </a:solidFill>
                <a:latin typeface="Segoe UI"/>
                <a:ea typeface="Segoe UI"/>
                <a:cs typeface="Segoe UI"/>
              </a:defRPr>
            </a:pPr>
            <a:endParaRPr lang="en-US"/>
          </a:p>
        </c:txPr>
        <c:crossAx val="586967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475569"/>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rgbClr val="E2E8F0"/>
      </a:solidFill>
      <a:round/>
    </a:ln>
    <a:effectLst/>
  </c:spPr>
  <c:txPr>
    <a:bodyPr/>
    <a:lstStyle/>
    <a:p>
      <a:pPr>
        <a:defRPr>
          <a:latin typeface="Segoe UI"/>
          <a:ea typeface="Segoe UI"/>
          <a:cs typeface="Segoe U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[event-dashboard.xlsm]Cuadro de mando del evento!ptRevenueBySession</c:name>
    <c:fmtId val="0"/>
  </c:pivotSource>
  <c:chart>
    <c:title>
      <c:tx>
        <c:rich>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r>
              <a:rPr lang="en-GB"/>
              <a:t>Ingresos por tipo de sesión (€)</a:t>
            </a:r>
          </a:p>
        </c:rich>
      </c:tx>
      <c:overlay val="0"/>
      <c:spPr>
        <a:noFill/>
        <a:ln>
          <a:noFill/>
        </a:ln>
        <a:effectLst/>
      </c:spPr>
      <c:txPr>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endParaRPr lang="en-US"/>
        </a:p>
      </c:txPr>
    </c:title>
    <c:autoTitleDeleted val="0"/>
    <c:pivotFmts>
      <c:pivotFmt>
        <c:idx val="0"/>
        <c:spPr>
          <a:solidFill>
            <a:srgbClr val="1E40AF"/>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E293B"/>
                  </a:solidFill>
                  <a:latin typeface="Segoe UI"/>
                  <a:ea typeface="Segoe UI"/>
                  <a:cs typeface="Segoe U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85953293091506"/>
          <c:y val="0.17143564356435645"/>
          <c:w val="0.63509874326750448"/>
          <c:h val="0.77410891089108913"/>
        </c:manualLayout>
      </c:layout>
      <c:barChart>
        <c:barDir val="bar"/>
        <c:grouping val="clustered"/>
        <c:varyColors val="0"/>
        <c:ser>
          <c:idx val="0"/>
          <c:order val="0"/>
          <c:tx>
            <c:strRef>
              <c:f>'Cuadro de mando del evento'!$T$5</c:f>
              <c:strCache>
                <c:ptCount val="1"/>
                <c:pt idx="0">
                  <c:v>Total</c:v>
                </c:pt>
              </c:strCache>
            </c:strRef>
          </c:tx>
          <c:spPr>
            <a:solidFill>
              <a:srgbClr val="1E40AF"/>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E293B"/>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'Cuadro de mando del evento'!$S$6:$S$9</c:f>
              <c:strCache>
                <c:ptCount val="3"/>
                <c:pt idx="0">
                  <c:v>Cybersecurity</c:v>
                </c:pt>
                <c:pt idx="1">
                  <c:v>Data Analytics</c:v>
                </c:pt>
                <c:pt idx="2">
                  <c:v>Artificial Intelligence</c:v>
                </c:pt>
              </c:strCache>
            </c:strRef>
          </c:cat>
          <c:val>
            <c:numRef>
              <c:f>'Cuadro de mando del evento'!$T$6:$T$9</c:f>
              <c:numCache>
                <c:formatCode>#,##0\ "€"</c:formatCode>
                <c:ptCount val="3"/>
                <c:pt idx="0">
                  <c:v>9900</c:v>
                </c:pt>
                <c:pt idx="1">
                  <c:v>15300</c:v>
                </c:pt>
                <c:pt idx="2">
                  <c:v>23100</c:v>
                </c:pt>
              </c:numCache>
            </c:numRef>
          </c:val>
          <c:extLst>
            <c:ext xmlns:c16="http://schemas.microsoft.com/office/drawing/2014/chart" uri="{C3380CC4-5D6E-409C-BE32-E72D297353CC}">
              <c16:uniqueId val="{00000003-3107-4A97-B5F2-5F99FA56431B}"/>
            </c:ext>
          </c:extLst>
        </c:ser>
        <c:dLbls>
          <c:showLegendKey val="0"/>
          <c:showVal val="0"/>
          <c:showCatName val="0"/>
          <c:showSerName val="0"/>
          <c:showPercent val="0"/>
          <c:showBubbleSize val="0"/>
        </c:dLbls>
        <c:gapWidth val="60"/>
        <c:axId val="1468004319"/>
        <c:axId val="926255951"/>
      </c:barChart>
      <c:catAx>
        <c:axId val="1468004319"/>
        <c:scaling>
          <c:orientation val="minMax"/>
        </c:scaling>
        <c:delete val="0"/>
        <c:axPos val="l"/>
        <c:numFmt formatCode="General" sourceLinked="1"/>
        <c:majorTickMark val="none"/>
        <c:minorTickMark val="none"/>
        <c:tickLblPos val="nextTo"/>
        <c:spPr>
          <a:noFill/>
          <a:ln w="9525" cap="flat" cmpd="sng" algn="ctr">
            <a:solidFill>
              <a:srgbClr val="E2E8F0"/>
            </a:solidFill>
            <a:round/>
          </a:ln>
          <a:effectLst/>
        </c:spPr>
        <c:txPr>
          <a:bodyPr rot="-60000000" spcFirstLastPara="1" vertOverflow="ellipsis" vert="horz" wrap="square" anchor="ctr" anchorCtr="1"/>
          <a:lstStyle/>
          <a:p>
            <a:pPr>
              <a:defRPr sz="900" b="0" i="0" u="none" strike="noStrike" kern="1200" baseline="0">
                <a:solidFill>
                  <a:srgbClr val="1E293B"/>
                </a:solidFill>
                <a:latin typeface="Segoe UI"/>
                <a:ea typeface="Segoe UI"/>
                <a:cs typeface="Segoe UI"/>
              </a:defRPr>
            </a:pPr>
            <a:endParaRPr lang="en-US"/>
          </a:p>
        </c:txPr>
        <c:crossAx val="926255951"/>
        <c:crosses val="autoZero"/>
        <c:auto val="1"/>
        <c:lblAlgn val="ctr"/>
        <c:lblOffset val="100"/>
        <c:noMultiLvlLbl val="0"/>
      </c:catAx>
      <c:valAx>
        <c:axId val="926255951"/>
        <c:scaling>
          <c:orientation val="minMax"/>
          <c:min val="0"/>
        </c:scaling>
        <c:delete val="1"/>
        <c:axPos val="b"/>
        <c:numFmt formatCode="#,##0\ &quot;€&quot;" sourceLinked="1"/>
        <c:majorTickMark val="none"/>
        <c:minorTickMark val="none"/>
        <c:tickLblPos val="nextTo"/>
        <c:crossAx val="1468004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rgbClr val="E2E8F0"/>
      </a:solidFill>
      <a:round/>
    </a:ln>
    <a:effectLst/>
  </c:spPr>
  <c:txPr>
    <a:bodyPr/>
    <a:lstStyle/>
    <a:p>
      <a:pPr>
        <a:defRPr sz="900">
          <a:solidFill>
            <a:srgbClr val="475569"/>
          </a:solidFill>
          <a:latin typeface="Segoe UI"/>
          <a:ea typeface="Segoe UI"/>
          <a:cs typeface="Segoe UI"/>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[event-dashboard.xlsm]Cuadro de mando del evento!ptAttendanceType</c:name>
    <c:fmtId val="0"/>
  </c:pivotSource>
  <c:chart>
    <c:title>
      <c:tx>
        <c:rich>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r>
              <a:rPr lang="en-GB"/>
              <a:t>Asistentes por tipo de asistencia: en línea frente a presencial</a:t>
            </a:r>
          </a:p>
        </c:rich>
      </c:tx>
      <c:overlay val="0"/>
      <c:spPr>
        <a:noFill/>
        <a:ln>
          <a:noFill/>
        </a:ln>
        <a:effectLst/>
      </c:spPr>
      <c:txPr>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34E4A"/>
                  </a:solidFill>
                  <a:latin typeface="Segoe UI"/>
                  <a:ea typeface="Segoe UI"/>
                  <a:cs typeface="Segoe UI"/>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rgbClr val="0F766E"/>
          </a:solidFill>
          <a:ln w="19050">
            <a:solidFill>
              <a:srgbClr val="FFFFFF"/>
            </a:solidFill>
          </a:ln>
          <a:effectLst/>
        </c:spPr>
      </c:pivotFmt>
      <c:pivotFmt>
        <c:idx val="2"/>
        <c:spPr>
          <a:solidFill>
            <a:srgbClr val="99F6E4"/>
          </a:solidFill>
          <a:ln w="19050">
            <a:solidFill>
              <a:srgbClr val="FFFFFF"/>
            </a:solidFill>
          </a:ln>
          <a:effectLst/>
        </c:spPr>
      </c:pivotFmt>
    </c:pivotFmts>
    <c:plotArea>
      <c:layout/>
      <c:pieChart>
        <c:varyColors val="1"/>
        <c:ser>
          <c:idx val="0"/>
          <c:order val="0"/>
          <c:tx>
            <c:strRef>
              <c:f>'Cuadro de mando del evento'!$W$5</c:f>
              <c:strCache>
                <c:ptCount val="1"/>
                <c:pt idx="0">
                  <c:v>Total</c:v>
                </c:pt>
              </c:strCache>
            </c:strRef>
          </c:tx>
          <c:dPt>
            <c:idx val="0"/>
            <c:bubble3D val="0"/>
            <c:spPr>
              <a:solidFill>
                <a:srgbClr val="0F766E"/>
              </a:solidFill>
              <a:ln w="19050">
                <a:solidFill>
                  <a:srgbClr val="FFFFFF"/>
                </a:solidFill>
              </a:ln>
              <a:effectLst/>
            </c:spPr>
            <c:extLst>
              <c:ext xmlns:c16="http://schemas.microsoft.com/office/drawing/2014/chart" uri="{C3380CC4-5D6E-409C-BE32-E72D297353CC}">
                <c16:uniqueId val="{00000004-68A4-422F-B0A8-12FBF2BAB6DE}"/>
              </c:ext>
            </c:extLst>
          </c:dPt>
          <c:dPt>
            <c:idx val="1"/>
            <c:bubble3D val="0"/>
            <c:spPr>
              <a:solidFill>
                <a:srgbClr val="99F6E4"/>
              </a:solidFill>
              <a:ln w="19050">
                <a:solidFill>
                  <a:srgbClr val="FFFFFF"/>
                </a:solidFill>
              </a:ln>
              <a:effectLst/>
            </c:spPr>
            <c:extLst>
              <c:ext xmlns:c16="http://schemas.microsoft.com/office/drawing/2014/chart" uri="{C3380CC4-5D6E-409C-BE32-E72D297353CC}">
                <c16:uniqueId val="{00000005-68A4-422F-B0A8-12FBF2BAB6DE}"/>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34E4A"/>
                    </a:solidFill>
                    <a:latin typeface="Segoe UI"/>
                    <a:ea typeface="Segoe UI"/>
                    <a:cs typeface="Segoe UI"/>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extLst>
          </c:dLbls>
          <c:cat>
            <c:strRef>
              <c:f>'Cuadro de mando del evento'!$V$6:$V$8</c:f>
              <c:strCache>
                <c:ptCount val="2"/>
                <c:pt idx="0">
                  <c:v>In-Person</c:v>
                </c:pt>
                <c:pt idx="1">
                  <c:v>Online</c:v>
                </c:pt>
              </c:strCache>
            </c:strRef>
          </c:cat>
          <c:val>
            <c:numRef>
              <c:f>'Cuadro de mando del evento'!$W$6:$W$8</c:f>
              <c:numCache>
                <c:formatCode>#,##0</c:formatCode>
                <c:ptCount val="2"/>
                <c:pt idx="0">
                  <c:v>50</c:v>
                </c:pt>
                <c:pt idx="1">
                  <c:v>50</c:v>
                </c:pt>
              </c:numCache>
            </c:numRef>
          </c:val>
          <c:extLst>
            <c:ext xmlns:c16="http://schemas.microsoft.com/office/drawing/2014/chart" uri="{C3380CC4-5D6E-409C-BE32-E72D297353CC}">
              <c16:uniqueId val="{00000003-68A4-422F-B0A8-12FBF2BAB6D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rgbClr val="E2E8F0"/>
      </a:solidFill>
      <a:round/>
    </a:ln>
    <a:effectLst/>
  </c:spPr>
  <c:txPr>
    <a:bodyPr/>
    <a:lstStyle/>
    <a:p>
      <a:pPr>
        <a:defRPr sz="900">
          <a:solidFill>
            <a:srgbClr val="475569"/>
          </a:solidFill>
          <a:latin typeface="Segoe UI"/>
          <a:ea typeface="Segoe UI"/>
          <a:cs typeface="Segoe UI"/>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[event-dashboard.xlsm]Cuadro de mando del evento!ptAttendeesByMonth</c:name>
    <c:fmtId val="0"/>
  </c:pivotSource>
  <c:chart>
    <c:title>
      <c:tx>
        <c:rich>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r>
              <a:rPr lang="en-GB"/>
              <a:t>Asistentes registrados por mes</a:t>
            </a:r>
          </a:p>
        </c:rich>
      </c:tx>
      <c:overlay val="0"/>
      <c:spPr>
        <a:noFill/>
        <a:ln>
          <a:noFill/>
        </a:ln>
        <a:effectLst/>
      </c:spPr>
      <c:txPr>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endParaRPr lang="en-US"/>
        </a:p>
      </c:txPr>
    </c:title>
    <c:autoTitleDeleted val="0"/>
    <c:pivotFmts>
      <c:pivotFmt>
        <c:idx val="0"/>
        <c:spPr>
          <a:ln w="28575" cap="rnd">
            <a:solidFill>
              <a:srgbClr val="0F766E"/>
            </a:solidFill>
            <a:round/>
          </a:ln>
          <a:effectLst/>
        </c:spPr>
        <c:marker>
          <c:symbol val="circle"/>
          <c:size val="5"/>
          <c:spPr>
            <a:solidFill>
              <a:srgbClr val="0F766E"/>
            </a:solidFill>
            <a:ln w="28575">
              <a:solidFill>
                <a:srgbClr val="0F766E"/>
              </a:solidFill>
              <a:prstDash val="soli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75569"/>
                  </a:solidFill>
                  <a:latin typeface="Segoe UI"/>
                  <a:ea typeface="Segoe UI"/>
                  <a:cs typeface="Segoe UI"/>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'Cuadro de mando del evento'!$Z$5</c:f>
              <c:strCache>
                <c:ptCount val="1"/>
                <c:pt idx="0">
                  <c:v>Total</c:v>
                </c:pt>
              </c:strCache>
            </c:strRef>
          </c:tx>
          <c:spPr>
            <a:ln w="28575" cap="rnd">
              <a:solidFill>
                <a:srgbClr val="0F766E"/>
              </a:solidFill>
              <a:round/>
            </a:ln>
            <a:effectLst/>
          </c:spPr>
          <c:marker>
            <c:symbol val="circle"/>
            <c:size val="5"/>
            <c:spPr>
              <a:solidFill>
                <a:srgbClr val="0F766E"/>
              </a:solidFill>
              <a:ln w="28575">
                <a:solidFill>
                  <a:srgbClr val="0F766E"/>
                </a:solidFill>
                <a:prstDash val="solid"/>
              </a:ln>
              <a:effectLst/>
            </c:spPr>
          </c:marker>
          <c:cat>
            <c:strRef>
              <c:f>'Cuadro de mando del evento'!$Y$6:$Y$31</c:f>
              <c:strCache>
                <c:ptCount val="25"/>
                <c:pt idx="0">
                  <c:v>Nov 2022</c:v>
                </c:pt>
                <c:pt idx="1">
                  <c:v>Dec 2022</c:v>
                </c:pt>
                <c:pt idx="2">
                  <c:v>Jan 2023</c:v>
                </c:pt>
                <c:pt idx="3">
                  <c:v>Feb 2023</c:v>
                </c:pt>
                <c:pt idx="4">
                  <c:v>Mar 2023</c:v>
                </c:pt>
                <c:pt idx="5">
                  <c:v>Apr 2023</c:v>
                </c:pt>
                <c:pt idx="6">
                  <c:v>May 2023</c:v>
                </c:pt>
                <c:pt idx="7">
                  <c:v>Jun 2023</c:v>
                </c:pt>
                <c:pt idx="8">
                  <c:v>Jul 2023</c:v>
                </c:pt>
                <c:pt idx="9">
                  <c:v>Aug 2023</c:v>
                </c:pt>
                <c:pt idx="10">
                  <c:v>Sep 2023</c:v>
                </c:pt>
                <c:pt idx="11">
                  <c:v>Oct 2023</c:v>
                </c:pt>
                <c:pt idx="12">
                  <c:v>Nov 2023</c:v>
                </c:pt>
                <c:pt idx="13">
                  <c:v>Dec 2023</c:v>
                </c:pt>
                <c:pt idx="14">
                  <c:v>Jan 2024</c:v>
                </c:pt>
                <c:pt idx="15">
                  <c:v>Feb 2024</c:v>
                </c:pt>
                <c:pt idx="16">
                  <c:v>Mar 2024</c:v>
                </c:pt>
                <c:pt idx="17">
                  <c:v>Apr 2024</c:v>
                </c:pt>
                <c:pt idx="18">
                  <c:v>May 2024</c:v>
                </c:pt>
                <c:pt idx="19">
                  <c:v>Jun 2024</c:v>
                </c:pt>
                <c:pt idx="20">
                  <c:v>Jul 2024</c:v>
                </c:pt>
                <c:pt idx="21">
                  <c:v>Aug 2024</c:v>
                </c:pt>
                <c:pt idx="22">
                  <c:v>Sep 2024</c:v>
                </c:pt>
                <c:pt idx="23">
                  <c:v>Oct 2024</c:v>
                </c:pt>
                <c:pt idx="24">
                  <c:v>Nov 2024</c:v>
                </c:pt>
              </c:strCache>
            </c:strRef>
          </c:cat>
          <c:val>
            <c:numRef>
              <c:f>'Cuadro de mando del evento'!$Z$6:$Z$31</c:f>
              <c:numCache>
                <c:formatCode>#,##0</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3-8EE6-4B88-937B-9A3CBBD7E97A}"/>
            </c:ext>
          </c:extLst>
        </c:ser>
        <c:dLbls>
          <c:showLegendKey val="0"/>
          <c:showVal val="0"/>
          <c:showCatName val="0"/>
          <c:showSerName val="0"/>
          <c:showPercent val="0"/>
          <c:showBubbleSize val="0"/>
        </c:dLbls>
        <c:marker val="1"/>
        <c:smooth val="0"/>
        <c:axId val="1475338319"/>
        <c:axId val="926273231"/>
      </c:lineChart>
      <c:catAx>
        <c:axId val="1475338319"/>
        <c:scaling>
          <c:orientation val="minMax"/>
        </c:scaling>
        <c:delete val="0"/>
        <c:axPos val="b"/>
        <c:numFmt formatCode="General" sourceLinked="1"/>
        <c:majorTickMark val="none"/>
        <c:minorTickMark val="none"/>
        <c:tickLblPos val="nextTo"/>
        <c:spPr>
          <a:noFill/>
          <a:ln w="9525" cap="flat" cmpd="sng" algn="ctr">
            <a:solidFill>
              <a:srgbClr val="E2E8F0"/>
            </a:solidFill>
            <a:round/>
          </a:ln>
          <a:effectLst/>
        </c:spPr>
        <c:txPr>
          <a:bodyPr rot="0" spcFirstLastPara="1" vertOverflow="ellipsis" wrap="square" anchor="ctr" anchorCtr="1"/>
          <a:lstStyle/>
          <a:p>
            <a:pPr>
              <a:defRPr sz="900" b="0" i="0" u="none" strike="noStrike" kern="1200" baseline="0">
                <a:solidFill>
                  <a:srgbClr val="475569"/>
                </a:solidFill>
                <a:latin typeface="Segoe UI"/>
                <a:ea typeface="Segoe UI"/>
                <a:cs typeface="Segoe UI"/>
              </a:defRPr>
            </a:pPr>
            <a:endParaRPr lang="en-US"/>
          </a:p>
        </c:txPr>
        <c:crossAx val="926273231"/>
        <c:crosses val="autoZero"/>
        <c:auto val="0"/>
        <c:lblAlgn val="ctr"/>
        <c:lblOffset val="100"/>
        <c:tickLblSkip val="2"/>
        <c:noMultiLvlLbl val="0"/>
      </c:catAx>
      <c:valAx>
        <c:axId val="926273231"/>
        <c:scaling>
          <c:orientation val="minMax"/>
          <c:min val="0"/>
        </c:scaling>
        <c:delete val="0"/>
        <c:axPos val="l"/>
        <c:majorGridlines>
          <c:spPr>
            <a:ln w="9525" cap="flat" cmpd="sng" algn="ctr">
              <a:solidFill>
                <a:srgbClr val="E2E8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475569"/>
                </a:solidFill>
                <a:latin typeface="Segoe UI"/>
                <a:ea typeface="Segoe UI"/>
                <a:cs typeface="Segoe UI"/>
              </a:defRPr>
            </a:pPr>
            <a:endParaRPr lang="en-US"/>
          </a:p>
        </c:txPr>
        <c:crossAx val="1475338319"/>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rgbClr val="E2E8F0"/>
      </a:solidFill>
      <a:round/>
    </a:ln>
    <a:effectLst/>
  </c:spPr>
  <c:txPr>
    <a:bodyPr/>
    <a:lstStyle/>
    <a:p>
      <a:pPr>
        <a:defRPr sz="900">
          <a:solidFill>
            <a:srgbClr val="475569"/>
          </a:solidFill>
          <a:latin typeface="Segoe UI"/>
          <a:ea typeface="Segoe UI"/>
          <a:cs typeface="Segoe UI"/>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[event-dashboard.xlsm]Cuadro de Mando Actualizado!ptRevenueBySession</c:name>
    <c:fmtId val="2"/>
  </c:pivotSource>
  <c:chart>
    <c:title>
      <c:tx>
        <c:rich>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r>
              <a:rPr lang="en-GB"/>
              <a:t>Ingresos por tipo de sesión (€)</a:t>
            </a:r>
          </a:p>
        </c:rich>
      </c:tx>
      <c:overlay val="0"/>
      <c:spPr>
        <a:noFill/>
        <a:ln>
          <a:noFill/>
        </a:ln>
        <a:effectLst/>
      </c:spPr>
      <c:txPr>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endParaRPr lang="en-US"/>
        </a:p>
      </c:txPr>
    </c:title>
    <c:autoTitleDeleted val="0"/>
    <c:pivotFmts>
      <c:pivotFmt>
        <c:idx val="0"/>
        <c:spPr>
          <a:solidFill>
            <a:srgbClr val="1E40AF"/>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E293B"/>
                  </a:solidFill>
                  <a:latin typeface="Segoe UI"/>
                  <a:ea typeface="Segoe UI"/>
                  <a:cs typeface="Segoe U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E40AF"/>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E293B"/>
                  </a:solidFill>
                  <a:latin typeface="Segoe UI"/>
                  <a:ea typeface="Segoe UI"/>
                  <a:cs typeface="Segoe U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E40AF"/>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E293B"/>
                  </a:solidFill>
                  <a:latin typeface="Segoe UI"/>
                  <a:ea typeface="Segoe UI"/>
                  <a:cs typeface="Segoe U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585953293091506"/>
          <c:y val="0.17143564356435645"/>
          <c:w val="0.63509874326750448"/>
          <c:h val="0.77410891089108913"/>
        </c:manualLayout>
      </c:layout>
      <c:barChart>
        <c:barDir val="bar"/>
        <c:grouping val="clustered"/>
        <c:varyColors val="0"/>
        <c:ser>
          <c:idx val="0"/>
          <c:order val="0"/>
          <c:tx>
            <c:strRef>
              <c:f>'Cuadro de Mando Actualizado'!$T$5</c:f>
              <c:strCache>
                <c:ptCount val="1"/>
                <c:pt idx="0">
                  <c:v>Total</c:v>
                </c:pt>
              </c:strCache>
            </c:strRef>
          </c:tx>
          <c:spPr>
            <a:solidFill>
              <a:srgbClr val="1E40AF"/>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E293B"/>
                    </a:solidFill>
                    <a:latin typeface="Segoe UI"/>
                    <a:ea typeface="Segoe UI"/>
                    <a:cs typeface="Segoe U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'Cuadro de Mando Actualizado'!$S$6:$S$9</c:f>
              <c:strCache>
                <c:ptCount val="3"/>
                <c:pt idx="0">
                  <c:v>Cybersecurity</c:v>
                </c:pt>
                <c:pt idx="1">
                  <c:v>Data Analytics</c:v>
                </c:pt>
                <c:pt idx="2">
                  <c:v>Artificial Intelligence</c:v>
                </c:pt>
              </c:strCache>
            </c:strRef>
          </c:cat>
          <c:val>
            <c:numRef>
              <c:f>'Cuadro de Mando Actualizado'!$T$6:$T$9</c:f>
              <c:numCache>
                <c:formatCode>#,##0\ "€"</c:formatCode>
                <c:ptCount val="3"/>
                <c:pt idx="0">
                  <c:v>9900</c:v>
                </c:pt>
                <c:pt idx="1">
                  <c:v>15300</c:v>
                </c:pt>
                <c:pt idx="2">
                  <c:v>23100</c:v>
                </c:pt>
              </c:numCache>
            </c:numRef>
          </c:val>
          <c:extLst>
            <c:ext xmlns:c16="http://schemas.microsoft.com/office/drawing/2014/chart" uri="{C3380CC4-5D6E-409C-BE32-E72D297353CC}">
              <c16:uniqueId val="{00000001-16AD-4325-A886-195AFB7E5243}"/>
            </c:ext>
          </c:extLst>
        </c:ser>
        <c:dLbls>
          <c:showLegendKey val="0"/>
          <c:showVal val="0"/>
          <c:showCatName val="0"/>
          <c:showSerName val="0"/>
          <c:showPercent val="0"/>
          <c:showBubbleSize val="0"/>
        </c:dLbls>
        <c:gapWidth val="60"/>
        <c:axId val="1468004319"/>
        <c:axId val="926255951"/>
      </c:barChart>
      <c:catAx>
        <c:axId val="1468004319"/>
        <c:scaling>
          <c:orientation val="minMax"/>
        </c:scaling>
        <c:delete val="0"/>
        <c:axPos val="l"/>
        <c:numFmt formatCode="General" sourceLinked="1"/>
        <c:majorTickMark val="none"/>
        <c:minorTickMark val="none"/>
        <c:tickLblPos val="nextTo"/>
        <c:spPr>
          <a:noFill/>
          <a:ln w="9525" cap="flat" cmpd="sng" algn="ctr">
            <a:solidFill>
              <a:srgbClr val="E2E8F0"/>
            </a:solidFill>
            <a:round/>
          </a:ln>
          <a:effectLst/>
        </c:spPr>
        <c:txPr>
          <a:bodyPr rot="-60000000" spcFirstLastPara="1" vertOverflow="ellipsis" vert="horz" wrap="square" anchor="ctr" anchorCtr="1"/>
          <a:lstStyle/>
          <a:p>
            <a:pPr>
              <a:defRPr sz="900" b="0" i="0" u="none" strike="noStrike" kern="1200" baseline="0">
                <a:solidFill>
                  <a:srgbClr val="1E293B"/>
                </a:solidFill>
                <a:latin typeface="Segoe UI"/>
                <a:ea typeface="Segoe UI"/>
                <a:cs typeface="Segoe UI"/>
              </a:defRPr>
            </a:pPr>
            <a:endParaRPr lang="en-US"/>
          </a:p>
        </c:txPr>
        <c:crossAx val="926255951"/>
        <c:crosses val="autoZero"/>
        <c:auto val="1"/>
        <c:lblAlgn val="ctr"/>
        <c:lblOffset val="100"/>
        <c:noMultiLvlLbl val="0"/>
      </c:catAx>
      <c:valAx>
        <c:axId val="926255951"/>
        <c:scaling>
          <c:orientation val="minMax"/>
          <c:min val="0"/>
        </c:scaling>
        <c:delete val="1"/>
        <c:axPos val="b"/>
        <c:numFmt formatCode="#,##0\ &quot;€&quot;" sourceLinked="1"/>
        <c:majorTickMark val="none"/>
        <c:minorTickMark val="none"/>
        <c:tickLblPos val="nextTo"/>
        <c:crossAx val="1468004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rgbClr val="E2E8F0"/>
      </a:solidFill>
      <a:round/>
    </a:ln>
    <a:effectLst/>
  </c:spPr>
  <c:txPr>
    <a:bodyPr/>
    <a:lstStyle/>
    <a:p>
      <a:pPr>
        <a:defRPr sz="900">
          <a:solidFill>
            <a:srgbClr val="475569"/>
          </a:solidFill>
          <a:latin typeface="Segoe UI"/>
          <a:ea typeface="Segoe UI"/>
          <a:cs typeface="Segoe UI"/>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[event-dashboard.xlsm]Cuadro de Mando Actualizado!ptAttendanceType</c:name>
    <c:fmtId val="2"/>
  </c:pivotSource>
  <c:chart>
    <c:title>
      <c:tx>
        <c:rich>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r>
              <a:rPr lang="en-GB"/>
              <a:t>Asistentes por tipo de asistencia: en línea frente a presencial</a:t>
            </a:r>
          </a:p>
        </c:rich>
      </c:tx>
      <c:overlay val="0"/>
      <c:spPr>
        <a:noFill/>
        <a:ln>
          <a:noFill/>
        </a:ln>
        <a:effectLst/>
      </c:spPr>
      <c:txPr>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34E4A"/>
                  </a:solidFill>
                  <a:latin typeface="Segoe UI"/>
                  <a:ea typeface="Segoe UI"/>
                  <a:cs typeface="Segoe UI"/>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rgbClr val="0F766E"/>
          </a:solidFill>
          <a:ln w="19050">
            <a:solidFill>
              <a:srgbClr val="FFFFFF"/>
            </a:solidFill>
          </a:ln>
          <a:effectLst/>
        </c:spPr>
      </c:pivotFmt>
      <c:pivotFmt>
        <c:idx val="2"/>
        <c:spPr>
          <a:solidFill>
            <a:srgbClr val="99F6E4"/>
          </a:solidFill>
          <a:ln w="19050">
            <a:solidFill>
              <a:srgbClr val="FFFFFF"/>
            </a:solidFill>
          </a:ln>
          <a:effectLst/>
        </c:spPr>
      </c:pivotFmt>
      <c:pivotFmt>
        <c:idx val="3"/>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34E4A"/>
                  </a:solidFill>
                  <a:latin typeface="Segoe UI"/>
                  <a:ea typeface="Segoe UI"/>
                  <a:cs typeface="Segoe UI"/>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4"/>
        <c:spPr>
          <a:solidFill>
            <a:srgbClr val="0F766E"/>
          </a:solidFill>
          <a:ln w="19050">
            <a:solidFill>
              <a:srgbClr val="FFFFFF"/>
            </a:solidFill>
          </a:ln>
          <a:effectLst/>
        </c:spPr>
      </c:pivotFmt>
      <c:pivotFmt>
        <c:idx val="5"/>
        <c:spPr>
          <a:solidFill>
            <a:srgbClr val="99F6E4"/>
          </a:solidFill>
          <a:ln w="19050">
            <a:solidFill>
              <a:srgbClr val="FFFFFF"/>
            </a:solidFill>
          </a:ln>
          <a:effectLst/>
        </c:spPr>
      </c:pivotFmt>
      <c:pivotFmt>
        <c:idx val="6"/>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34E4A"/>
                  </a:solidFill>
                  <a:latin typeface="Segoe UI"/>
                  <a:ea typeface="Segoe UI"/>
                  <a:cs typeface="Segoe UI"/>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spPr>
          <a:solidFill>
            <a:srgbClr val="0F766E"/>
          </a:solidFill>
          <a:ln w="19050">
            <a:solidFill>
              <a:srgbClr val="FFFFFF"/>
            </a:solidFill>
          </a:ln>
          <a:effectLst/>
        </c:spPr>
      </c:pivotFmt>
      <c:pivotFmt>
        <c:idx val="8"/>
        <c:spPr>
          <a:solidFill>
            <a:srgbClr val="99F6E4"/>
          </a:solidFill>
          <a:ln w="19050">
            <a:solidFill>
              <a:srgbClr val="FFFFFF"/>
            </a:solidFill>
          </a:ln>
          <a:effectLst/>
        </c:spPr>
      </c:pivotFmt>
    </c:pivotFmts>
    <c:plotArea>
      <c:layout/>
      <c:pieChart>
        <c:varyColors val="1"/>
        <c:ser>
          <c:idx val="0"/>
          <c:order val="0"/>
          <c:tx>
            <c:strRef>
              <c:f>'Cuadro de Mando Actualizado'!$W$5</c:f>
              <c:strCache>
                <c:ptCount val="1"/>
                <c:pt idx="0">
                  <c:v>Total</c:v>
                </c:pt>
              </c:strCache>
            </c:strRef>
          </c:tx>
          <c:dPt>
            <c:idx val="0"/>
            <c:bubble3D val="0"/>
            <c:spPr>
              <a:solidFill>
                <a:srgbClr val="0F766E"/>
              </a:solidFill>
              <a:ln w="19050">
                <a:solidFill>
                  <a:srgbClr val="FFFFFF"/>
                </a:solidFill>
              </a:ln>
              <a:effectLst/>
            </c:spPr>
            <c:extLst>
              <c:ext xmlns:c16="http://schemas.microsoft.com/office/drawing/2014/chart" uri="{C3380CC4-5D6E-409C-BE32-E72D297353CC}">
                <c16:uniqueId val="{00000001-D73D-45FF-AE16-328C36ED653E}"/>
              </c:ext>
            </c:extLst>
          </c:dPt>
          <c:dPt>
            <c:idx val="1"/>
            <c:bubble3D val="0"/>
            <c:spPr>
              <a:solidFill>
                <a:srgbClr val="99F6E4"/>
              </a:solidFill>
              <a:ln w="19050">
                <a:solidFill>
                  <a:srgbClr val="FFFFFF"/>
                </a:solidFill>
              </a:ln>
              <a:effectLst/>
            </c:spPr>
            <c:extLst>
              <c:ext xmlns:c16="http://schemas.microsoft.com/office/drawing/2014/chart" uri="{C3380CC4-5D6E-409C-BE32-E72D297353CC}">
                <c16:uniqueId val="{00000003-D73D-45FF-AE16-328C36ED653E}"/>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34E4A"/>
                    </a:solidFill>
                    <a:latin typeface="Segoe UI"/>
                    <a:ea typeface="Segoe UI"/>
                    <a:cs typeface="Segoe UI"/>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'Cuadro de Mando Actualizado'!$V$6:$V$8</c:f>
              <c:strCache>
                <c:ptCount val="2"/>
                <c:pt idx="0">
                  <c:v>In-Person</c:v>
                </c:pt>
                <c:pt idx="1">
                  <c:v>Online</c:v>
                </c:pt>
              </c:strCache>
            </c:strRef>
          </c:cat>
          <c:val>
            <c:numRef>
              <c:f>'Cuadro de Mando Actualizado'!$W$6:$W$8</c:f>
              <c:numCache>
                <c:formatCode>#,##0</c:formatCode>
                <c:ptCount val="2"/>
                <c:pt idx="0">
                  <c:v>50</c:v>
                </c:pt>
                <c:pt idx="1">
                  <c:v>50</c:v>
                </c:pt>
              </c:numCache>
            </c:numRef>
          </c:val>
          <c:extLst>
            <c:ext xmlns:c16="http://schemas.microsoft.com/office/drawing/2014/chart" uri="{C3380CC4-5D6E-409C-BE32-E72D297353CC}">
              <c16:uniqueId val="{00000005-E4A2-464E-A024-22091AB89C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rgbClr val="E2E8F0"/>
      </a:solidFill>
      <a:round/>
    </a:ln>
    <a:effectLst/>
  </c:spPr>
  <c:txPr>
    <a:bodyPr/>
    <a:lstStyle/>
    <a:p>
      <a:pPr>
        <a:defRPr sz="900">
          <a:solidFill>
            <a:srgbClr val="475569"/>
          </a:solidFill>
          <a:latin typeface="Segoe UI"/>
          <a:ea typeface="Segoe UI"/>
          <a:cs typeface="Segoe UI"/>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[event-dashboard.xlsm]Cuadro de Mando Actualizado!ptAttendeesByMonth</c:name>
    <c:fmtId val="2"/>
  </c:pivotSource>
  <c:chart>
    <c:title>
      <c:tx>
        <c:rich>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r>
              <a:rPr lang="en-GB"/>
              <a:t>Asistentes registrados por mes</a:t>
            </a:r>
          </a:p>
        </c:rich>
      </c:tx>
      <c:overlay val="0"/>
      <c:spPr>
        <a:noFill/>
        <a:ln>
          <a:noFill/>
        </a:ln>
        <a:effectLst/>
      </c:spPr>
      <c:txPr>
        <a:bodyPr rot="0" spcFirstLastPara="1" vertOverflow="ellipsis" vert="horz" wrap="square" anchor="ctr" anchorCtr="1"/>
        <a:lstStyle/>
        <a:p>
          <a:pPr>
            <a:defRPr sz="1100" b="1" i="0" u="none" strike="noStrike" kern="1200" spc="0" baseline="0">
              <a:solidFill>
                <a:srgbClr val="1E293B"/>
              </a:solidFill>
              <a:latin typeface="Segoe UI"/>
              <a:ea typeface="Segoe UI"/>
              <a:cs typeface="Segoe UI"/>
            </a:defRPr>
          </a:pPr>
          <a:endParaRPr lang="en-US"/>
        </a:p>
      </c:txPr>
    </c:title>
    <c:autoTitleDeleted val="0"/>
    <c:pivotFmts>
      <c:pivotFmt>
        <c:idx val="0"/>
        <c:spPr>
          <a:solidFill>
            <a:schemeClr val="accent1"/>
          </a:solidFill>
          <a:ln w="28575" cap="rnd">
            <a:solidFill>
              <a:srgbClr val="0F766E"/>
            </a:solidFill>
            <a:round/>
          </a:ln>
          <a:effectLst/>
        </c:spPr>
        <c:marker>
          <c:symbol val="circle"/>
          <c:size val="5"/>
          <c:spPr>
            <a:solidFill>
              <a:srgbClr val="0F766E"/>
            </a:solidFill>
            <a:ln w="28575">
              <a:solidFill>
                <a:srgbClr val="0F766E"/>
              </a:solidFill>
              <a:prstDash val="soli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75569"/>
                  </a:solidFill>
                  <a:latin typeface="Segoe UI"/>
                  <a:ea typeface="Segoe UI"/>
                  <a:cs typeface="Segoe UI"/>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F766E"/>
            </a:solidFill>
            <a:round/>
          </a:ln>
          <a:effectLst/>
        </c:spPr>
        <c:marker>
          <c:symbol val="circle"/>
          <c:size val="5"/>
          <c:spPr>
            <a:solidFill>
              <a:srgbClr val="0F766E"/>
            </a:solidFill>
            <a:ln w="28575">
              <a:solidFill>
                <a:srgbClr val="0F766E"/>
              </a:solidFill>
              <a:prstDash val="soli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75569"/>
                  </a:solidFill>
                  <a:latin typeface="Segoe UI"/>
                  <a:ea typeface="Segoe UI"/>
                  <a:cs typeface="Segoe UI"/>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F766E"/>
            </a:solidFill>
            <a:round/>
          </a:ln>
          <a:effectLst/>
        </c:spPr>
        <c:marker>
          <c:symbol val="circle"/>
          <c:size val="5"/>
          <c:spPr>
            <a:solidFill>
              <a:srgbClr val="0F766E"/>
            </a:solidFill>
            <a:ln w="28575">
              <a:solidFill>
                <a:srgbClr val="0F766E"/>
              </a:solidFill>
              <a:prstDash val="soli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75569"/>
                  </a:solidFill>
                  <a:latin typeface="Segoe UI"/>
                  <a:ea typeface="Segoe UI"/>
                  <a:cs typeface="Segoe UI"/>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'Cuadro de Mando Actualizado'!$Z$5</c:f>
              <c:strCache>
                <c:ptCount val="1"/>
                <c:pt idx="0">
                  <c:v>Total</c:v>
                </c:pt>
              </c:strCache>
            </c:strRef>
          </c:tx>
          <c:spPr>
            <a:ln w="28575" cap="rnd">
              <a:solidFill>
                <a:srgbClr val="0F766E"/>
              </a:solidFill>
              <a:round/>
            </a:ln>
            <a:effectLst/>
          </c:spPr>
          <c:marker>
            <c:symbol val="circle"/>
            <c:size val="5"/>
            <c:spPr>
              <a:solidFill>
                <a:srgbClr val="0F766E"/>
              </a:solidFill>
              <a:ln w="28575">
                <a:solidFill>
                  <a:srgbClr val="0F766E"/>
                </a:solidFill>
                <a:prstDash val="solid"/>
              </a:ln>
              <a:effectLst/>
            </c:spPr>
          </c:marker>
          <c:cat>
            <c:strRef>
              <c:f>'Cuadro de Mando Actualizado'!$Y$6:$Y$31</c:f>
              <c:strCache>
                <c:ptCount val="25"/>
                <c:pt idx="0">
                  <c:v>Nov 2022</c:v>
                </c:pt>
                <c:pt idx="1">
                  <c:v>Dec 2022</c:v>
                </c:pt>
                <c:pt idx="2">
                  <c:v>Jan 2023</c:v>
                </c:pt>
                <c:pt idx="3">
                  <c:v>Feb 2023</c:v>
                </c:pt>
                <c:pt idx="4">
                  <c:v>Mar 2023</c:v>
                </c:pt>
                <c:pt idx="5">
                  <c:v>Apr 2023</c:v>
                </c:pt>
                <c:pt idx="6">
                  <c:v>May 2023</c:v>
                </c:pt>
                <c:pt idx="7">
                  <c:v>Jun 2023</c:v>
                </c:pt>
                <c:pt idx="8">
                  <c:v>Jul 2023</c:v>
                </c:pt>
                <c:pt idx="9">
                  <c:v>Aug 2023</c:v>
                </c:pt>
                <c:pt idx="10">
                  <c:v>Sep 2023</c:v>
                </c:pt>
                <c:pt idx="11">
                  <c:v>Oct 2023</c:v>
                </c:pt>
                <c:pt idx="12">
                  <c:v>Nov 2023</c:v>
                </c:pt>
                <c:pt idx="13">
                  <c:v>Dec 2023</c:v>
                </c:pt>
                <c:pt idx="14">
                  <c:v>Jan 2024</c:v>
                </c:pt>
                <c:pt idx="15">
                  <c:v>Feb 2024</c:v>
                </c:pt>
                <c:pt idx="16">
                  <c:v>Mar 2024</c:v>
                </c:pt>
                <c:pt idx="17">
                  <c:v>Apr 2024</c:v>
                </c:pt>
                <c:pt idx="18">
                  <c:v>May 2024</c:v>
                </c:pt>
                <c:pt idx="19">
                  <c:v>Jun 2024</c:v>
                </c:pt>
                <c:pt idx="20">
                  <c:v>Jul 2024</c:v>
                </c:pt>
                <c:pt idx="21">
                  <c:v>Aug 2024</c:v>
                </c:pt>
                <c:pt idx="22">
                  <c:v>Sep 2024</c:v>
                </c:pt>
                <c:pt idx="23">
                  <c:v>Oct 2024</c:v>
                </c:pt>
                <c:pt idx="24">
                  <c:v>Nov 2024</c:v>
                </c:pt>
              </c:strCache>
            </c:strRef>
          </c:cat>
          <c:val>
            <c:numRef>
              <c:f>'Cuadro de Mando Actualizado'!$Z$6:$Z$31</c:f>
              <c:numCache>
                <c:formatCode>#,##0</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1-54E0-422F-A212-2FC5B565141E}"/>
            </c:ext>
          </c:extLst>
        </c:ser>
        <c:dLbls>
          <c:showLegendKey val="0"/>
          <c:showVal val="0"/>
          <c:showCatName val="0"/>
          <c:showSerName val="0"/>
          <c:showPercent val="0"/>
          <c:showBubbleSize val="0"/>
        </c:dLbls>
        <c:marker val="1"/>
        <c:smooth val="0"/>
        <c:axId val="1475338319"/>
        <c:axId val="926273231"/>
      </c:lineChart>
      <c:catAx>
        <c:axId val="1475338319"/>
        <c:scaling>
          <c:orientation val="minMax"/>
        </c:scaling>
        <c:delete val="0"/>
        <c:axPos val="b"/>
        <c:numFmt formatCode="General" sourceLinked="1"/>
        <c:majorTickMark val="none"/>
        <c:minorTickMark val="none"/>
        <c:tickLblPos val="nextTo"/>
        <c:spPr>
          <a:noFill/>
          <a:ln w="9525" cap="flat" cmpd="sng" algn="ctr">
            <a:solidFill>
              <a:srgbClr val="E2E8F0"/>
            </a:solidFill>
            <a:round/>
          </a:ln>
          <a:effectLst/>
        </c:spPr>
        <c:txPr>
          <a:bodyPr rot="0" spcFirstLastPara="1" vertOverflow="ellipsis" wrap="square" anchor="ctr" anchorCtr="1"/>
          <a:lstStyle/>
          <a:p>
            <a:pPr>
              <a:defRPr sz="900" b="0" i="0" u="none" strike="noStrike" kern="1200" baseline="0">
                <a:solidFill>
                  <a:srgbClr val="475569"/>
                </a:solidFill>
                <a:latin typeface="Segoe UI"/>
                <a:ea typeface="Segoe UI"/>
                <a:cs typeface="Segoe UI"/>
              </a:defRPr>
            </a:pPr>
            <a:endParaRPr lang="en-US"/>
          </a:p>
        </c:txPr>
        <c:crossAx val="926273231"/>
        <c:crosses val="autoZero"/>
        <c:auto val="0"/>
        <c:lblAlgn val="ctr"/>
        <c:lblOffset val="100"/>
        <c:tickLblSkip val="2"/>
        <c:noMultiLvlLbl val="0"/>
      </c:catAx>
      <c:valAx>
        <c:axId val="926273231"/>
        <c:scaling>
          <c:orientation val="minMax"/>
          <c:min val="0"/>
        </c:scaling>
        <c:delete val="0"/>
        <c:axPos val="l"/>
        <c:majorGridlines>
          <c:spPr>
            <a:ln w="9525" cap="flat" cmpd="sng" algn="ctr">
              <a:solidFill>
                <a:srgbClr val="E2E8F0"/>
              </a:solidFill>
              <a:round/>
            </a:ln>
            <a:effectLst/>
          </c:spPr>
        </c:majorGridlines>
        <c:numFmt formatCode="#,##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475569"/>
                </a:solidFill>
                <a:latin typeface="Segoe UI"/>
                <a:ea typeface="Segoe UI"/>
                <a:cs typeface="Segoe UI"/>
              </a:defRPr>
            </a:pPr>
            <a:endParaRPr lang="en-US"/>
          </a:p>
        </c:txPr>
        <c:crossAx val="1475338319"/>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rgbClr val="E2E8F0"/>
      </a:solidFill>
      <a:round/>
    </a:ln>
    <a:effectLst/>
  </c:spPr>
  <c:txPr>
    <a:bodyPr/>
    <a:lstStyle/>
    <a:p>
      <a:pPr>
        <a:defRPr sz="900">
          <a:solidFill>
            <a:srgbClr val="475569"/>
          </a:solidFill>
          <a:latin typeface="Segoe UI"/>
          <a:ea typeface="Segoe UI"/>
          <a:cs typeface="Segoe UI"/>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46</xdr:row>
      <xdr:rowOff>25399</xdr:rowOff>
    </xdr:from>
    <xdr:to>
      <xdr:col>2</xdr:col>
      <xdr:colOff>3713480</xdr:colOff>
      <xdr:row>73</xdr:row>
      <xdr:rowOff>16801</xdr:rowOff>
    </xdr:to>
    <xdr:pic>
      <xdr:nvPicPr>
        <xdr:cNvPr id="3" name="picAttendeeForm" descr="Vista del formulario AttendeeForm: ID, nombre, correo, teléfono, fecha de registro, preferencia de sesión, precio de entrada, tipo de asistencia, preferencia dietética y botones Submit, Fetch, Update y Cancel.">
          <a:extLst>
            <a:ext uri="{FF2B5EF4-FFF2-40B4-BE49-F238E27FC236}">
              <a16:creationId xmlns:a16="http://schemas.microsoft.com/office/drawing/2014/main" id="{C1BBC580-80D0-E88E-E1C8-21B1F273685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5900" y="17490439"/>
          <a:ext cx="5524500" cy="51349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121920</xdr:colOff>
          <xdr:row>0</xdr:row>
          <xdr:rowOff>60960</xdr:rowOff>
        </xdr:from>
        <xdr:to>
          <xdr:col>14</xdr:col>
          <xdr:colOff>243840</xdr:colOff>
          <xdr:row>0</xdr:row>
          <xdr:rowOff>441960</xdr:rowOff>
        </xdr:to>
        <xdr:sp macro="" textlink="">
          <xdr:nvSpPr>
            <xdr:cNvPr id="1028" name="btnOpenAttendeeFormDB" descr="Registrar o editar asistente"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Segoe UI"/>
                  <a:cs typeface="Segoe UI"/>
                </a:rPr>
                <a:t>Registrar o editar asistente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50800</xdr:colOff>
      <xdr:row>40</xdr:row>
      <xdr:rowOff>50800</xdr:rowOff>
    </xdr:from>
    <xdr:to>
      <xdr:col>12</xdr:col>
      <xdr:colOff>1168400</xdr:colOff>
      <xdr:row>57</xdr:row>
      <xdr:rowOff>139700</xdr:rowOff>
    </xdr:to>
    <xdr:graphicFrame macro="">
      <xdr:nvGraphicFramePr>
        <xdr:cNvPr id="3" name="chForecast" descr="Gráfico de dispersión con líneas: inscripciones mensuales observadas, mes parcial excluido y previsión FORECAST.ETS de 12 meses con intervalo de confianza del 95 %.">
          <a:extLst>
            <a:ext uri="{FF2B5EF4-FFF2-40B4-BE49-F238E27FC236}">
              <a16:creationId xmlns:a16="http://schemas.microsoft.com/office/drawing/2014/main" id="{C377688A-445F-CE4E-3162-38CA90D42A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50799</xdr:colOff>
      <xdr:row>4</xdr:row>
      <xdr:rowOff>50800</xdr:rowOff>
    </xdr:from>
    <xdr:to>
      <xdr:col>9</xdr:col>
      <xdr:colOff>909318</xdr:colOff>
      <xdr:row>10</xdr:row>
      <xdr:rowOff>139700</xdr:rowOff>
    </xdr:to>
    <mc:AlternateContent xmlns:mc="http://schemas.openxmlformats.org/markup-compatibility/2006" xmlns:a14="http://schemas.microsoft.com/office/drawing/2010/main">
      <mc:Choice Requires="a14">
        <xdr:graphicFrame macro="">
          <xdr:nvGraphicFramePr>
            <xdr:cNvPr id="2" name="slcAttendanceType" descr="Tipo de asistencia (filtro del cuadro de mando)">
              <a:extLst>
                <a:ext uri="{FF2B5EF4-FFF2-40B4-BE49-F238E27FC236}">
                  <a16:creationId xmlns:a16="http://schemas.microsoft.com/office/drawing/2014/main" id="{9895088A-0817-28FB-419E-C29AD4ADC331}"/>
                </a:ext>
              </a:extLst>
            </xdr:cNvPr>
            <xdr:cNvGraphicFramePr/>
          </xdr:nvGraphicFramePr>
          <xdr:xfrm>
            <a:off x="0" y="0"/>
            <a:ext cx="0" cy="0"/>
          </xdr:xfrm>
          <a:graphic>
            <a:graphicData uri="http://schemas.microsoft.com/office/drawing/2010/slicer">
              <sle:slicer xmlns:sle="http://schemas.microsoft.com/office/drawing/2010/slicer" name="slcAttendanceType"/>
            </a:graphicData>
          </a:graphic>
        </xdr:graphicFrame>
      </mc:Choice>
      <mc:Fallback xmlns="">
        <xdr:sp macro="" textlink="">
          <xdr:nvSpPr>
            <xdr:cNvPr id="0" name=""/>
            <xdr:cNvSpPr>
              <a:spLocks noTextEdit="1"/>
            </xdr:cNvSpPr>
          </xdr:nvSpPr>
          <xdr:spPr>
            <a:xfrm>
              <a:off x="6931659" y="1087120"/>
              <a:ext cx="1818639"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50800</xdr:colOff>
      <xdr:row>4</xdr:row>
      <xdr:rowOff>50800</xdr:rowOff>
    </xdr:from>
    <xdr:to>
      <xdr:col>12</xdr:col>
      <xdr:colOff>909320</xdr:colOff>
      <xdr:row>10</xdr:row>
      <xdr:rowOff>139700</xdr:rowOff>
    </xdr:to>
    <mc:AlternateContent xmlns:mc="http://schemas.openxmlformats.org/markup-compatibility/2006" xmlns:a14="http://schemas.microsoft.com/office/drawing/2010/main">
      <mc:Choice Requires="a14">
        <xdr:graphicFrame macro="">
          <xdr:nvGraphicFramePr>
            <xdr:cNvPr id="3" name="slcSessionPreference" descr="Preferencia de sesión (filtro del cuadro de mando)">
              <a:extLst>
                <a:ext uri="{FF2B5EF4-FFF2-40B4-BE49-F238E27FC236}">
                  <a16:creationId xmlns:a16="http://schemas.microsoft.com/office/drawing/2014/main" id="{86C4EFA5-39AF-6EC9-646E-6B89007488FF}"/>
                </a:ext>
              </a:extLst>
            </xdr:cNvPr>
            <xdr:cNvGraphicFramePr/>
          </xdr:nvGraphicFramePr>
          <xdr:xfrm>
            <a:off x="0" y="0"/>
            <a:ext cx="0" cy="0"/>
          </xdr:xfrm>
          <a:graphic>
            <a:graphicData uri="http://schemas.microsoft.com/office/drawing/2010/slicer">
              <sle:slicer xmlns:sle="http://schemas.microsoft.com/office/drawing/2010/slicer" name="slcSessionPreference"/>
            </a:graphicData>
          </a:graphic>
        </xdr:graphicFrame>
      </mc:Choice>
      <mc:Fallback xmlns="">
        <xdr:sp macro="" textlink="">
          <xdr:nvSpPr>
            <xdr:cNvPr id="0" name=""/>
            <xdr:cNvSpPr>
              <a:spLocks noTextEdit="1"/>
            </xdr:cNvSpPr>
          </xdr:nvSpPr>
          <xdr:spPr>
            <a:xfrm>
              <a:off x="8851900" y="1087120"/>
              <a:ext cx="2778760"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50800</xdr:colOff>
      <xdr:row>4</xdr:row>
      <xdr:rowOff>50800</xdr:rowOff>
    </xdr:from>
    <xdr:to>
      <xdr:col>7</xdr:col>
      <xdr:colOff>909320</xdr:colOff>
      <xdr:row>10</xdr:row>
      <xdr:rowOff>139700</xdr:rowOff>
    </xdr:to>
    <mc:AlternateContent xmlns:mc="http://schemas.openxmlformats.org/markup-compatibility/2006" xmlns:tsle="http://schemas.microsoft.com/office/drawing/2012/timeslicer">
      <mc:Choice Requires="tsle">
        <xdr:graphicFrame macro="">
          <xdr:nvGraphicFramePr>
            <xdr:cNvPr id="4" name="tlRegistrationDate" descr="Fecha de registro (filtro del cuadro de mando)">
              <a:extLst>
                <a:ext uri="{FF2B5EF4-FFF2-40B4-BE49-F238E27FC236}">
                  <a16:creationId xmlns:a16="http://schemas.microsoft.com/office/drawing/2014/main" id="{32FCE2B8-B38A-6DA0-B7F8-7B40050A4747}"/>
                </a:ext>
              </a:extLst>
            </xdr:cNvPr>
            <xdr:cNvGraphicFramePr/>
          </xdr:nvGraphicFramePr>
          <xdr:xfrm>
            <a:off x="0" y="0"/>
            <a:ext cx="0" cy="0"/>
          </xdr:xfrm>
          <a:graphic>
            <a:graphicData uri="http://schemas.microsoft.com/office/drawing/2012/timeslicer">
              <tsle:timeslicer name="tlRegistrationDate"/>
            </a:graphicData>
          </a:graphic>
        </xdr:graphicFrame>
      </mc:Choice>
      <mc:Fallback xmlns="">
        <xdr:sp macro="" textlink="">
          <xdr:nvSpPr>
            <xdr:cNvPr id="0" name=""/>
            <xdr:cNvSpPr>
              <a:spLocks noTextEdit="1"/>
            </xdr:cNvSpPr>
          </xdr:nvSpPr>
          <xdr:spPr>
            <a:xfrm>
              <a:off x="210820" y="1087120"/>
              <a:ext cx="6619240" cy="12319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absolute">
    <xdr:from>
      <xdr:col>1</xdr:col>
      <xdr:colOff>50800</xdr:colOff>
      <xdr:row>17</xdr:row>
      <xdr:rowOff>50800</xdr:rowOff>
    </xdr:from>
    <xdr:to>
      <xdr:col>6</xdr:col>
      <xdr:colOff>909320</xdr:colOff>
      <xdr:row>30</xdr:row>
      <xdr:rowOff>139700</xdr:rowOff>
    </xdr:to>
    <xdr:graphicFrame macro="">
      <xdr:nvGraphicFramePr>
        <xdr:cNvPr id="5" name="chRevenueBySession" descr="Gráfico de barras: ingresos por tipo de sesión, en euros">
          <a:extLst>
            <a:ext uri="{FF2B5EF4-FFF2-40B4-BE49-F238E27FC236}">
              <a16:creationId xmlns:a16="http://schemas.microsoft.com/office/drawing/2014/main" id="{3944E7F9-18BB-1D65-AAC7-3609460229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50800</xdr:colOff>
      <xdr:row>17</xdr:row>
      <xdr:rowOff>50800</xdr:rowOff>
    </xdr:from>
    <xdr:to>
      <xdr:col>12</xdr:col>
      <xdr:colOff>909320</xdr:colOff>
      <xdr:row>30</xdr:row>
      <xdr:rowOff>139700</xdr:rowOff>
    </xdr:to>
    <xdr:graphicFrame macro="">
      <xdr:nvGraphicFramePr>
        <xdr:cNvPr id="6" name="chAttendanceType" descr="Gráfico circular: asistentes por modalidad, en línea frente a presencial">
          <a:extLst>
            <a:ext uri="{FF2B5EF4-FFF2-40B4-BE49-F238E27FC236}">
              <a16:creationId xmlns:a16="http://schemas.microsoft.com/office/drawing/2014/main" id="{0679E467-D844-05DF-460D-A28D02A49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50800</xdr:colOff>
      <xdr:row>32</xdr:row>
      <xdr:rowOff>12700</xdr:rowOff>
    </xdr:from>
    <xdr:to>
      <xdr:col>12</xdr:col>
      <xdr:colOff>909320</xdr:colOff>
      <xdr:row>45</xdr:row>
      <xdr:rowOff>101600</xdr:rowOff>
    </xdr:to>
    <xdr:graphicFrame macro="">
      <xdr:nvGraphicFramePr>
        <xdr:cNvPr id="7" name="chAttendeesByMonth" descr="Gráfico de líneas: asistentes registrados por mes">
          <a:extLst>
            <a:ext uri="{FF2B5EF4-FFF2-40B4-BE49-F238E27FC236}">
              <a16:creationId xmlns:a16="http://schemas.microsoft.com/office/drawing/2014/main" id="{8BCFA7F7-10E1-509E-D2B2-E577AECECA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502920</xdr:colOff>
          <xdr:row>1</xdr:row>
          <xdr:rowOff>99060</xdr:rowOff>
        </xdr:from>
        <xdr:to>
          <xdr:col>12</xdr:col>
          <xdr:colOff>868680</xdr:colOff>
          <xdr:row>2</xdr:row>
          <xdr:rowOff>152400</xdr:rowOff>
        </xdr:to>
        <xdr:sp macro="" textlink="">
          <xdr:nvSpPr>
            <xdr:cNvPr id="3073" name="btnRefreshDashboard" descr="Actualizar Cuadro de Mando"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Segoe UI"/>
                  <a:cs typeface="Segoe UI"/>
                </a:rPr>
                <a:t>Actualizar Cuadro de Mando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396240</xdr:colOff>
          <xdr:row>1</xdr:row>
          <xdr:rowOff>99060</xdr:rowOff>
        </xdr:from>
        <xdr:to>
          <xdr:col>10</xdr:col>
          <xdr:colOff>381000</xdr:colOff>
          <xdr:row>2</xdr:row>
          <xdr:rowOff>152400</xdr:rowOff>
        </xdr:to>
        <xdr:sp macro="" textlink="">
          <xdr:nvSpPr>
            <xdr:cNvPr id="3074" name="btnOpenAttendeeForm" descr="Registrar o editar asistente"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Segoe UI"/>
                  <a:cs typeface="Segoe UI"/>
                </a:rPr>
                <a:t>Registrar o editar asistente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8</xdr:col>
      <xdr:colOff>50799</xdr:colOff>
      <xdr:row>4</xdr:row>
      <xdr:rowOff>50800</xdr:rowOff>
    </xdr:from>
    <xdr:to>
      <xdr:col>9</xdr:col>
      <xdr:colOff>909318</xdr:colOff>
      <xdr:row>10</xdr:row>
      <xdr:rowOff>139700</xdr:rowOff>
    </xdr:to>
    <mc:AlternateContent xmlns:mc="http://schemas.openxmlformats.org/markup-compatibility/2006" xmlns:a14="http://schemas.microsoft.com/office/drawing/2010/main">
      <mc:Choice Requires="a14">
        <xdr:graphicFrame macro="">
          <xdr:nvGraphicFramePr>
            <xdr:cNvPr id="2" name="slcAttendanceType_T7" descr="Tipo de asistencia (filtro del cuadro de mando)">
              <a:extLst>
                <a:ext uri="{FF2B5EF4-FFF2-40B4-BE49-F238E27FC236}">
                  <a16:creationId xmlns:a16="http://schemas.microsoft.com/office/drawing/2014/main" id="{42DA73EF-D7F1-4046-8FD5-0F728785C5AE}"/>
                </a:ext>
              </a:extLst>
            </xdr:cNvPr>
            <xdr:cNvGraphicFramePr/>
          </xdr:nvGraphicFramePr>
          <xdr:xfrm>
            <a:off x="0" y="0"/>
            <a:ext cx="0" cy="0"/>
          </xdr:xfrm>
          <a:graphic>
            <a:graphicData uri="http://schemas.microsoft.com/office/drawing/2010/slicer">
              <sle:slicer xmlns:sle="http://schemas.microsoft.com/office/drawing/2010/slicer" name="slcAttendanceType_T7"/>
            </a:graphicData>
          </a:graphic>
        </xdr:graphicFrame>
      </mc:Choice>
      <mc:Fallback xmlns="">
        <xdr:sp macro="" textlink="">
          <xdr:nvSpPr>
            <xdr:cNvPr id="0" name=""/>
            <xdr:cNvSpPr>
              <a:spLocks noTextEdit="1"/>
            </xdr:cNvSpPr>
          </xdr:nvSpPr>
          <xdr:spPr>
            <a:xfrm>
              <a:off x="6931659" y="1087120"/>
              <a:ext cx="1818639"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50800</xdr:colOff>
      <xdr:row>4</xdr:row>
      <xdr:rowOff>50800</xdr:rowOff>
    </xdr:from>
    <xdr:to>
      <xdr:col>12</xdr:col>
      <xdr:colOff>909320</xdr:colOff>
      <xdr:row>10</xdr:row>
      <xdr:rowOff>139700</xdr:rowOff>
    </xdr:to>
    <mc:AlternateContent xmlns:mc="http://schemas.openxmlformats.org/markup-compatibility/2006" xmlns:a14="http://schemas.microsoft.com/office/drawing/2010/main">
      <mc:Choice Requires="a14">
        <xdr:graphicFrame macro="">
          <xdr:nvGraphicFramePr>
            <xdr:cNvPr id="3" name="slcSessionPreference_T7" descr="Preferencia de sesión (filtro del cuadro de mando)">
              <a:extLst>
                <a:ext uri="{FF2B5EF4-FFF2-40B4-BE49-F238E27FC236}">
                  <a16:creationId xmlns:a16="http://schemas.microsoft.com/office/drawing/2014/main" id="{183F64FE-9328-4D7B-AA22-BFB0A09A9491}"/>
                </a:ext>
              </a:extLst>
            </xdr:cNvPr>
            <xdr:cNvGraphicFramePr/>
          </xdr:nvGraphicFramePr>
          <xdr:xfrm>
            <a:off x="0" y="0"/>
            <a:ext cx="0" cy="0"/>
          </xdr:xfrm>
          <a:graphic>
            <a:graphicData uri="http://schemas.microsoft.com/office/drawing/2010/slicer">
              <sle:slicer xmlns:sle="http://schemas.microsoft.com/office/drawing/2010/slicer" name="slcSessionPreference_T7"/>
            </a:graphicData>
          </a:graphic>
        </xdr:graphicFrame>
      </mc:Choice>
      <mc:Fallback xmlns="">
        <xdr:sp macro="" textlink="">
          <xdr:nvSpPr>
            <xdr:cNvPr id="0" name=""/>
            <xdr:cNvSpPr>
              <a:spLocks noTextEdit="1"/>
            </xdr:cNvSpPr>
          </xdr:nvSpPr>
          <xdr:spPr>
            <a:xfrm>
              <a:off x="8851900" y="1087120"/>
              <a:ext cx="2778760"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50800</xdr:colOff>
      <xdr:row>4</xdr:row>
      <xdr:rowOff>50800</xdr:rowOff>
    </xdr:from>
    <xdr:to>
      <xdr:col>7</xdr:col>
      <xdr:colOff>909320</xdr:colOff>
      <xdr:row>10</xdr:row>
      <xdr:rowOff>139700</xdr:rowOff>
    </xdr:to>
    <mc:AlternateContent xmlns:mc="http://schemas.openxmlformats.org/markup-compatibility/2006" xmlns:tsle="http://schemas.microsoft.com/office/drawing/2012/timeslicer">
      <mc:Choice Requires="tsle">
        <xdr:graphicFrame macro="">
          <xdr:nvGraphicFramePr>
            <xdr:cNvPr id="4" name="tlRegistrationDate_T7" descr="Fecha de registro (filtro del cuadro de mando)">
              <a:extLst>
                <a:ext uri="{FF2B5EF4-FFF2-40B4-BE49-F238E27FC236}">
                  <a16:creationId xmlns:a16="http://schemas.microsoft.com/office/drawing/2014/main" id="{9A35AC41-3050-4AC8-AC4D-11D310E70208}"/>
                </a:ext>
              </a:extLst>
            </xdr:cNvPr>
            <xdr:cNvGraphicFramePr/>
          </xdr:nvGraphicFramePr>
          <xdr:xfrm>
            <a:off x="0" y="0"/>
            <a:ext cx="0" cy="0"/>
          </xdr:xfrm>
          <a:graphic>
            <a:graphicData uri="http://schemas.microsoft.com/office/drawing/2012/timeslicer">
              <tsle:timeslicer name="tlRegistrationDate_T7"/>
            </a:graphicData>
          </a:graphic>
        </xdr:graphicFrame>
      </mc:Choice>
      <mc:Fallback xmlns="">
        <xdr:sp macro="" textlink="">
          <xdr:nvSpPr>
            <xdr:cNvPr id="0" name=""/>
            <xdr:cNvSpPr>
              <a:spLocks noTextEdit="1"/>
            </xdr:cNvSpPr>
          </xdr:nvSpPr>
          <xdr:spPr>
            <a:xfrm>
              <a:off x="210820" y="1087120"/>
              <a:ext cx="6619240" cy="12319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absolute">
    <xdr:from>
      <xdr:col>1</xdr:col>
      <xdr:colOff>50800</xdr:colOff>
      <xdr:row>17</xdr:row>
      <xdr:rowOff>50800</xdr:rowOff>
    </xdr:from>
    <xdr:to>
      <xdr:col>6</xdr:col>
      <xdr:colOff>909320</xdr:colOff>
      <xdr:row>30</xdr:row>
      <xdr:rowOff>139700</xdr:rowOff>
    </xdr:to>
    <xdr:graphicFrame macro="">
      <xdr:nvGraphicFramePr>
        <xdr:cNvPr id="5" name="chRevenueBySession" descr="Gráfico de barras: ingresos por tipo de sesión, en euros">
          <a:extLst>
            <a:ext uri="{FF2B5EF4-FFF2-40B4-BE49-F238E27FC236}">
              <a16:creationId xmlns:a16="http://schemas.microsoft.com/office/drawing/2014/main" id="{D6E458B4-418C-48DB-B599-1D83DAE202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50800</xdr:colOff>
      <xdr:row>17</xdr:row>
      <xdr:rowOff>50800</xdr:rowOff>
    </xdr:from>
    <xdr:to>
      <xdr:col>12</xdr:col>
      <xdr:colOff>909320</xdr:colOff>
      <xdr:row>30</xdr:row>
      <xdr:rowOff>139700</xdr:rowOff>
    </xdr:to>
    <xdr:graphicFrame macro="">
      <xdr:nvGraphicFramePr>
        <xdr:cNvPr id="6" name="chAttendanceType" descr="Gráfico circular: asistentes por modalidad, en línea frente a presencial">
          <a:extLst>
            <a:ext uri="{FF2B5EF4-FFF2-40B4-BE49-F238E27FC236}">
              <a16:creationId xmlns:a16="http://schemas.microsoft.com/office/drawing/2014/main" id="{84898590-5D50-4902-93EE-9A6621DAB0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50800</xdr:colOff>
      <xdr:row>32</xdr:row>
      <xdr:rowOff>12700</xdr:rowOff>
    </xdr:from>
    <xdr:to>
      <xdr:col>12</xdr:col>
      <xdr:colOff>909320</xdr:colOff>
      <xdr:row>45</xdr:row>
      <xdr:rowOff>101600</xdr:rowOff>
    </xdr:to>
    <xdr:graphicFrame macro="">
      <xdr:nvGraphicFramePr>
        <xdr:cNvPr id="7" name="chAttendeesByMonth" descr="Gráfico de líneas: asistentes registrados por mes">
          <a:extLst>
            <a:ext uri="{FF2B5EF4-FFF2-40B4-BE49-F238E27FC236}">
              <a16:creationId xmlns:a16="http://schemas.microsoft.com/office/drawing/2014/main" id="{DA74B9CD-BACA-4B46-9896-1B26CECD7C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502920</xdr:colOff>
          <xdr:row>1</xdr:row>
          <xdr:rowOff>99060</xdr:rowOff>
        </xdr:from>
        <xdr:to>
          <xdr:col>12</xdr:col>
          <xdr:colOff>868680</xdr:colOff>
          <xdr:row>2</xdr:row>
          <xdr:rowOff>152400</xdr:rowOff>
        </xdr:to>
        <xdr:sp macro="" textlink="">
          <xdr:nvSpPr>
            <xdr:cNvPr id="4097" name="btnRefreshDashboard" descr="Actualizar Cuadro de Mando"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Segoe UI"/>
                  <a:cs typeface="Segoe UI"/>
                </a:rPr>
                <a:t>Actualizar Cuadro de Mando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396240</xdr:colOff>
          <xdr:row>1</xdr:row>
          <xdr:rowOff>99060</xdr:rowOff>
        </xdr:from>
        <xdr:to>
          <xdr:col>10</xdr:col>
          <xdr:colOff>381000</xdr:colOff>
          <xdr:row>2</xdr:row>
          <xdr:rowOff>152400</xdr:rowOff>
        </xdr:to>
        <xdr:sp macro="" textlink="">
          <xdr:nvSpPr>
            <xdr:cNvPr id="4098" name="btnOpenAttendeeForm" descr="Registrar o editar asistente"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Segoe UI"/>
                  <a:cs typeface="Segoe UI"/>
                </a:rPr>
                <a:t>Registrar o editar asistente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cas Barbuto" refreshedDate="46311.896709722219" missingItemsLimit="0" createdVersion="6" refreshedVersion="8" minRefreshableVersion="3" recordCount="100" xr:uid="{FDBB5B93-72DD-4FB9-BB9D-80B366DF6045}">
  <cacheSource type="worksheet">
    <worksheetSource name="tblAttendees"/>
  </cacheSource>
  <cacheFields count="10">
    <cacheField name="Attendee ID" numFmtId="49">
      <sharedItems/>
    </cacheField>
    <cacheField name="Name" numFmtId="0">
      <sharedItems/>
    </cacheField>
    <cacheField name="Email" numFmtId="0">
      <sharedItems/>
    </cacheField>
    <cacheField name="Phone Number" numFmtId="49">
      <sharedItems/>
    </cacheField>
    <cacheField name="Attendance Type" numFmtId="0">
      <sharedItems count="2">
        <s v="Online"/>
        <s v="In-Person"/>
      </sharedItems>
    </cacheField>
    <cacheField name="Session Preference" numFmtId="0">
      <sharedItems count="3">
        <s v="Data Analytics"/>
        <s v="Artificial Intelligence"/>
        <s v="Cybersecurity"/>
      </sharedItems>
    </cacheField>
    <cacheField name="Ticket Price (€)" numFmtId="167">
      <sharedItems containsSemiMixedTypes="0" containsString="0" containsNumber="1" containsInteger="1" minValue="300" maxValue="700"/>
    </cacheField>
    <cacheField name="Registration Date" numFmtId="164">
      <sharedItems containsSemiMixedTypes="0" containsNonDate="0" containsDate="1" containsString="0" minDate="2022-11-13T00:00:00" maxDate="2024-11-10T00:00:00" count="95">
        <d v="2022-11-13T00:00:00"/>
        <d v="2022-12-14T00:00:00"/>
        <d v="2022-12-20T00:00:00"/>
        <d v="2022-12-26T00:00:00"/>
        <d v="2022-12-31T00:00:00"/>
        <d v="2023-01-11T00:00:00"/>
        <d v="2023-01-15T00:00:00"/>
        <d v="2023-01-17T00:00:00"/>
        <d v="2023-02-05T00:00:00"/>
        <d v="2023-02-09T00:00:00"/>
        <d v="2023-02-14T00:00:00"/>
        <d v="2023-02-18T00:00:00"/>
        <d v="2023-02-19T00:00:00"/>
        <d v="2023-02-21T00:00:00"/>
        <d v="2023-02-22T00:00:00"/>
        <d v="2023-02-25T00:00:00"/>
        <d v="2023-03-14T00:00:00"/>
        <d v="2023-04-03T00:00:00"/>
        <d v="2023-04-10T00:00:00"/>
        <d v="2023-04-12T00:00:00"/>
        <d v="2023-04-20T00:00:00"/>
        <d v="2023-04-24T00:00:00"/>
        <d v="2023-04-25T00:00:00"/>
        <d v="2023-05-02T00:00:00"/>
        <d v="2023-05-25T00:00:00"/>
        <d v="2023-05-26T00:00:00"/>
        <d v="2023-06-17T00:00:00"/>
        <d v="2023-06-24T00:00:00"/>
        <d v="2023-07-06T00:00:00"/>
        <d v="2023-07-07T00:00:00"/>
        <d v="2023-07-24T00:00:00"/>
        <d v="2023-07-26T00:00:00"/>
        <d v="2023-07-31T00:00:00"/>
        <d v="2023-08-04T00:00:00"/>
        <d v="2023-08-17T00:00:00"/>
        <d v="2023-09-09T00:00:00"/>
        <d v="2023-09-11T00:00:00"/>
        <d v="2023-09-30T00:00:00"/>
        <d v="2023-10-14T00:00:00"/>
        <d v="2023-10-16T00:00:00"/>
        <d v="2023-10-25T00:00:00"/>
        <d v="2023-10-31T00:00:00"/>
        <d v="2023-11-03T00:00:00"/>
        <d v="2023-11-30T00:00:00"/>
        <d v="2023-12-03T00:00:00"/>
        <d v="2023-12-09T00:00:00"/>
        <d v="2024-01-08T00:00:00"/>
        <d v="2024-01-16T00:00:00"/>
        <d v="2024-01-22T00:00:00"/>
        <d v="2024-01-24T00:00:00"/>
        <d v="2024-01-31T00:00:00"/>
        <d v="2024-02-08T00:00:00"/>
        <d v="2024-02-09T00:00:00"/>
        <d v="2024-02-11T00:00:00"/>
        <d v="2024-02-16T00:00:00"/>
        <d v="2024-02-21T00:00:00"/>
        <d v="2024-02-23T00:00:00"/>
        <d v="2024-02-27T00:00:00"/>
        <d v="2024-02-28T00:00:00"/>
        <d v="2024-03-02T00:00:00"/>
        <d v="2024-03-17T00:00:00"/>
        <d v="2024-03-22T00:00:00"/>
        <d v="2024-03-24T00:00:00"/>
        <d v="2024-04-09T00:00:00"/>
        <d v="2024-04-17T00:00:00"/>
        <d v="2024-04-28T00:00:00"/>
        <d v="2024-05-04T00:00:00"/>
        <d v="2024-05-13T00:00:00"/>
        <d v="2024-05-25T00:00:00"/>
        <d v="2024-06-13T00:00:00"/>
        <d v="2024-06-16T00:00:00"/>
        <d v="2024-06-18T00:00:00"/>
        <d v="2024-06-23T00:00:00"/>
        <d v="2024-06-27T00:00:00"/>
        <d v="2024-06-28T00:00:00"/>
        <d v="2024-07-01T00:00:00"/>
        <d v="2024-07-03T00:00:00"/>
        <d v="2024-07-11T00:00:00"/>
        <d v="2024-08-02T00:00:00"/>
        <d v="2024-08-09T00:00:00"/>
        <d v="2024-08-14T00:00:00"/>
        <d v="2024-08-22T00:00:00"/>
        <d v="2024-08-26T00:00:00"/>
        <d v="2024-08-29T00:00:00"/>
        <d v="2024-08-30T00:00:00"/>
        <d v="2024-09-25T00:00:00"/>
        <d v="2024-09-27T00:00:00"/>
        <d v="2024-10-01T00:00:00"/>
        <d v="2024-10-06T00:00:00"/>
        <d v="2024-10-16T00:00:00"/>
        <d v="2024-10-23T00:00:00"/>
        <d v="2024-10-25T00:00:00"/>
        <d v="2024-10-28T00:00:00"/>
        <d v="2024-11-02T00:00:00"/>
        <d v="2024-11-09T00:00:00"/>
      </sharedItems>
    </cacheField>
    <cacheField name="Dietary Preference" numFmtId="0">
      <sharedItems/>
    </cacheField>
    <cacheField name="Registration Month" numFmtId="166">
      <sharedItems containsSemiMixedTypes="0" containsNonDate="0" containsDate="1" containsString="0" minDate="2022-11-01T00:00:00" maxDate="2024-11-02T00:00:00" count="25">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sharedItems>
    </cacheField>
  </cacheFields>
  <extLst>
    <ext xmlns:x14="http://schemas.microsoft.com/office/spreadsheetml/2009/9/main" uri="{725AE2AE-9491-48be-B2B4-4EB974FC3084}">
      <x14:pivotCacheDefinition pivotCacheId="11126367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001"/>
    <s v="Participant 1"/>
    <s v="Participant1@example.com"/>
    <s v="555-0001"/>
    <x v="0"/>
    <x v="0"/>
    <n v="450"/>
    <x v="0"/>
    <s v="Vegan"/>
    <x v="0"/>
  </r>
  <r>
    <s v="A002"/>
    <s v="Participant 2"/>
    <s v="Participant2@example.com"/>
    <s v="555-0002"/>
    <x v="1"/>
    <x v="0"/>
    <n v="450"/>
    <x v="1"/>
    <s v="Vegan"/>
    <x v="1"/>
  </r>
  <r>
    <s v="A003"/>
    <s v="Participant 3"/>
    <s v="Participant3@example.com"/>
    <s v="555-0003"/>
    <x v="0"/>
    <x v="1"/>
    <n v="700"/>
    <x v="2"/>
    <s v="Vegetarian"/>
    <x v="1"/>
  </r>
  <r>
    <s v="A004"/>
    <s v="Participant 4"/>
    <s v="Participant4@example.com"/>
    <s v="555-0004"/>
    <x v="1"/>
    <x v="2"/>
    <n v="300"/>
    <x v="3"/>
    <s v="Vegan"/>
    <x v="1"/>
  </r>
  <r>
    <s v="A005"/>
    <s v="Participant 5"/>
    <s v="Participant5@example.com"/>
    <s v="555-0005"/>
    <x v="0"/>
    <x v="0"/>
    <n v="450"/>
    <x v="4"/>
    <s v="Gluten-Free"/>
    <x v="1"/>
  </r>
  <r>
    <s v="A006"/>
    <s v="Participant 6"/>
    <s v="Participant6@example.com"/>
    <s v="555-0006"/>
    <x v="1"/>
    <x v="1"/>
    <n v="700"/>
    <x v="5"/>
    <s v="Vegetarian"/>
    <x v="2"/>
  </r>
  <r>
    <s v="A007"/>
    <s v="Participant 7"/>
    <s v="Participant7@example.com"/>
    <s v="555-0007"/>
    <x v="0"/>
    <x v="2"/>
    <n v="300"/>
    <x v="6"/>
    <s v="Non-Vegetarian"/>
    <x v="2"/>
  </r>
  <r>
    <s v="A008"/>
    <s v="Participant 8"/>
    <s v="Participant8@example.com"/>
    <s v="555-0008"/>
    <x v="1"/>
    <x v="0"/>
    <n v="450"/>
    <x v="7"/>
    <s v="Non-Vegetarian"/>
    <x v="2"/>
  </r>
  <r>
    <s v="A009"/>
    <s v="Participant 9"/>
    <s v="Participant9@example.com"/>
    <s v="555-0009"/>
    <x v="0"/>
    <x v="1"/>
    <n v="700"/>
    <x v="8"/>
    <s v="Non-Vegetarian"/>
    <x v="3"/>
  </r>
  <r>
    <s v="A010"/>
    <s v="Participant 10"/>
    <s v="Participant10@example.com"/>
    <s v="555-0010"/>
    <x v="1"/>
    <x v="2"/>
    <n v="300"/>
    <x v="9"/>
    <s v="Vegetarian"/>
    <x v="3"/>
  </r>
  <r>
    <s v="A011"/>
    <s v="Participant 11"/>
    <s v="Participant11@example.com"/>
    <s v="555-0011"/>
    <x v="0"/>
    <x v="0"/>
    <n v="450"/>
    <x v="10"/>
    <s v="Non-Vegetarian"/>
    <x v="3"/>
  </r>
  <r>
    <s v="A012"/>
    <s v="Participant 12"/>
    <s v="Participant12@example.com"/>
    <s v="555-0012"/>
    <x v="1"/>
    <x v="1"/>
    <n v="700"/>
    <x v="11"/>
    <s v="Gluten-Free"/>
    <x v="3"/>
  </r>
  <r>
    <s v="A013"/>
    <s v="Participant 13"/>
    <s v="Participant13@example.com"/>
    <s v="555-0013"/>
    <x v="0"/>
    <x v="2"/>
    <n v="300"/>
    <x v="12"/>
    <s v="Non-Vegetarian"/>
    <x v="3"/>
  </r>
  <r>
    <s v="A014"/>
    <s v="Participant 14"/>
    <s v="Participant14@example.com"/>
    <s v="555-0014"/>
    <x v="1"/>
    <x v="0"/>
    <n v="450"/>
    <x v="13"/>
    <s v="Vegan"/>
    <x v="3"/>
  </r>
  <r>
    <s v="A015"/>
    <s v="Participant 15"/>
    <s v="Participant15@example.com"/>
    <s v="555-0015"/>
    <x v="0"/>
    <x v="1"/>
    <n v="700"/>
    <x v="14"/>
    <s v="Gluten-Free"/>
    <x v="3"/>
  </r>
  <r>
    <s v="A016"/>
    <s v="Participant 16"/>
    <s v="Participant16@example.com"/>
    <s v="555-0016"/>
    <x v="1"/>
    <x v="2"/>
    <n v="300"/>
    <x v="15"/>
    <s v="Gluten-Free"/>
    <x v="3"/>
  </r>
  <r>
    <s v="A017"/>
    <s v="Participant 17"/>
    <s v="Participant17@example.com"/>
    <s v="555-0017"/>
    <x v="0"/>
    <x v="0"/>
    <n v="450"/>
    <x v="16"/>
    <s v="Non-Vegetarian"/>
    <x v="4"/>
  </r>
  <r>
    <s v="A018"/>
    <s v="Participant 18"/>
    <s v="Participant18@example.com"/>
    <s v="555-0018"/>
    <x v="1"/>
    <x v="1"/>
    <n v="700"/>
    <x v="17"/>
    <s v="Gluten-Free"/>
    <x v="5"/>
  </r>
  <r>
    <s v="A019"/>
    <s v="Participant 19"/>
    <s v="Participant19@example.com"/>
    <s v="555-0019"/>
    <x v="0"/>
    <x v="2"/>
    <n v="300"/>
    <x v="18"/>
    <s v="Vegetarian"/>
    <x v="5"/>
  </r>
  <r>
    <s v="A020"/>
    <s v="Participant 20"/>
    <s v="Participant20@example.com"/>
    <s v="555-0020"/>
    <x v="1"/>
    <x v="0"/>
    <n v="450"/>
    <x v="19"/>
    <s v="Non-Vegetarian"/>
    <x v="5"/>
  </r>
  <r>
    <s v="A021"/>
    <s v="Participant 21"/>
    <s v="Participant21@example.com"/>
    <s v="555-0021"/>
    <x v="0"/>
    <x v="1"/>
    <n v="700"/>
    <x v="20"/>
    <s v="Vegetarian"/>
    <x v="5"/>
  </r>
  <r>
    <s v="A022"/>
    <s v="Participant 22"/>
    <s v="Participant22@example.com"/>
    <s v="555-0022"/>
    <x v="1"/>
    <x v="2"/>
    <n v="300"/>
    <x v="21"/>
    <s v="Non-Vegetarian"/>
    <x v="5"/>
  </r>
  <r>
    <s v="A023"/>
    <s v="Participant 23"/>
    <s v="Participant23@example.com"/>
    <s v="555-0023"/>
    <x v="0"/>
    <x v="0"/>
    <n v="450"/>
    <x v="22"/>
    <s v="Non-Vegetarian"/>
    <x v="5"/>
  </r>
  <r>
    <s v="A024"/>
    <s v="Participant 24"/>
    <s v="Participant24@example.com"/>
    <s v="555-0024"/>
    <x v="1"/>
    <x v="1"/>
    <n v="700"/>
    <x v="23"/>
    <s v="Vegetarian"/>
    <x v="6"/>
  </r>
  <r>
    <s v="A025"/>
    <s v="Participant 25"/>
    <s v="Participant25@example.com"/>
    <s v="555-0025"/>
    <x v="0"/>
    <x v="2"/>
    <n v="300"/>
    <x v="24"/>
    <s v="Vegetarian"/>
    <x v="6"/>
  </r>
  <r>
    <s v="A026"/>
    <s v="Participant 26"/>
    <s v="Participant26@example.com"/>
    <s v="555-0026"/>
    <x v="1"/>
    <x v="0"/>
    <n v="450"/>
    <x v="25"/>
    <s v="Vegan"/>
    <x v="6"/>
  </r>
  <r>
    <s v="A027"/>
    <s v="Participant 27"/>
    <s v="Participant27@example.com"/>
    <s v="555-0027"/>
    <x v="0"/>
    <x v="1"/>
    <n v="700"/>
    <x v="26"/>
    <s v="Gluten-Free"/>
    <x v="7"/>
  </r>
  <r>
    <s v="A028"/>
    <s v="Participant 28"/>
    <s v="Participant28@example.com"/>
    <s v="555-0028"/>
    <x v="1"/>
    <x v="2"/>
    <n v="300"/>
    <x v="27"/>
    <s v="Non-Vegetarian"/>
    <x v="7"/>
  </r>
  <r>
    <s v="A029"/>
    <s v="Participant 29"/>
    <s v="Participant29@example.com"/>
    <s v="555-0029"/>
    <x v="0"/>
    <x v="0"/>
    <n v="450"/>
    <x v="28"/>
    <s v="Vegetarian"/>
    <x v="8"/>
  </r>
  <r>
    <s v="A030"/>
    <s v="Participant 30"/>
    <s v="Participant30@example.com"/>
    <s v="555-0030"/>
    <x v="1"/>
    <x v="1"/>
    <n v="700"/>
    <x v="29"/>
    <s v="Non-Vegetarian"/>
    <x v="8"/>
  </r>
  <r>
    <s v="A031"/>
    <s v="Participant 31"/>
    <s v="Participant31@example.com"/>
    <s v="555-0031"/>
    <x v="0"/>
    <x v="2"/>
    <n v="300"/>
    <x v="30"/>
    <s v="Vegetarian"/>
    <x v="8"/>
  </r>
  <r>
    <s v="A032"/>
    <s v="Participant 32"/>
    <s v="Participant32@example.com"/>
    <s v="555-0032"/>
    <x v="1"/>
    <x v="0"/>
    <n v="450"/>
    <x v="31"/>
    <s v="Vegan"/>
    <x v="8"/>
  </r>
  <r>
    <s v="A033"/>
    <s v="Participant 33"/>
    <s v="Participant33@example.com"/>
    <s v="555-0033"/>
    <x v="0"/>
    <x v="1"/>
    <n v="700"/>
    <x v="32"/>
    <s v="Vegan"/>
    <x v="8"/>
  </r>
  <r>
    <s v="A034"/>
    <s v="Participant 34"/>
    <s v="Participant34@example.com"/>
    <s v="555-0034"/>
    <x v="1"/>
    <x v="2"/>
    <n v="300"/>
    <x v="33"/>
    <s v="Vegan"/>
    <x v="9"/>
  </r>
  <r>
    <s v="A035"/>
    <s v="Participant 35"/>
    <s v="Participant35@example.com"/>
    <s v="555-0035"/>
    <x v="0"/>
    <x v="0"/>
    <n v="450"/>
    <x v="34"/>
    <s v="Non-Vegetarian"/>
    <x v="9"/>
  </r>
  <r>
    <s v="A036"/>
    <s v="Participant 36"/>
    <s v="Participant36@example.com"/>
    <s v="555-0036"/>
    <x v="1"/>
    <x v="1"/>
    <n v="700"/>
    <x v="34"/>
    <s v="Gluten-Free"/>
    <x v="9"/>
  </r>
  <r>
    <s v="A037"/>
    <s v="Participant 37"/>
    <s v="Participant37@example.com"/>
    <s v="555-0037"/>
    <x v="0"/>
    <x v="2"/>
    <n v="300"/>
    <x v="35"/>
    <s v="Vegetarian"/>
    <x v="10"/>
  </r>
  <r>
    <s v="A038"/>
    <s v="Participant 38"/>
    <s v="Participant38@example.com"/>
    <s v="555-0038"/>
    <x v="1"/>
    <x v="0"/>
    <n v="450"/>
    <x v="36"/>
    <s v="Vegetarian"/>
    <x v="10"/>
  </r>
  <r>
    <s v="A039"/>
    <s v="Participant 39"/>
    <s v="Participant39@example.com"/>
    <s v="555-0039"/>
    <x v="0"/>
    <x v="1"/>
    <n v="700"/>
    <x v="37"/>
    <s v="Vegetarian"/>
    <x v="10"/>
  </r>
  <r>
    <s v="A040"/>
    <s v="Participant 40"/>
    <s v="Participant40@example.com"/>
    <s v="555-0040"/>
    <x v="1"/>
    <x v="2"/>
    <n v="300"/>
    <x v="38"/>
    <s v="Vegan"/>
    <x v="11"/>
  </r>
  <r>
    <s v="A041"/>
    <s v="Participant 41"/>
    <s v="Participant41@example.com"/>
    <s v="555-0041"/>
    <x v="0"/>
    <x v="0"/>
    <n v="450"/>
    <x v="39"/>
    <s v="Vegetarian"/>
    <x v="11"/>
  </r>
  <r>
    <s v="A042"/>
    <s v="Participant 42"/>
    <s v="Participant42@example.com"/>
    <s v="555-0042"/>
    <x v="1"/>
    <x v="1"/>
    <n v="700"/>
    <x v="40"/>
    <s v="Vegetarian"/>
    <x v="11"/>
  </r>
  <r>
    <s v="A043"/>
    <s v="Participant 43"/>
    <s v="Participant43@example.com"/>
    <s v="555-0043"/>
    <x v="0"/>
    <x v="2"/>
    <n v="300"/>
    <x v="41"/>
    <s v="Non-Vegetarian"/>
    <x v="11"/>
  </r>
  <r>
    <s v="A044"/>
    <s v="Participant 44"/>
    <s v="Participant44@example.com"/>
    <s v="555-0044"/>
    <x v="1"/>
    <x v="0"/>
    <n v="450"/>
    <x v="42"/>
    <s v="Non-Vegetarian"/>
    <x v="12"/>
  </r>
  <r>
    <s v="A045"/>
    <s v="Participant 45"/>
    <s v="Participant45@example.com"/>
    <s v="555-0045"/>
    <x v="0"/>
    <x v="1"/>
    <n v="700"/>
    <x v="43"/>
    <s v="Vegetarian"/>
    <x v="12"/>
  </r>
  <r>
    <s v="A046"/>
    <s v="Participant 46"/>
    <s v="Participant46@example.com"/>
    <s v="555-0046"/>
    <x v="1"/>
    <x v="2"/>
    <n v="300"/>
    <x v="44"/>
    <s v="Vegetarian"/>
    <x v="13"/>
  </r>
  <r>
    <s v="A047"/>
    <s v="Participant 47"/>
    <s v="Participant47@example.com"/>
    <s v="555-0047"/>
    <x v="0"/>
    <x v="0"/>
    <n v="450"/>
    <x v="45"/>
    <s v="Non-Vegetarian"/>
    <x v="13"/>
  </r>
  <r>
    <s v="A048"/>
    <s v="Participant 48"/>
    <s v="Participant48@example.com"/>
    <s v="555-0048"/>
    <x v="1"/>
    <x v="1"/>
    <n v="700"/>
    <x v="46"/>
    <s v="Vegan"/>
    <x v="14"/>
  </r>
  <r>
    <s v="A049"/>
    <s v="Participant 49"/>
    <s v="Participant49@example.com"/>
    <s v="555-0049"/>
    <x v="0"/>
    <x v="2"/>
    <n v="300"/>
    <x v="47"/>
    <s v="Gluten-Free"/>
    <x v="14"/>
  </r>
  <r>
    <s v="A050"/>
    <s v="Participant 50"/>
    <s v="Participant50@example.com"/>
    <s v="555-0050"/>
    <x v="1"/>
    <x v="0"/>
    <n v="450"/>
    <x v="48"/>
    <s v="Gluten-Free"/>
    <x v="14"/>
  </r>
  <r>
    <s v="A051"/>
    <s v="Participant 51"/>
    <s v="Participant51@example.com"/>
    <s v="555-0051"/>
    <x v="0"/>
    <x v="1"/>
    <n v="700"/>
    <x v="48"/>
    <s v="Gluten-Free"/>
    <x v="14"/>
  </r>
  <r>
    <s v="A052"/>
    <s v="Participant 52"/>
    <s v="Participant52@example.com"/>
    <s v="555-0052"/>
    <x v="1"/>
    <x v="2"/>
    <n v="300"/>
    <x v="49"/>
    <s v="Gluten-Free"/>
    <x v="14"/>
  </r>
  <r>
    <s v="A053"/>
    <s v="Participant 53"/>
    <s v="Participant53@example.com"/>
    <s v="555-0053"/>
    <x v="0"/>
    <x v="0"/>
    <n v="450"/>
    <x v="50"/>
    <s v="Gluten-Free"/>
    <x v="14"/>
  </r>
  <r>
    <s v="A054"/>
    <s v="Participant 54"/>
    <s v="Participant54@example.com"/>
    <s v="555-0054"/>
    <x v="1"/>
    <x v="1"/>
    <n v="700"/>
    <x v="50"/>
    <s v="Non-Vegetarian"/>
    <x v="14"/>
  </r>
  <r>
    <s v="A055"/>
    <s v="Participant 55"/>
    <s v="Participant55@example.com"/>
    <s v="555-0055"/>
    <x v="0"/>
    <x v="2"/>
    <n v="300"/>
    <x v="51"/>
    <s v="Vegan"/>
    <x v="15"/>
  </r>
  <r>
    <s v="A056"/>
    <s v="Participant 56"/>
    <s v="Participant56@example.com"/>
    <s v="555-0056"/>
    <x v="1"/>
    <x v="0"/>
    <n v="450"/>
    <x v="52"/>
    <s v="Vegan"/>
    <x v="15"/>
  </r>
  <r>
    <s v="A057"/>
    <s v="Participant 57"/>
    <s v="Participant57@example.com"/>
    <s v="555-0057"/>
    <x v="0"/>
    <x v="1"/>
    <n v="700"/>
    <x v="53"/>
    <s v="Non-Vegetarian"/>
    <x v="15"/>
  </r>
  <r>
    <s v="A058"/>
    <s v="Participant 58"/>
    <s v="Participant58@example.com"/>
    <s v="555-0058"/>
    <x v="1"/>
    <x v="2"/>
    <n v="300"/>
    <x v="54"/>
    <s v="Non-Vegetarian"/>
    <x v="15"/>
  </r>
  <r>
    <s v="A059"/>
    <s v="Participant 59"/>
    <s v="Participant59@example.com"/>
    <s v="555-0059"/>
    <x v="0"/>
    <x v="0"/>
    <n v="450"/>
    <x v="55"/>
    <s v="Vegan"/>
    <x v="15"/>
  </r>
  <r>
    <s v="A060"/>
    <s v="Participant 60"/>
    <s v="Participant60@example.com"/>
    <s v="555-0060"/>
    <x v="1"/>
    <x v="1"/>
    <n v="700"/>
    <x v="56"/>
    <s v="Vegetarian"/>
    <x v="15"/>
  </r>
  <r>
    <s v="A061"/>
    <s v="Participant 61"/>
    <s v="Participant61@example.com"/>
    <s v="555-0061"/>
    <x v="0"/>
    <x v="2"/>
    <n v="300"/>
    <x v="57"/>
    <s v="Vegetarian"/>
    <x v="15"/>
  </r>
  <r>
    <s v="A062"/>
    <s v="Participant 62"/>
    <s v="Participant62@example.com"/>
    <s v="555-0062"/>
    <x v="1"/>
    <x v="0"/>
    <n v="450"/>
    <x v="58"/>
    <s v="Gluten-Free"/>
    <x v="15"/>
  </r>
  <r>
    <s v="A063"/>
    <s v="Participant 63"/>
    <s v="Participant63@example.com"/>
    <s v="555-0063"/>
    <x v="0"/>
    <x v="1"/>
    <n v="700"/>
    <x v="58"/>
    <s v="Gluten-Free"/>
    <x v="15"/>
  </r>
  <r>
    <s v="A064"/>
    <s v="Participant 64"/>
    <s v="Participant64@example.com"/>
    <s v="555-0064"/>
    <x v="1"/>
    <x v="2"/>
    <n v="300"/>
    <x v="59"/>
    <s v="Non-Vegetarian"/>
    <x v="16"/>
  </r>
  <r>
    <s v="A065"/>
    <s v="Participant 65"/>
    <s v="Participant65@example.com"/>
    <s v="555-0065"/>
    <x v="0"/>
    <x v="0"/>
    <n v="450"/>
    <x v="59"/>
    <s v="Gluten-Free"/>
    <x v="16"/>
  </r>
  <r>
    <s v="A066"/>
    <s v="Participant 66"/>
    <s v="Participant66@example.com"/>
    <s v="555-0066"/>
    <x v="1"/>
    <x v="1"/>
    <n v="700"/>
    <x v="60"/>
    <s v="Gluten-Free"/>
    <x v="16"/>
  </r>
  <r>
    <s v="A067"/>
    <s v="Participant 67"/>
    <s v="Participant67@example.com"/>
    <s v="555-0067"/>
    <x v="0"/>
    <x v="2"/>
    <n v="300"/>
    <x v="61"/>
    <s v="Non-Vegetarian"/>
    <x v="16"/>
  </r>
  <r>
    <s v="A068"/>
    <s v="Participant 68"/>
    <s v="Participant68@example.com"/>
    <s v="555-0068"/>
    <x v="1"/>
    <x v="0"/>
    <n v="450"/>
    <x v="62"/>
    <s v="Vegan"/>
    <x v="16"/>
  </r>
  <r>
    <s v="A069"/>
    <s v="Participant 69"/>
    <s v="Participant69@example.com"/>
    <s v="555-0069"/>
    <x v="0"/>
    <x v="1"/>
    <n v="700"/>
    <x v="63"/>
    <s v="Vegan"/>
    <x v="17"/>
  </r>
  <r>
    <s v="A070"/>
    <s v="Participant 70"/>
    <s v="Participant70@example.com"/>
    <s v="555-0070"/>
    <x v="1"/>
    <x v="2"/>
    <n v="300"/>
    <x v="64"/>
    <s v="Vegan"/>
    <x v="17"/>
  </r>
  <r>
    <s v="A071"/>
    <s v="Participant 71"/>
    <s v="Participant71@example.com"/>
    <s v="555-0071"/>
    <x v="0"/>
    <x v="0"/>
    <n v="450"/>
    <x v="65"/>
    <s v="Gluten-Free"/>
    <x v="17"/>
  </r>
  <r>
    <s v="A072"/>
    <s v="Participant 72"/>
    <s v="Participant72@example.com"/>
    <s v="555-0072"/>
    <x v="1"/>
    <x v="1"/>
    <n v="700"/>
    <x v="66"/>
    <s v="Vegan"/>
    <x v="18"/>
  </r>
  <r>
    <s v="A073"/>
    <s v="Participant 73"/>
    <s v="Participant73@example.com"/>
    <s v="555-0073"/>
    <x v="0"/>
    <x v="2"/>
    <n v="300"/>
    <x v="67"/>
    <s v="Non-Vegetarian"/>
    <x v="18"/>
  </r>
  <r>
    <s v="A074"/>
    <s v="Participant 74"/>
    <s v="Participant74@example.com"/>
    <s v="555-0074"/>
    <x v="1"/>
    <x v="0"/>
    <n v="450"/>
    <x v="68"/>
    <s v="Non-Vegetarian"/>
    <x v="18"/>
  </r>
  <r>
    <s v="A075"/>
    <s v="Participant 75"/>
    <s v="Participant75@example.com"/>
    <s v="555-0075"/>
    <x v="0"/>
    <x v="1"/>
    <n v="700"/>
    <x v="69"/>
    <s v="Vegan"/>
    <x v="19"/>
  </r>
  <r>
    <s v="A076"/>
    <s v="Participant 76"/>
    <s v="Participant76@example.com"/>
    <s v="555-0076"/>
    <x v="1"/>
    <x v="2"/>
    <n v="300"/>
    <x v="70"/>
    <s v="Non-Vegetarian"/>
    <x v="19"/>
  </r>
  <r>
    <s v="A077"/>
    <s v="Participant 77"/>
    <s v="Participant77@example.com"/>
    <s v="555-0077"/>
    <x v="0"/>
    <x v="0"/>
    <n v="450"/>
    <x v="71"/>
    <s v="Vegetarian"/>
    <x v="19"/>
  </r>
  <r>
    <s v="A078"/>
    <s v="Participant 78"/>
    <s v="Participant78@example.com"/>
    <s v="555-0078"/>
    <x v="1"/>
    <x v="1"/>
    <n v="700"/>
    <x v="72"/>
    <s v="Vegetarian"/>
    <x v="19"/>
  </r>
  <r>
    <s v="A079"/>
    <s v="Participant 79"/>
    <s v="Participant79@example.com"/>
    <s v="555-0079"/>
    <x v="0"/>
    <x v="2"/>
    <n v="300"/>
    <x v="73"/>
    <s v="Non-Vegetarian"/>
    <x v="19"/>
  </r>
  <r>
    <s v="A080"/>
    <s v="Participant 80"/>
    <s v="Participant80@example.com"/>
    <s v="555-0080"/>
    <x v="1"/>
    <x v="0"/>
    <n v="450"/>
    <x v="74"/>
    <s v="Vegan"/>
    <x v="19"/>
  </r>
  <r>
    <s v="A081"/>
    <s v="Participant 81"/>
    <s v="Participant81@example.com"/>
    <s v="555-0081"/>
    <x v="0"/>
    <x v="1"/>
    <n v="700"/>
    <x v="75"/>
    <s v="Vegetarian"/>
    <x v="20"/>
  </r>
  <r>
    <s v="A082"/>
    <s v="Participant 82"/>
    <s v="Participant82@example.com"/>
    <s v="555-0082"/>
    <x v="1"/>
    <x v="2"/>
    <n v="300"/>
    <x v="76"/>
    <s v="Vegetarian"/>
    <x v="20"/>
  </r>
  <r>
    <s v="A083"/>
    <s v="Participant 83"/>
    <s v="Participant83@example.com"/>
    <s v="555-0083"/>
    <x v="0"/>
    <x v="0"/>
    <n v="450"/>
    <x v="77"/>
    <s v="Vegan"/>
    <x v="20"/>
  </r>
  <r>
    <s v="A084"/>
    <s v="Participant 84"/>
    <s v="Participant84@example.com"/>
    <s v="555-0084"/>
    <x v="1"/>
    <x v="1"/>
    <n v="700"/>
    <x v="78"/>
    <s v="Non-Vegetarian"/>
    <x v="21"/>
  </r>
  <r>
    <s v="A085"/>
    <s v="Participant 85"/>
    <s v="Participant85@example.com"/>
    <s v="555-0085"/>
    <x v="0"/>
    <x v="2"/>
    <n v="300"/>
    <x v="79"/>
    <s v="Gluten-Free"/>
    <x v="21"/>
  </r>
  <r>
    <s v="A086"/>
    <s v="Participant 86"/>
    <s v="Participant86@example.com"/>
    <s v="555-0086"/>
    <x v="1"/>
    <x v="0"/>
    <n v="450"/>
    <x v="80"/>
    <s v="Vegetarian"/>
    <x v="21"/>
  </r>
  <r>
    <s v="A087"/>
    <s v="Participant 87"/>
    <s v="Participant87@example.com"/>
    <s v="555-0087"/>
    <x v="0"/>
    <x v="1"/>
    <n v="700"/>
    <x v="81"/>
    <s v="Non-Vegetarian"/>
    <x v="21"/>
  </r>
  <r>
    <s v="A088"/>
    <s v="Participant 88"/>
    <s v="Participant88@example.com"/>
    <s v="555-0088"/>
    <x v="1"/>
    <x v="2"/>
    <n v="300"/>
    <x v="82"/>
    <s v="Non-Vegetarian"/>
    <x v="21"/>
  </r>
  <r>
    <s v="A089"/>
    <s v="Participant 89"/>
    <s v="Participant89@example.com"/>
    <s v="555-0089"/>
    <x v="0"/>
    <x v="0"/>
    <n v="450"/>
    <x v="83"/>
    <s v="Vegetarian"/>
    <x v="21"/>
  </r>
  <r>
    <s v="A090"/>
    <s v="Participant 90"/>
    <s v="Participant90@example.com"/>
    <s v="555-0090"/>
    <x v="1"/>
    <x v="1"/>
    <n v="700"/>
    <x v="84"/>
    <s v="Gluten-Free"/>
    <x v="21"/>
  </r>
  <r>
    <s v="A091"/>
    <s v="Participant 91"/>
    <s v="Participant91@example.com"/>
    <s v="555-0091"/>
    <x v="0"/>
    <x v="2"/>
    <n v="300"/>
    <x v="85"/>
    <s v="Gluten-Free"/>
    <x v="22"/>
  </r>
  <r>
    <s v="A092"/>
    <s v="Participant 92"/>
    <s v="Participant92@example.com"/>
    <s v="555-0092"/>
    <x v="1"/>
    <x v="0"/>
    <n v="450"/>
    <x v="86"/>
    <s v="Vegetarian"/>
    <x v="22"/>
  </r>
  <r>
    <s v="A093"/>
    <s v="Participant 93"/>
    <s v="Participant93@example.com"/>
    <s v="555-0093"/>
    <x v="0"/>
    <x v="1"/>
    <n v="700"/>
    <x v="87"/>
    <s v="Gluten-Free"/>
    <x v="23"/>
  </r>
  <r>
    <s v="A094"/>
    <s v="Participant 94"/>
    <s v="Participant94@example.com"/>
    <s v="555-0094"/>
    <x v="1"/>
    <x v="2"/>
    <n v="300"/>
    <x v="88"/>
    <s v="Non-Vegetarian"/>
    <x v="23"/>
  </r>
  <r>
    <s v="A095"/>
    <s v="Participant 95"/>
    <s v="Participant95@example.com"/>
    <s v="555-0095"/>
    <x v="0"/>
    <x v="0"/>
    <n v="450"/>
    <x v="89"/>
    <s v="Vegetarian"/>
    <x v="23"/>
  </r>
  <r>
    <s v="A096"/>
    <s v="Participant 96"/>
    <s v="Participant96@example.com"/>
    <s v="555-0096"/>
    <x v="1"/>
    <x v="1"/>
    <n v="700"/>
    <x v="90"/>
    <s v="Vegan"/>
    <x v="23"/>
  </r>
  <r>
    <s v="A097"/>
    <s v="Participant 97"/>
    <s v="Participant97@example.com"/>
    <s v="555-0097"/>
    <x v="0"/>
    <x v="2"/>
    <n v="300"/>
    <x v="91"/>
    <s v="Vegetarian"/>
    <x v="23"/>
  </r>
  <r>
    <s v="A098"/>
    <s v="Participant 98"/>
    <s v="Participant98@example.com"/>
    <s v="555-0098"/>
    <x v="1"/>
    <x v="0"/>
    <n v="450"/>
    <x v="92"/>
    <s v="Vegetarian"/>
    <x v="23"/>
  </r>
  <r>
    <s v="A099"/>
    <s v="Participant 99"/>
    <s v="Participant99@example.com"/>
    <s v="555-0099"/>
    <x v="0"/>
    <x v="1"/>
    <n v="700"/>
    <x v="93"/>
    <s v="Vegetarian"/>
    <x v="24"/>
  </r>
  <r>
    <s v="A100"/>
    <s v="Participant 100"/>
    <s v="Participant100@example.com"/>
    <s v="555-0100"/>
    <x v="1"/>
    <x v="2"/>
    <n v="300"/>
    <x v="94"/>
    <s v="Vegetarian"/>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EB20C2-085C-419C-B891-1ECF6CAA0422}" name="ptKPI"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location ref="P5:Q6" firstHeaderRow="0" firstDataRow="1" firstDataCol="0"/>
  <pivotFields count="10">
    <pivotField dataField="1" compact="0" outline="0" showAll="0"/>
    <pivotField compact="0" outline="0" showAll="0"/>
    <pivotField compact="0" outline="0" showAll="0"/>
    <pivotField compact="0" outline="0" showAll="0"/>
    <pivotField compact="0" outline="0" showAll="0">
      <items count="3">
        <item x="1"/>
        <item x="0"/>
        <item t="default"/>
      </items>
    </pivotField>
    <pivotField compact="0" outline="0" showAll="0">
      <items count="4">
        <item x="1"/>
        <item x="2"/>
        <item x="0"/>
        <item t="default"/>
      </items>
    </pivotField>
    <pivotField dataField="1"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compact="0" numFmtId="166" outline="0" showAll="0"/>
  </pivotFields>
  <rowItems count="1">
    <i/>
  </rowItems>
  <colFields count="1">
    <field x="-2"/>
  </colFields>
  <colItems count="2">
    <i>
      <x/>
    </i>
    <i i="1">
      <x v="1"/>
    </i>
  </colItems>
  <dataFields count="2">
    <dataField name="Asistentes" fld="0" subtotal="count" baseField="0" baseItem="0" numFmtId="3"/>
    <dataField name="Ingresos (€)" fld="6" baseField="0" baseItem="0"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42DF7B-4DD8-4AC7-8AE9-EFB8C0EF4947}" name="ptAttendeesByMonth"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chartFormat="3">
  <location ref="Y5:Z31" firstHeaderRow="1" firstDataRow="1" firstDataCol="1"/>
  <pivotFields count="10">
    <pivotField dataField="1" compact="0" outline="0" showAll="0"/>
    <pivotField compact="0" outline="0" showAll="0"/>
    <pivotField compact="0" outline="0" showAll="0"/>
    <pivotField compact="0" outline="0" showAll="0"/>
    <pivotField compact="0" outline="0" showAll="0">
      <items count="3">
        <item x="1"/>
        <item x="0"/>
        <item t="default"/>
      </items>
    </pivotField>
    <pivotField compact="0" outline="0" showAll="0">
      <items count="4">
        <item x="1"/>
        <item x="2"/>
        <item x="0"/>
        <item t="default"/>
      </items>
    </pivotField>
    <pivotField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axis="axisRow" compact="0" numFmtId="166" outline="0"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s>
  <rowFields count="1">
    <field x="9"/>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Asistentes por mes" fld="0" subtotal="count" baseField="0" baseItem="0" numFmtId="3"/>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1892CE-EEF0-4305-9BDD-003A559D22A4}" name="ptAttendanceType"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chartFormat="3">
  <location ref="V5:W8" firstHeaderRow="1" firstDataRow="1" firstDataCol="1"/>
  <pivotFields count="10">
    <pivotField dataField="1" compact="0" outline="0" showAll="0"/>
    <pivotField compact="0" outline="0" showAll="0"/>
    <pivotField compact="0" outline="0" showAll="0"/>
    <pivotField compact="0" outline="0" showAll="0"/>
    <pivotField axis="axisRow" compact="0" outline="0" showAll="0">
      <items count="3">
        <item x="1"/>
        <item x="0"/>
        <item t="default"/>
      </items>
    </pivotField>
    <pivotField compact="0" outline="0" showAll="0">
      <items count="4">
        <item x="1"/>
        <item x="2"/>
        <item x="0"/>
        <item t="default"/>
      </items>
    </pivotField>
    <pivotField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compact="0" numFmtId="166" outline="0" showAll="0"/>
  </pivotFields>
  <rowFields count="1">
    <field x="4"/>
  </rowFields>
  <rowItems count="3">
    <i>
      <x/>
    </i>
    <i>
      <x v="1"/>
    </i>
    <i t="grand">
      <x/>
    </i>
  </rowItems>
  <colItems count="1">
    <i/>
  </colItems>
  <dataFields count="1">
    <dataField name="Asistentes por modalidad" fld="0" subtotal="count" baseField="0" baseItem="0" numFmtId="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9D6233-043B-4297-BE5E-3FB616CF6B72}" name="ptRevenueBySession"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chartFormat="3">
  <location ref="S5:T9" firstHeaderRow="1" firstDataRow="1" firstDataCol="1"/>
  <pivotFields count="10">
    <pivotField compact="0" outline="0" showAll="0"/>
    <pivotField compact="0" outline="0" showAll="0"/>
    <pivotField compact="0" outline="0" showAll="0"/>
    <pivotField compact="0" outline="0" showAll="0"/>
    <pivotField compact="0" outline="0" showAll="0">
      <items count="3">
        <item x="1"/>
        <item x="0"/>
        <item t="default"/>
      </items>
    </pivotField>
    <pivotField axis="axisRow" compact="0" outline="0" showAll="0" sortType="ascending">
      <items count="4">
        <item x="1"/>
        <item x="2"/>
        <item x="0"/>
        <item t="default"/>
      </items>
      <autoSortScope>
        <pivotArea dataOnly="0" outline="0" fieldPosition="0">
          <references count="1">
            <reference field="4294967294" count="1" selected="0">
              <x v="0"/>
            </reference>
          </references>
        </pivotArea>
      </autoSortScope>
    </pivotField>
    <pivotField dataField="1"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compact="0" numFmtId="166" outline="0" showAll="0"/>
  </pivotFields>
  <rowFields count="1">
    <field x="5"/>
  </rowFields>
  <rowItems count="4">
    <i>
      <x v="1"/>
    </i>
    <i>
      <x v="2"/>
    </i>
    <i>
      <x/>
    </i>
    <i t="grand">
      <x/>
    </i>
  </rowItems>
  <colItems count="1">
    <i/>
  </colItems>
  <dataFields count="1">
    <dataField name="Ingresos (€) por sesión" fld="6" baseField="0" baseItem="0" numFmtId="167"/>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5F4360-A94E-4457-A67E-FADB4B8BF7B0}" name="ptAttendanceType"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chartFormat="3">
  <location ref="V5:W8" firstHeaderRow="1" firstDataRow="1" firstDataCol="1"/>
  <pivotFields count="10">
    <pivotField dataField="1" compact="0" outline="0" showAll="0"/>
    <pivotField compact="0" outline="0" showAll="0"/>
    <pivotField compact="0" outline="0" showAll="0"/>
    <pivotField compact="0" outline="0" showAll="0"/>
    <pivotField axis="axisRow" compact="0" outline="0" showAll="0">
      <items count="3">
        <item x="1"/>
        <item x="0"/>
        <item t="default"/>
      </items>
    </pivotField>
    <pivotField compact="0" outline="0" showAll="0">
      <items count="4">
        <item x="1"/>
        <item x="2"/>
        <item x="0"/>
        <item t="default"/>
      </items>
    </pivotField>
    <pivotField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compact="0" numFmtId="166" outline="0" showAll="0"/>
  </pivotFields>
  <rowFields count="1">
    <field x="4"/>
  </rowFields>
  <rowItems count="3">
    <i>
      <x/>
    </i>
    <i>
      <x v="1"/>
    </i>
    <i t="grand">
      <x/>
    </i>
  </rowItems>
  <colItems count="1">
    <i/>
  </colItems>
  <dataFields count="1">
    <dataField name="Asistentes por modalidad" fld="0" subtotal="count" baseField="0" baseItem="0" numFmtId="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55F09D7-3396-47C5-87A2-85B3A03CADE8}" name="ptAttendeesByMonth"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chartFormat="3">
  <location ref="Y5:Z31" firstHeaderRow="1" firstDataRow="1" firstDataCol="1"/>
  <pivotFields count="10">
    <pivotField dataField="1" compact="0" outline="0" showAll="0"/>
    <pivotField compact="0" outline="0" showAll="0"/>
    <pivotField compact="0" outline="0" showAll="0"/>
    <pivotField compact="0" outline="0" showAll="0"/>
    <pivotField compact="0" outline="0" showAll="0">
      <items count="3">
        <item x="1"/>
        <item x="0"/>
        <item t="default"/>
      </items>
    </pivotField>
    <pivotField compact="0" outline="0" showAll="0">
      <items count="4">
        <item x="1"/>
        <item x="2"/>
        <item x="0"/>
        <item t="default"/>
      </items>
    </pivotField>
    <pivotField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axis="axisRow" compact="0" numFmtId="166" outline="0"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s>
  <rowFields count="1">
    <field x="9"/>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Asistentes por mes" fld="0" subtotal="count" baseField="0" baseItem="0" numFmtId="3"/>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179292F-35AE-4B02-9E96-47C0D310C0F4}" name="ptKPI"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location ref="P5:Q6" firstHeaderRow="0" firstDataRow="1" firstDataCol="0"/>
  <pivotFields count="10">
    <pivotField dataField="1" compact="0" outline="0" showAll="0"/>
    <pivotField compact="0" outline="0" showAll="0"/>
    <pivotField compact="0" outline="0" showAll="0"/>
    <pivotField compact="0" outline="0" showAll="0"/>
    <pivotField compact="0" outline="0" showAll="0">
      <items count="3">
        <item x="1"/>
        <item x="0"/>
        <item t="default"/>
      </items>
    </pivotField>
    <pivotField compact="0" outline="0" showAll="0">
      <items count="4">
        <item x="1"/>
        <item x="2"/>
        <item x="0"/>
        <item t="default"/>
      </items>
    </pivotField>
    <pivotField dataField="1"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compact="0" numFmtId="166" outline="0" showAll="0"/>
  </pivotFields>
  <rowItems count="1">
    <i/>
  </rowItems>
  <colFields count="1">
    <field x="-2"/>
  </colFields>
  <colItems count="2">
    <i>
      <x/>
    </i>
    <i i="1">
      <x v="1"/>
    </i>
  </colItems>
  <dataFields count="2">
    <dataField name="Asistentes" fld="0" subtotal="count" baseField="0" baseItem="0" numFmtId="3"/>
    <dataField name="Ingresos (€)" fld="6" baseField="0" baseItem="0"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F750E06-6DEC-4C3A-9C30-88F88CA2073F}" name="ptRevenueBySession" cacheId="15" applyNumberFormats="0" applyBorderFormats="0" applyFontFormats="0" applyPatternFormats="0" applyAlignmentFormats="0" applyWidthHeightFormats="1" dataCaption="Values" updatedVersion="8" minRefreshableVersion="5" showDrill="0" itemPrintTitles="1" createdVersion="6" indent="0" compact="0" compactData="0" multipleFieldFilters="0" chartFormat="3">
  <location ref="S5:T9" firstHeaderRow="1" firstDataRow="1" firstDataCol="1"/>
  <pivotFields count="10">
    <pivotField compact="0" outline="0" showAll="0"/>
    <pivotField compact="0" outline="0" showAll="0"/>
    <pivotField compact="0" outline="0" showAll="0"/>
    <pivotField compact="0" outline="0" showAll="0"/>
    <pivotField compact="0" outline="0" showAll="0">
      <items count="3">
        <item x="1"/>
        <item x="0"/>
        <item t="default"/>
      </items>
    </pivotField>
    <pivotField axis="axisRow" compact="0" outline="0" showAll="0" sortType="ascending">
      <items count="4">
        <item x="1"/>
        <item x="2"/>
        <item x="0"/>
        <item t="default"/>
      </items>
      <autoSortScope>
        <pivotArea dataOnly="0" outline="0" fieldPosition="0">
          <references count="1">
            <reference field="4294967294" count="1" selected="0">
              <x v="0"/>
            </reference>
          </references>
        </pivotArea>
      </autoSortScope>
    </pivotField>
    <pivotField dataField="1" compact="0" numFmtId="167" outline="0" showAll="0"/>
    <pivotField compact="0" numFmtId="164" outline="0"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compact="0" outline="0" showAll="0"/>
    <pivotField compact="0" numFmtId="166" outline="0" showAll="0"/>
  </pivotFields>
  <rowFields count="1">
    <field x="5"/>
  </rowFields>
  <rowItems count="4">
    <i>
      <x v="1"/>
    </i>
    <i>
      <x v="2"/>
    </i>
    <i>
      <x/>
    </i>
    <i t="grand">
      <x/>
    </i>
  </rowItems>
  <colItems count="1">
    <i/>
  </colItems>
  <dataFields count="1">
    <dataField name="Ingresos (€) por sesión" fld="6" baseField="0" baseItem="0" numFmtId="167"/>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_Type" xr10:uid="{F274636C-B19C-4039-B087-6E6440D0C7C2}" sourceName="Attendance Type">
  <pivotTables>
    <pivotTable tabId="5" name="ptKPI"/>
    <pivotTable tabId="5" name="ptRevenueBySession"/>
    <pivotTable tabId="5" name="ptAttendanceType"/>
    <pivotTable tabId="5" name="ptAttendeesByMonth"/>
  </pivotTables>
  <data>
    <tabular pivotCacheId="111263679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_Preference" xr10:uid="{B3CD140B-A21F-4371-BD3E-A88166BA517D}" sourceName="Session Preference">
  <pivotTables>
    <pivotTable tabId="5" name="ptKPI"/>
    <pivotTable tabId="5" name="ptRevenueBySession"/>
    <pivotTable tabId="5" name="ptAttendanceType"/>
    <pivotTable tabId="5" name="ptAttendeesByMonth"/>
  </pivotTables>
  <data>
    <tabular pivotCacheId="1112636791">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_Type_T7" xr10:uid="{A71C3910-AAD6-43BA-9EA7-2D45E0225EA4}" sourceName="Attendance Type">
  <pivotTables>
    <pivotTable tabId="6" name="ptKPI"/>
    <pivotTable tabId="6" name="ptRevenueBySession"/>
    <pivotTable tabId="6" name="ptAttendanceType"/>
    <pivotTable tabId="6" name="ptAttendeesByMonth"/>
  </pivotTables>
  <data>
    <tabular pivotCacheId="1112636791">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_Preference_T7" xr10:uid="{A84F50A6-4ADB-40A0-A491-3B3E51E3004E}" sourceName="Session Preference">
  <pivotTables>
    <pivotTable tabId="6" name="ptKPI"/>
    <pivotTable tabId="6" name="ptRevenueBySession"/>
    <pivotTable tabId="6" name="ptAttendanceType"/>
    <pivotTable tabId="6" name="ptAttendeesByMonth"/>
  </pivotTables>
  <data>
    <tabular pivotCacheId="1112636791">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AttendanceType" xr10:uid="{EA120F17-5821-4BE4-AE62-823FDB188C42}" cache="Slicer_Attendance_Type" caption="Tipo de asistencia" rowHeight="234950"/>
  <slicer name="slcSessionPreference" xr10:uid="{11D00953-0260-4AA6-A121-7370283642C8}" cache="Slicer_Session_Preference" caption="Preferencia de sesión"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AttendanceType_T7" xr10:uid="{3A343F75-B4DB-4390-9353-2234285A895C}" cache="Slicer_Attendance_Type_T7" caption="Tipo de asistencia" rowHeight="234950"/>
  <slicer name="slcSessionPreference_T7" xr10:uid="{78E6ED8D-7C4C-4E53-866D-AFACBB6E96EB}" cache="Slicer_Session_Preference_T7" caption="Preferencia de sesió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79FA9A2-27BD-426E-B066-4C109667EBC4}" name="tblAttendees" displayName="tblAttendees" ref="A1:J101" totalsRowShown="0" headerRowDxfId="36" dataDxfId="35">
  <autoFilter ref="A1:J101" xr:uid="{279FA9A2-27BD-426E-B066-4C109667EBC4}"/>
  <tableColumns count="10">
    <tableColumn id="1" xr3:uid="{B7DAE1DA-0C2F-40E5-89C4-DFB441562935}" name="Attendee ID" dataDxfId="34"/>
    <tableColumn id="2" xr3:uid="{BEF5EA68-55B5-43BE-A496-8F3E8C8D4052}" name="Name" dataDxfId="33"/>
    <tableColumn id="3" xr3:uid="{E41998A2-75AB-48E5-96D6-2574CD9C4EDB}" name="Email" dataDxfId="32"/>
    <tableColumn id="4" xr3:uid="{036580B0-E891-4ACF-BF7A-F91CBE0BD591}" name="Phone Number" dataDxfId="31"/>
    <tableColumn id="5" xr3:uid="{D2F1B1C3-CE98-4D41-9247-8CA81A01FC2E}" name="Attendance Type" dataDxfId="30"/>
    <tableColumn id="6" xr3:uid="{A59D13C7-4FB3-4821-B74A-3586089BEC33}" name="Session Preference" dataDxfId="29"/>
    <tableColumn id="7" xr3:uid="{89BFF84E-8923-4103-9FDC-52D5B8A93DDF}" name="Ticket Price (€)" dataDxfId="28"/>
    <tableColumn id="8" xr3:uid="{5FDBC1F0-1EA3-4247-BA1E-673CD9726DE5}" name="Registration Date" dataDxfId="27"/>
    <tableColumn id="9" xr3:uid="{1BAD362B-1AEC-4720-BCC0-B85F74B33477}" name="Dietary Preference" dataDxfId="26"/>
    <tableColumn id="10" xr3:uid="{4EEA97A7-3D21-4D1E-A976-A3BF99BE5B54}" name="Registration Month" dataDxfId="25">
      <calculatedColumnFormula>DATE(YEAR(tblAttendees[[#This Row],[Registration Date]]),MONTH(tblAttendees[[#This Row],[Registration Date]]),1)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24F8F6-A3E2-4F99-8BCC-C74E3245A295}" name="tblTicketPrices" displayName="tblTicketPrices" ref="E2:F5" totalsRowShown="0" headerRowDxfId="24" dataDxfId="23">
  <autoFilter ref="E2:F5" xr:uid="{9624F8F6-A3E2-4F99-8BCC-C74E3245A295}"/>
  <tableColumns count="2">
    <tableColumn id="1" xr3:uid="{B4E92276-7B40-452E-9697-88C4198AB643}" name="Session Preference" dataDxfId="22"/>
    <tableColumn id="2" xr3:uid="{3E36B993-1244-49E5-9E3E-5826B536EFA5}" name="Ticket Price (€)" dataDxfId="2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AE69C84-A82C-43DD-9F15-DC70C2752946}" name="tblDietaryOptions" displayName="tblDietaryOptions" ref="H2:H6" totalsRowShown="0" headerRowDxfId="20" dataDxfId="19">
  <autoFilter ref="H2:H6" xr:uid="{6AE69C84-A82C-43DD-9F15-DC70C2752946}"/>
  <tableColumns count="1">
    <tableColumn id="1" xr3:uid="{F87E0DC4-1E41-4476-800F-3E2FC17C6315}" name="Dietary Preference" dataDxfId="1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68C524-B0F7-4D04-8245-1E008637E284}" name="tblAttendanceOptions" displayName="tblAttendanceOptions" ref="J2:J4" totalsRowShown="0" headerRowDxfId="17" dataDxfId="16">
  <autoFilter ref="J2:J4" xr:uid="{6D68C524-B0F7-4D04-8245-1E008637E284}"/>
  <tableColumns count="1">
    <tableColumn id="1" xr3:uid="{E34EA338-B64C-4E94-B2E3-B49E7888B3B0}" name="Attendance Type" dataDxfId="15"/>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E40AF"/>
      </a:accent1>
      <a:accent2>
        <a:srgbClr val="0F766E"/>
      </a:accent2>
      <a:accent3>
        <a:srgbClr val="D97706"/>
      </a:accent3>
      <a:accent4>
        <a:srgbClr val="475569"/>
      </a:accent4>
      <a:accent5>
        <a:srgbClr val="3B82F6"/>
      </a:accent5>
      <a:accent6>
        <a:srgbClr val="B91C1C"/>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gistration_Date" xr10:uid="{23DCCE59-0799-4B45-91E5-55A14591B6B4}" sourceName="Registration Date">
  <pivotTables>
    <pivotTable tabId="5" name="ptKPI"/>
    <pivotTable tabId="5" name="ptRevenueBySession"/>
    <pivotTable tabId="5" name="ptAttendanceType"/>
    <pivotTable tabId="5" name="ptAttendeesByMonth"/>
  </pivotTables>
  <state minimalRefreshVersion="6" lastRefreshVersion="6" pivotCacheId="1112636791" filterType="unknown">
    <bounds startDate="2022-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gistration_Date_T7" xr10:uid="{94E909BB-7E31-4CBD-A81B-A67A135581F3}" sourceName="Registration Date">
  <pivotTables>
    <pivotTable tabId="6" name="ptKPI"/>
    <pivotTable tabId="6" name="ptRevenueBySession"/>
    <pivotTable tabId="6" name="ptAttendanceType"/>
    <pivotTable tabId="6" name="ptAttendeesByMonth"/>
  </pivotTables>
  <state minimalRefreshVersion="6" lastRefreshVersion="6" pivotCacheId="1112636791" filterType="unknown">
    <bounds startDate="2022-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lRegistrationDate" xr10:uid="{D027EA50-A43D-4381-81B0-ED163DD3B08E}" cache="NativeTimeline_Registration_Date" caption="Fecha de registro" level="1" selectionLevel="1" scrollPosition="2022-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lRegistrationDate_T7" xr10:uid="{DF597A41-ABD2-4FE9-A2C3-B3C7E57667C1}" cache="NativeTimeline_Registration_Date_T7" caption="Fecha de registro" level="1" selectionLevel="1" scrollPosition="2022-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2.vml"/><Relationship Id="rId5" Type="http://schemas.openxmlformats.org/officeDocument/2006/relationships/drawing" Target="../drawings/drawing4.xml"/><Relationship Id="rId10" Type="http://schemas.microsoft.com/office/2011/relationships/timeline" Target="../timelines/timeline1.xml"/><Relationship Id="rId4" Type="http://schemas.openxmlformats.org/officeDocument/2006/relationships/pivotTable" Target="../pivotTables/pivotTable4.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ivotTable" Target="../pivotTables/pivotTable7.xml"/><Relationship Id="rId7" Type="http://schemas.openxmlformats.org/officeDocument/2006/relationships/ctrlProp" Target="../ctrlProps/ctrlProp4.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3.vml"/><Relationship Id="rId5" Type="http://schemas.openxmlformats.org/officeDocument/2006/relationships/drawing" Target="../drawings/drawing5.xml"/><Relationship Id="rId10" Type="http://schemas.microsoft.com/office/2011/relationships/timeline" Target="../timelines/timeline2.xml"/><Relationship Id="rId4" Type="http://schemas.openxmlformats.org/officeDocument/2006/relationships/pivotTable" Target="../pivotTables/pivotTable8.xml"/><Relationship Id="rId9"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38F00-3DA1-491C-84B2-951D60DFA754}">
  <sheetPr codeName="Sheet1">
    <tabColor rgb="FF1E3A8A"/>
  </sheetPr>
  <dimension ref="B1:BH300"/>
  <sheetViews>
    <sheetView showGridLines="0" showRowColHeaders="0" zoomScaleNormal="100" workbookViewId="0"/>
  </sheetViews>
  <sheetFormatPr defaultRowHeight="15" x14ac:dyDescent="0.35"/>
  <cols>
    <col min="1" max="1" width="2.77734375" style="89" customWidth="1"/>
    <col min="2" max="2" width="26.77734375" style="89" customWidth="1"/>
    <col min="3" max="3" width="74.77734375" style="89" customWidth="1"/>
    <col min="4" max="4" width="40.77734375" style="89" customWidth="1"/>
    <col min="5" max="59" width="8.88671875" style="89"/>
    <col min="60" max="60" width="8.88671875" style="89" customWidth="1"/>
    <col min="61" max="16384" width="8.88671875" style="89"/>
  </cols>
  <sheetData>
    <row r="1" spans="2:60" ht="7.95" customHeight="1" x14ac:dyDescent="0.35">
      <c r="BH1"/>
    </row>
    <row r="2" spans="2:60" ht="30" customHeight="1" x14ac:dyDescent="0.35">
      <c r="B2" s="187" t="s">
        <v>1256</v>
      </c>
    </row>
    <row r="3" spans="2:60" ht="16.05" customHeight="1" x14ac:dyDescent="0.35">
      <c r="B3" s="188" t="s">
        <v>1257</v>
      </c>
    </row>
    <row r="4" spans="2:60" ht="16.05" customHeight="1" x14ac:dyDescent="0.35">
      <c r="B4" s="188" t="s">
        <v>1258</v>
      </c>
    </row>
    <row r="5" spans="2:60" ht="7.95" customHeight="1" x14ac:dyDescent="0.35"/>
    <row r="6" spans="2:60" ht="24" customHeight="1" x14ac:dyDescent="0.35">
      <c r="B6" s="14" t="s">
        <v>1259</v>
      </c>
    </row>
    <row r="7" spans="2:60" ht="34.049999999999997" customHeight="1" x14ac:dyDescent="0.35">
      <c r="B7" s="192" t="s">
        <v>1260</v>
      </c>
      <c r="C7" s="226" t="s">
        <v>1261</v>
      </c>
      <c r="D7" s="226"/>
    </row>
    <row r="8" spans="2:60" ht="49.05" customHeight="1" x14ac:dyDescent="0.35">
      <c r="B8" s="194" t="s">
        <v>1262</v>
      </c>
      <c r="C8" s="225" t="s">
        <v>1263</v>
      </c>
      <c r="D8" s="225"/>
    </row>
    <row r="9" spans="2:60" ht="49.05" customHeight="1" x14ac:dyDescent="0.35">
      <c r="B9" s="193" t="s">
        <v>1264</v>
      </c>
      <c r="C9" s="227" t="s">
        <v>1265</v>
      </c>
      <c r="D9" s="227"/>
    </row>
    <row r="10" spans="2:60" ht="7.95" customHeight="1" x14ac:dyDescent="0.35"/>
    <row r="11" spans="2:60" ht="24" customHeight="1" x14ac:dyDescent="0.35">
      <c r="B11" s="14" t="s">
        <v>1266</v>
      </c>
    </row>
    <row r="12" spans="2:60" ht="34.049999999999997" customHeight="1" x14ac:dyDescent="0.35">
      <c r="B12" s="192" t="s">
        <v>1267</v>
      </c>
      <c r="C12" s="226" t="s">
        <v>1268</v>
      </c>
      <c r="D12" s="226"/>
    </row>
    <row r="13" spans="2:60" ht="34.049999999999997" customHeight="1" x14ac:dyDescent="0.35">
      <c r="B13" s="194" t="s">
        <v>1269</v>
      </c>
      <c r="C13" s="225" t="s">
        <v>1270</v>
      </c>
      <c r="D13" s="225"/>
    </row>
    <row r="14" spans="2:60" ht="34.049999999999997" customHeight="1" x14ac:dyDescent="0.35">
      <c r="B14" s="194" t="s">
        <v>1271</v>
      </c>
      <c r="C14" s="225" t="s">
        <v>1272</v>
      </c>
      <c r="D14" s="225"/>
    </row>
    <row r="15" spans="2:60" ht="34.049999999999997" customHeight="1" x14ac:dyDescent="0.35">
      <c r="B15" s="193" t="s">
        <v>1273</v>
      </c>
      <c r="C15" s="227" t="s">
        <v>1274</v>
      </c>
      <c r="D15" s="227"/>
    </row>
    <row r="16" spans="2:60" ht="7.95" customHeight="1" x14ac:dyDescent="0.35"/>
    <row r="17" spans="2:4" ht="24" customHeight="1" x14ac:dyDescent="0.35">
      <c r="B17" s="14" t="s">
        <v>1275</v>
      </c>
    </row>
    <row r="18" spans="2:4" ht="22.05" customHeight="1" x14ac:dyDescent="0.35">
      <c r="B18" s="195" t="s">
        <v>1276</v>
      </c>
      <c r="C18" s="195" t="s">
        <v>1277</v>
      </c>
      <c r="D18" s="195" t="s">
        <v>1278</v>
      </c>
    </row>
    <row r="19" spans="2:4" ht="49.05" customHeight="1" x14ac:dyDescent="0.35">
      <c r="B19" s="201" t="s">
        <v>1279</v>
      </c>
      <c r="C19" s="196" t="s">
        <v>1280</v>
      </c>
      <c r="D19" s="196" t="s">
        <v>1281</v>
      </c>
    </row>
    <row r="20" spans="2:4" ht="34.049999999999997" customHeight="1" x14ac:dyDescent="0.35">
      <c r="B20" s="202" t="s">
        <v>1282</v>
      </c>
      <c r="C20" s="198" t="s">
        <v>1283</v>
      </c>
      <c r="D20" s="198" t="s">
        <v>1281</v>
      </c>
    </row>
    <row r="21" spans="2:4" ht="49.05" customHeight="1" x14ac:dyDescent="0.35">
      <c r="B21" s="202" t="s">
        <v>1284</v>
      </c>
      <c r="C21" s="198" t="s">
        <v>1285</v>
      </c>
      <c r="D21" s="198" t="s">
        <v>1286</v>
      </c>
    </row>
    <row r="22" spans="2:4" ht="49.05" customHeight="1" x14ac:dyDescent="0.35">
      <c r="B22" s="202" t="s">
        <v>1287</v>
      </c>
      <c r="C22" s="198" t="s">
        <v>1288</v>
      </c>
      <c r="D22" s="198" t="s">
        <v>1289</v>
      </c>
    </row>
    <row r="23" spans="2:4" ht="79.05" customHeight="1" x14ac:dyDescent="0.35">
      <c r="B23" s="202" t="s">
        <v>1290</v>
      </c>
      <c r="C23" s="198" t="s">
        <v>1291</v>
      </c>
      <c r="D23" s="198" t="s">
        <v>1292</v>
      </c>
    </row>
    <row r="24" spans="2:4" ht="49.05" customHeight="1" x14ac:dyDescent="0.35">
      <c r="B24" s="202" t="s">
        <v>559</v>
      </c>
      <c r="C24" s="198" t="s">
        <v>1293</v>
      </c>
      <c r="D24" s="198" t="s">
        <v>1294</v>
      </c>
    </row>
    <row r="25" spans="2:4" ht="34.049999999999997" customHeight="1" x14ac:dyDescent="0.35">
      <c r="B25" s="197" t="s">
        <v>1295</v>
      </c>
      <c r="C25" s="198" t="s">
        <v>1296</v>
      </c>
      <c r="D25" s="198" t="s">
        <v>1297</v>
      </c>
    </row>
    <row r="26" spans="2:4" ht="49.05" customHeight="1" x14ac:dyDescent="0.35">
      <c r="B26" s="199" t="s">
        <v>1298</v>
      </c>
      <c r="C26" s="200" t="s">
        <v>1299</v>
      </c>
      <c r="D26" s="200" t="s">
        <v>1294</v>
      </c>
    </row>
    <row r="27" spans="2:4" ht="7.95" customHeight="1" x14ac:dyDescent="0.35"/>
    <row r="28" spans="2:4" ht="24" customHeight="1" x14ac:dyDescent="0.35">
      <c r="B28" s="14" t="s">
        <v>1300</v>
      </c>
    </row>
    <row r="29" spans="2:4" ht="19.05" customHeight="1" x14ac:dyDescent="0.35">
      <c r="B29" s="192" t="s">
        <v>1301</v>
      </c>
      <c r="C29" s="226" t="s">
        <v>1302</v>
      </c>
      <c r="D29" s="226"/>
    </row>
    <row r="30" spans="2:4" ht="49.05" customHeight="1" x14ac:dyDescent="0.35">
      <c r="B30" s="194" t="s">
        <v>1303</v>
      </c>
      <c r="C30" s="225" t="s">
        <v>1304</v>
      </c>
      <c r="D30" s="225"/>
    </row>
    <row r="31" spans="2:4" ht="19.05" customHeight="1" x14ac:dyDescent="0.35">
      <c r="B31" s="194" t="s">
        <v>1305</v>
      </c>
      <c r="C31" s="225" t="s">
        <v>1306</v>
      </c>
      <c r="D31" s="225"/>
    </row>
    <row r="32" spans="2:4" ht="34.049999999999997" customHeight="1" x14ac:dyDescent="0.35">
      <c r="B32" s="194" t="s">
        <v>1307</v>
      </c>
      <c r="C32" s="225" t="s">
        <v>1308</v>
      </c>
      <c r="D32" s="225"/>
    </row>
    <row r="33" spans="2:4" ht="49.05" customHeight="1" x14ac:dyDescent="0.35">
      <c r="B33" s="194" t="s">
        <v>1309</v>
      </c>
      <c r="C33" s="225" t="s">
        <v>1310</v>
      </c>
      <c r="D33" s="225"/>
    </row>
    <row r="34" spans="2:4" ht="49.05" customHeight="1" x14ac:dyDescent="0.35">
      <c r="B34" s="194" t="s">
        <v>1311</v>
      </c>
      <c r="C34" s="225" t="s">
        <v>1312</v>
      </c>
      <c r="D34" s="225"/>
    </row>
    <row r="35" spans="2:4" ht="49.05" customHeight="1" x14ac:dyDescent="0.35">
      <c r="B35" s="194" t="s">
        <v>1313</v>
      </c>
      <c r="C35" s="225" t="s">
        <v>1314</v>
      </c>
      <c r="D35" s="225"/>
    </row>
    <row r="36" spans="2:4" ht="34.049999999999997" customHeight="1" x14ac:dyDescent="0.35">
      <c r="B36" s="194" t="s">
        <v>1315</v>
      </c>
      <c r="C36" s="225" t="s">
        <v>1316</v>
      </c>
      <c r="D36" s="225"/>
    </row>
    <row r="37" spans="2:4" ht="34.049999999999997" customHeight="1" x14ac:dyDescent="0.35">
      <c r="B37" s="194" t="s">
        <v>1317</v>
      </c>
      <c r="C37" s="225" t="s">
        <v>1318</v>
      </c>
      <c r="D37" s="225"/>
    </row>
    <row r="38" spans="2:4" ht="34.049999999999997" customHeight="1" x14ac:dyDescent="0.35">
      <c r="B38" s="193" t="s">
        <v>1319</v>
      </c>
      <c r="C38" s="227" t="s">
        <v>1320</v>
      </c>
      <c r="D38" s="227"/>
    </row>
    <row r="39" spans="2:4" ht="7.95" customHeight="1" x14ac:dyDescent="0.35"/>
    <row r="40" spans="2:4" ht="24" customHeight="1" x14ac:dyDescent="0.35">
      <c r="B40" s="14" t="s">
        <v>559</v>
      </c>
    </row>
    <row r="41" spans="2:4" ht="19.05" customHeight="1" x14ac:dyDescent="0.35">
      <c r="B41" s="192" t="s">
        <v>1321</v>
      </c>
      <c r="C41" s="226" t="s">
        <v>1322</v>
      </c>
      <c r="D41" s="226"/>
    </row>
    <row r="42" spans="2:4" ht="19.05" customHeight="1" x14ac:dyDescent="0.35">
      <c r="B42" s="194" t="s">
        <v>1323</v>
      </c>
      <c r="C42" s="225" t="s">
        <v>1324</v>
      </c>
      <c r="D42" s="225"/>
    </row>
    <row r="43" spans="2:4" ht="19.05" customHeight="1" x14ac:dyDescent="0.35">
      <c r="B43" s="193" t="s">
        <v>1325</v>
      </c>
      <c r="C43" s="227" t="s">
        <v>1326</v>
      </c>
      <c r="D43" s="227"/>
    </row>
    <row r="44" spans="2:4" ht="7.95" customHeight="1" x14ac:dyDescent="0.35"/>
    <row r="45" spans="2:4" ht="24" customHeight="1" x14ac:dyDescent="0.35">
      <c r="B45" s="189" t="s">
        <v>1327</v>
      </c>
      <c r="C45" s="190"/>
      <c r="D45" s="190"/>
    </row>
    <row r="46" spans="2:4" ht="18" customHeight="1" x14ac:dyDescent="0.35">
      <c r="B46" s="203" t="s">
        <v>1328</v>
      </c>
    </row>
    <row r="47" spans="2:4" ht="15" customHeight="1" x14ac:dyDescent="0.35"/>
    <row r="48" spans="2:4" ht="15" customHeight="1" x14ac:dyDescent="0.35"/>
    <row r="49" ht="15" customHeight="1" x14ac:dyDescent="0.35"/>
    <row r="50" ht="15" customHeight="1" x14ac:dyDescent="0.35"/>
    <row r="51" ht="15" customHeight="1" x14ac:dyDescent="0.35"/>
    <row r="52" ht="15" customHeight="1" x14ac:dyDescent="0.35"/>
    <row r="53" ht="15" customHeight="1" x14ac:dyDescent="0.35"/>
    <row r="54" ht="15" customHeight="1" x14ac:dyDescent="0.35"/>
    <row r="55" ht="15" customHeight="1" x14ac:dyDescent="0.35"/>
    <row r="56" ht="15" customHeight="1" x14ac:dyDescent="0.35"/>
    <row r="57" ht="15" customHeight="1" x14ac:dyDescent="0.35"/>
    <row r="58" ht="15" customHeight="1" x14ac:dyDescent="0.35"/>
    <row r="59" ht="15" customHeight="1" x14ac:dyDescent="0.35"/>
    <row r="60" ht="15" customHeight="1" x14ac:dyDescent="0.35"/>
    <row r="61" ht="15" customHeight="1" x14ac:dyDescent="0.35"/>
    <row r="62" ht="15" customHeight="1" x14ac:dyDescent="0.35"/>
    <row r="63" ht="15" customHeight="1" x14ac:dyDescent="0.35"/>
    <row r="64" ht="15" customHeight="1" x14ac:dyDescent="0.35"/>
    <row r="65" spans="2:4" ht="15" customHeight="1" x14ac:dyDescent="0.35"/>
    <row r="66" spans="2:4" ht="15" customHeight="1" x14ac:dyDescent="0.35"/>
    <row r="67" spans="2:4" ht="15" customHeight="1" x14ac:dyDescent="0.35"/>
    <row r="68" spans="2:4" ht="15" customHeight="1" x14ac:dyDescent="0.35"/>
    <row r="69" spans="2:4" ht="15" customHeight="1" x14ac:dyDescent="0.35"/>
    <row r="70" spans="2:4" ht="15" customHeight="1" x14ac:dyDescent="0.35"/>
    <row r="71" spans="2:4" ht="15" customHeight="1" x14ac:dyDescent="0.35"/>
    <row r="72" spans="2:4" ht="15" customHeight="1" x14ac:dyDescent="0.35"/>
    <row r="73" spans="2:4" ht="15" customHeight="1" x14ac:dyDescent="0.35"/>
    <row r="74" spans="2:4" ht="15" customHeight="1" x14ac:dyDescent="0.35"/>
    <row r="75" spans="2:4" ht="7.95" customHeight="1" x14ac:dyDescent="0.35"/>
    <row r="76" spans="2:4" ht="24" customHeight="1" x14ac:dyDescent="0.35">
      <c r="B76" s="14" t="s">
        <v>1329</v>
      </c>
    </row>
    <row r="77" spans="2:4" ht="34.049999999999997" customHeight="1" x14ac:dyDescent="0.35">
      <c r="B77" s="191" t="s">
        <v>1330</v>
      </c>
      <c r="C77" s="228" t="s">
        <v>1331</v>
      </c>
      <c r="D77" s="228"/>
    </row>
    <row r="300" spans="60:60" x14ac:dyDescent="0.35">
      <c r="BH300"/>
    </row>
  </sheetData>
  <mergeCells count="21">
    <mergeCell ref="C42:D42"/>
    <mergeCell ref="C43:D43"/>
    <mergeCell ref="C77:D77"/>
    <mergeCell ref="C34:D34"/>
    <mergeCell ref="C35:D35"/>
    <mergeCell ref="C36:D36"/>
    <mergeCell ref="C37:D37"/>
    <mergeCell ref="C38:D38"/>
    <mergeCell ref="C41:D41"/>
    <mergeCell ref="C33:D33"/>
    <mergeCell ref="C7:D7"/>
    <mergeCell ref="C8:D8"/>
    <mergeCell ref="C9:D9"/>
    <mergeCell ref="C12:D12"/>
    <mergeCell ref="C13:D13"/>
    <mergeCell ref="C14:D14"/>
    <mergeCell ref="C15:D15"/>
    <mergeCell ref="C29:D29"/>
    <mergeCell ref="C30:D30"/>
    <mergeCell ref="C31:D31"/>
    <mergeCell ref="C32:D32"/>
  </mergeCells>
  <hyperlinks>
    <hyperlink ref="B19" location="'Database'!A1" tooltip="Ir a la hoja Database" display="Database" xr:uid="{E4021DBC-9697-4790-A33C-6F3CC9A39618}"/>
    <hyperlink ref="B20" location="'Assumptions'!A1" tooltip="Ir a la hoja Assumptions" display="Assumptions" xr:uid="{824B7CFD-F9A3-4F0D-8178-C4EA81B21EF7}"/>
    <hyperlink ref="B21" location="'Proyecciones'!A1" tooltip="Ir a la hoja Proyecciones" display="Proyecciones" xr:uid="{DA992074-F257-4A2F-ACA6-319E1257566D}"/>
    <hyperlink ref="B22" location="'Cuadro de mando del evento'!A1" tooltip="Ir a la hoja Cuadro de mando del evento" display="Cuadro de mando del evento" xr:uid="{8DF76E9C-65D7-4ECC-9CAA-618A6A408EF4}"/>
    <hyperlink ref="B23" location="'Cuadro de Mando Actualizado'!A1" tooltip="Ir a la hoja Cuadro de Mando Actualizado" display="Cuadro de Mando Actualizado" xr:uid="{6DDBFF0A-D81F-4ED3-ADBD-37BF90CD2B4E}"/>
    <hyperlink ref="B24" location="'Código VBA'!A1" tooltip="Ir a la hoja Código VBA" display="Código VBA" xr:uid="{D355A755-7A0C-4C79-8321-A2FD0824836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64748B"/>
  </sheetPr>
  <dimension ref="A1:J1000"/>
  <sheetViews>
    <sheetView zoomScaleNormal="100" workbookViewId="0">
      <pane ySplit="1" topLeftCell="A2" activePane="bottomLeft" state="frozenSplit"/>
      <selection pane="bottomLeft" activeCell="A2" sqref="A2"/>
    </sheetView>
  </sheetViews>
  <sheetFormatPr defaultColWidth="14.44140625" defaultRowHeight="15" customHeight="1" x14ac:dyDescent="0.3"/>
  <cols>
    <col min="1" max="1" width="16.44140625" customWidth="1"/>
    <col min="2" max="2" width="14.33203125" customWidth="1"/>
    <col min="3" max="3" width="27" customWidth="1"/>
    <col min="4" max="4" width="19.33203125" customWidth="1"/>
    <col min="5" max="5" width="20.88671875" customWidth="1"/>
    <col min="6" max="6" width="22.33203125" customWidth="1"/>
    <col min="7" max="7" width="18.88671875" customWidth="1"/>
    <col min="8" max="8" width="20.88671875" customWidth="1"/>
    <col min="9" max="9" width="22.109375" customWidth="1"/>
    <col min="10" max="10" width="22.88671875" customWidth="1"/>
    <col min="11" max="26" width="8.6640625" customWidth="1"/>
  </cols>
  <sheetData>
    <row r="1" spans="1:10" ht="40.049999999999997" customHeight="1" x14ac:dyDescent="0.3">
      <c r="A1" s="82" t="s">
        <v>415</v>
      </c>
      <c r="B1" s="82" t="s">
        <v>0</v>
      </c>
      <c r="C1" s="82" t="s">
        <v>1</v>
      </c>
      <c r="D1" s="82" t="s">
        <v>2</v>
      </c>
      <c r="E1" s="82" t="s">
        <v>3</v>
      </c>
      <c r="F1" s="82" t="s">
        <v>4</v>
      </c>
      <c r="G1" s="82" t="s">
        <v>5</v>
      </c>
      <c r="H1" s="82" t="s">
        <v>6</v>
      </c>
      <c r="I1" s="83" t="s">
        <v>416</v>
      </c>
      <c r="J1" s="84" t="s">
        <v>421</v>
      </c>
    </row>
    <row r="2" spans="1:10" ht="14.25" customHeight="1" x14ac:dyDescent="0.3">
      <c r="A2" s="81" t="s">
        <v>7</v>
      </c>
      <c r="B2" s="1" t="s">
        <v>8</v>
      </c>
      <c r="C2" s="1" t="s">
        <v>9</v>
      </c>
      <c r="D2" s="81" t="s">
        <v>10</v>
      </c>
      <c r="E2" s="1" t="s">
        <v>11</v>
      </c>
      <c r="F2" s="1" t="s">
        <v>12</v>
      </c>
      <c r="G2" s="6">
        <v>450</v>
      </c>
      <c r="H2" s="2">
        <v>44878</v>
      </c>
      <c r="I2" s="5" t="s">
        <v>417</v>
      </c>
      <c r="J2" s="4">
        <f>DATE(YEAR(tblAttendees[[#This Row],[Registration Date]]),MONTH(tblAttendees[[#This Row],[Registration Date]]),1)</f>
        <v>44866</v>
      </c>
    </row>
    <row r="3" spans="1:10" ht="14.25" customHeight="1" x14ac:dyDescent="0.3">
      <c r="A3" s="81" t="s">
        <v>13</v>
      </c>
      <c r="B3" s="1" t="s">
        <v>14</v>
      </c>
      <c r="C3" s="1" t="s">
        <v>15</v>
      </c>
      <c r="D3" s="81" t="s">
        <v>16</v>
      </c>
      <c r="E3" s="1" t="s">
        <v>17</v>
      </c>
      <c r="F3" s="1" t="s">
        <v>12</v>
      </c>
      <c r="G3" s="6">
        <v>450</v>
      </c>
      <c r="H3" s="2">
        <v>44909</v>
      </c>
      <c r="I3" s="5" t="s">
        <v>417</v>
      </c>
      <c r="J3" s="4">
        <f>DATE(YEAR(tblAttendees[[#This Row],[Registration Date]]),MONTH(tblAttendees[[#This Row],[Registration Date]]),1)</f>
        <v>44896</v>
      </c>
    </row>
    <row r="4" spans="1:10" ht="14.25" customHeight="1" x14ac:dyDescent="0.3">
      <c r="A4" s="81" t="s">
        <v>18</v>
      </c>
      <c r="B4" s="1" t="s">
        <v>19</v>
      </c>
      <c r="C4" s="1" t="s">
        <v>20</v>
      </c>
      <c r="D4" s="81" t="s">
        <v>21</v>
      </c>
      <c r="E4" s="1" t="s">
        <v>11</v>
      </c>
      <c r="F4" s="1" t="s">
        <v>22</v>
      </c>
      <c r="G4" s="6">
        <v>700</v>
      </c>
      <c r="H4" s="2">
        <v>44915</v>
      </c>
      <c r="I4" s="5" t="s">
        <v>418</v>
      </c>
      <c r="J4" s="4">
        <f>DATE(YEAR(tblAttendees[[#This Row],[Registration Date]]),MONTH(tblAttendees[[#This Row],[Registration Date]]),1)</f>
        <v>44896</v>
      </c>
    </row>
    <row r="5" spans="1:10" ht="14.25" customHeight="1" x14ac:dyDescent="0.3">
      <c r="A5" s="81" t="s">
        <v>23</v>
      </c>
      <c r="B5" s="1" t="s">
        <v>24</v>
      </c>
      <c r="C5" s="1" t="s">
        <v>25</v>
      </c>
      <c r="D5" s="81" t="s">
        <v>26</v>
      </c>
      <c r="E5" s="1" t="s">
        <v>17</v>
      </c>
      <c r="F5" s="1" t="s">
        <v>27</v>
      </c>
      <c r="G5" s="6">
        <v>300</v>
      </c>
      <c r="H5" s="2">
        <v>44921</v>
      </c>
      <c r="I5" s="5" t="s">
        <v>417</v>
      </c>
      <c r="J5" s="4">
        <f>DATE(YEAR(tblAttendees[[#This Row],[Registration Date]]),MONTH(tblAttendees[[#This Row],[Registration Date]]),1)</f>
        <v>44896</v>
      </c>
    </row>
    <row r="6" spans="1:10" ht="14.25" customHeight="1" x14ac:dyDescent="0.3">
      <c r="A6" s="81" t="s">
        <v>28</v>
      </c>
      <c r="B6" s="1" t="s">
        <v>29</v>
      </c>
      <c r="C6" s="1" t="s">
        <v>30</v>
      </c>
      <c r="D6" s="81" t="s">
        <v>31</v>
      </c>
      <c r="E6" s="1" t="s">
        <v>11</v>
      </c>
      <c r="F6" s="1" t="s">
        <v>12</v>
      </c>
      <c r="G6" s="6">
        <v>450</v>
      </c>
      <c r="H6" s="2">
        <v>44926</v>
      </c>
      <c r="I6" s="5" t="s">
        <v>419</v>
      </c>
      <c r="J6" s="4">
        <f>DATE(YEAR(tblAttendees[[#This Row],[Registration Date]]),MONTH(tblAttendees[[#This Row],[Registration Date]]),1)</f>
        <v>44896</v>
      </c>
    </row>
    <row r="7" spans="1:10" ht="14.25" customHeight="1" x14ac:dyDescent="0.3">
      <c r="A7" s="81" t="s">
        <v>32</v>
      </c>
      <c r="B7" s="1" t="s">
        <v>33</v>
      </c>
      <c r="C7" s="1" t="s">
        <v>34</v>
      </c>
      <c r="D7" s="81" t="s">
        <v>35</v>
      </c>
      <c r="E7" s="1" t="s">
        <v>17</v>
      </c>
      <c r="F7" s="1" t="s">
        <v>22</v>
      </c>
      <c r="G7" s="6">
        <v>700</v>
      </c>
      <c r="H7" s="2">
        <v>44937</v>
      </c>
      <c r="I7" s="5" t="s">
        <v>418</v>
      </c>
      <c r="J7" s="4">
        <f>DATE(YEAR(tblAttendees[[#This Row],[Registration Date]]),MONTH(tblAttendees[[#This Row],[Registration Date]]),1)</f>
        <v>44927</v>
      </c>
    </row>
    <row r="8" spans="1:10" ht="14.25" customHeight="1" x14ac:dyDescent="0.3">
      <c r="A8" s="81" t="s">
        <v>36</v>
      </c>
      <c r="B8" s="1" t="s">
        <v>37</v>
      </c>
      <c r="C8" s="1" t="s">
        <v>38</v>
      </c>
      <c r="D8" s="81" t="s">
        <v>39</v>
      </c>
      <c r="E8" s="1" t="s">
        <v>11</v>
      </c>
      <c r="F8" s="1" t="s">
        <v>27</v>
      </c>
      <c r="G8" s="6">
        <v>300</v>
      </c>
      <c r="H8" s="2">
        <v>44941</v>
      </c>
      <c r="I8" s="5" t="s">
        <v>420</v>
      </c>
      <c r="J8" s="4">
        <f>DATE(YEAR(tblAttendees[[#This Row],[Registration Date]]),MONTH(tblAttendees[[#This Row],[Registration Date]]),1)</f>
        <v>44927</v>
      </c>
    </row>
    <row r="9" spans="1:10" ht="14.25" customHeight="1" x14ac:dyDescent="0.3">
      <c r="A9" s="81" t="s">
        <v>40</v>
      </c>
      <c r="B9" s="1" t="s">
        <v>41</v>
      </c>
      <c r="C9" s="1" t="s">
        <v>42</v>
      </c>
      <c r="D9" s="81" t="s">
        <v>43</v>
      </c>
      <c r="E9" s="1" t="s">
        <v>17</v>
      </c>
      <c r="F9" s="1" t="s">
        <v>12</v>
      </c>
      <c r="G9" s="6">
        <v>450</v>
      </c>
      <c r="H9" s="2">
        <v>44943</v>
      </c>
      <c r="I9" s="5" t="s">
        <v>420</v>
      </c>
      <c r="J9" s="4">
        <f>DATE(YEAR(tblAttendees[[#This Row],[Registration Date]]),MONTH(tblAttendees[[#This Row],[Registration Date]]),1)</f>
        <v>44927</v>
      </c>
    </row>
    <row r="10" spans="1:10" ht="14.25" customHeight="1" x14ac:dyDescent="0.3">
      <c r="A10" s="81" t="s">
        <v>44</v>
      </c>
      <c r="B10" s="1" t="s">
        <v>45</v>
      </c>
      <c r="C10" s="1" t="s">
        <v>46</v>
      </c>
      <c r="D10" s="81" t="s">
        <v>47</v>
      </c>
      <c r="E10" s="1" t="s">
        <v>11</v>
      </c>
      <c r="F10" s="1" t="s">
        <v>22</v>
      </c>
      <c r="G10" s="6">
        <v>700</v>
      </c>
      <c r="H10" s="2">
        <v>44962</v>
      </c>
      <c r="I10" s="5" t="s">
        <v>420</v>
      </c>
      <c r="J10" s="4">
        <f>DATE(YEAR(tblAttendees[[#This Row],[Registration Date]]),MONTH(tblAttendees[[#This Row],[Registration Date]]),1)</f>
        <v>44958</v>
      </c>
    </row>
    <row r="11" spans="1:10" ht="14.25" customHeight="1" x14ac:dyDescent="0.3">
      <c r="A11" s="81" t="s">
        <v>48</v>
      </c>
      <c r="B11" s="1" t="s">
        <v>49</v>
      </c>
      <c r="C11" s="1" t="s">
        <v>50</v>
      </c>
      <c r="D11" s="81" t="s">
        <v>51</v>
      </c>
      <c r="E11" s="1" t="s">
        <v>17</v>
      </c>
      <c r="F11" s="1" t="s">
        <v>27</v>
      </c>
      <c r="G11" s="6">
        <v>300</v>
      </c>
      <c r="H11" s="2">
        <v>44966</v>
      </c>
      <c r="I11" s="5" t="s">
        <v>418</v>
      </c>
      <c r="J11" s="4">
        <f>DATE(YEAR(tblAttendees[[#This Row],[Registration Date]]),MONTH(tblAttendees[[#This Row],[Registration Date]]),1)</f>
        <v>44958</v>
      </c>
    </row>
    <row r="12" spans="1:10" ht="14.25" customHeight="1" x14ac:dyDescent="0.3">
      <c r="A12" s="81" t="s">
        <v>52</v>
      </c>
      <c r="B12" s="1" t="s">
        <v>53</v>
      </c>
      <c r="C12" s="1" t="s">
        <v>54</v>
      </c>
      <c r="D12" s="81" t="s">
        <v>55</v>
      </c>
      <c r="E12" s="1" t="s">
        <v>11</v>
      </c>
      <c r="F12" s="1" t="s">
        <v>12</v>
      </c>
      <c r="G12" s="6">
        <v>450</v>
      </c>
      <c r="H12" s="2">
        <v>44971</v>
      </c>
      <c r="I12" s="5" t="s">
        <v>420</v>
      </c>
      <c r="J12" s="4">
        <f>DATE(YEAR(tblAttendees[[#This Row],[Registration Date]]),MONTH(tblAttendees[[#This Row],[Registration Date]]),1)</f>
        <v>44958</v>
      </c>
    </row>
    <row r="13" spans="1:10" ht="14.25" customHeight="1" x14ac:dyDescent="0.3">
      <c r="A13" s="81" t="s">
        <v>56</v>
      </c>
      <c r="B13" s="1" t="s">
        <v>57</v>
      </c>
      <c r="C13" s="1" t="s">
        <v>58</v>
      </c>
      <c r="D13" s="81" t="s">
        <v>59</v>
      </c>
      <c r="E13" s="1" t="s">
        <v>17</v>
      </c>
      <c r="F13" s="1" t="s">
        <v>22</v>
      </c>
      <c r="G13" s="6">
        <v>700</v>
      </c>
      <c r="H13" s="2">
        <v>44975</v>
      </c>
      <c r="I13" s="5" t="s">
        <v>419</v>
      </c>
      <c r="J13" s="4">
        <f>DATE(YEAR(tblAttendees[[#This Row],[Registration Date]]),MONTH(tblAttendees[[#This Row],[Registration Date]]),1)</f>
        <v>44958</v>
      </c>
    </row>
    <row r="14" spans="1:10" ht="14.25" customHeight="1" x14ac:dyDescent="0.3">
      <c r="A14" s="81" t="s">
        <v>60</v>
      </c>
      <c r="B14" s="1" t="s">
        <v>61</v>
      </c>
      <c r="C14" s="1" t="s">
        <v>62</v>
      </c>
      <c r="D14" s="81" t="s">
        <v>63</v>
      </c>
      <c r="E14" s="1" t="s">
        <v>11</v>
      </c>
      <c r="F14" s="1" t="s">
        <v>27</v>
      </c>
      <c r="G14" s="6">
        <v>300</v>
      </c>
      <c r="H14" s="2">
        <v>44976</v>
      </c>
      <c r="I14" s="5" t="s">
        <v>420</v>
      </c>
      <c r="J14" s="4">
        <f>DATE(YEAR(tblAttendees[[#This Row],[Registration Date]]),MONTH(tblAttendees[[#This Row],[Registration Date]]),1)</f>
        <v>44958</v>
      </c>
    </row>
    <row r="15" spans="1:10" ht="14.25" customHeight="1" x14ac:dyDescent="0.3">
      <c r="A15" s="81" t="s">
        <v>64</v>
      </c>
      <c r="B15" s="1" t="s">
        <v>65</v>
      </c>
      <c r="C15" s="1" t="s">
        <v>66</v>
      </c>
      <c r="D15" s="81" t="s">
        <v>67</v>
      </c>
      <c r="E15" s="1" t="s">
        <v>17</v>
      </c>
      <c r="F15" s="1" t="s">
        <v>12</v>
      </c>
      <c r="G15" s="6">
        <v>450</v>
      </c>
      <c r="H15" s="2">
        <v>44978</v>
      </c>
      <c r="I15" s="5" t="s">
        <v>417</v>
      </c>
      <c r="J15" s="4">
        <f>DATE(YEAR(tblAttendees[[#This Row],[Registration Date]]),MONTH(tblAttendees[[#This Row],[Registration Date]]),1)</f>
        <v>44958</v>
      </c>
    </row>
    <row r="16" spans="1:10" ht="14.25" customHeight="1" x14ac:dyDescent="0.3">
      <c r="A16" s="81" t="s">
        <v>68</v>
      </c>
      <c r="B16" s="1" t="s">
        <v>69</v>
      </c>
      <c r="C16" s="1" t="s">
        <v>70</v>
      </c>
      <c r="D16" s="81" t="s">
        <v>71</v>
      </c>
      <c r="E16" s="1" t="s">
        <v>11</v>
      </c>
      <c r="F16" s="1" t="s">
        <v>22</v>
      </c>
      <c r="G16" s="6">
        <v>700</v>
      </c>
      <c r="H16" s="2">
        <v>44979</v>
      </c>
      <c r="I16" s="5" t="s">
        <v>419</v>
      </c>
      <c r="J16" s="4">
        <f>DATE(YEAR(tblAttendees[[#This Row],[Registration Date]]),MONTH(tblAttendees[[#This Row],[Registration Date]]),1)</f>
        <v>44958</v>
      </c>
    </row>
    <row r="17" spans="1:10" ht="14.25" customHeight="1" x14ac:dyDescent="0.3">
      <c r="A17" s="81" t="s">
        <v>72</v>
      </c>
      <c r="B17" s="1" t="s">
        <v>73</v>
      </c>
      <c r="C17" s="1" t="s">
        <v>74</v>
      </c>
      <c r="D17" s="81" t="s">
        <v>75</v>
      </c>
      <c r="E17" s="1" t="s">
        <v>17</v>
      </c>
      <c r="F17" s="1" t="s">
        <v>27</v>
      </c>
      <c r="G17" s="6">
        <v>300</v>
      </c>
      <c r="H17" s="2">
        <v>44982</v>
      </c>
      <c r="I17" s="5" t="s">
        <v>419</v>
      </c>
      <c r="J17" s="4">
        <f>DATE(YEAR(tblAttendees[[#This Row],[Registration Date]]),MONTH(tblAttendees[[#This Row],[Registration Date]]),1)</f>
        <v>44958</v>
      </c>
    </row>
    <row r="18" spans="1:10" ht="14.25" customHeight="1" x14ac:dyDescent="0.3">
      <c r="A18" s="81" t="s">
        <v>76</v>
      </c>
      <c r="B18" s="1" t="s">
        <v>77</v>
      </c>
      <c r="C18" s="1" t="s">
        <v>78</v>
      </c>
      <c r="D18" s="81" t="s">
        <v>79</v>
      </c>
      <c r="E18" s="1" t="s">
        <v>11</v>
      </c>
      <c r="F18" s="1" t="s">
        <v>12</v>
      </c>
      <c r="G18" s="6">
        <v>450</v>
      </c>
      <c r="H18" s="2">
        <v>44999</v>
      </c>
      <c r="I18" s="5" t="s">
        <v>420</v>
      </c>
      <c r="J18" s="4">
        <f>DATE(YEAR(tblAttendees[[#This Row],[Registration Date]]),MONTH(tblAttendees[[#This Row],[Registration Date]]),1)</f>
        <v>44986</v>
      </c>
    </row>
    <row r="19" spans="1:10" ht="14.25" customHeight="1" x14ac:dyDescent="0.3">
      <c r="A19" s="81" t="s">
        <v>80</v>
      </c>
      <c r="B19" s="1" t="s">
        <v>81</v>
      </c>
      <c r="C19" s="1" t="s">
        <v>82</v>
      </c>
      <c r="D19" s="81" t="s">
        <v>83</v>
      </c>
      <c r="E19" s="1" t="s">
        <v>17</v>
      </c>
      <c r="F19" s="1" t="s">
        <v>22</v>
      </c>
      <c r="G19" s="6">
        <v>700</v>
      </c>
      <c r="H19" s="2">
        <v>45019</v>
      </c>
      <c r="I19" s="5" t="s">
        <v>419</v>
      </c>
      <c r="J19" s="4">
        <f>DATE(YEAR(tblAttendees[[#This Row],[Registration Date]]),MONTH(tblAttendees[[#This Row],[Registration Date]]),1)</f>
        <v>45017</v>
      </c>
    </row>
    <row r="20" spans="1:10" ht="14.25" customHeight="1" x14ac:dyDescent="0.3">
      <c r="A20" s="81" t="s">
        <v>84</v>
      </c>
      <c r="B20" s="1" t="s">
        <v>85</v>
      </c>
      <c r="C20" s="1" t="s">
        <v>86</v>
      </c>
      <c r="D20" s="81" t="s">
        <v>87</v>
      </c>
      <c r="E20" s="1" t="s">
        <v>11</v>
      </c>
      <c r="F20" s="1" t="s">
        <v>27</v>
      </c>
      <c r="G20" s="6">
        <v>300</v>
      </c>
      <c r="H20" s="2">
        <v>45026</v>
      </c>
      <c r="I20" s="5" t="s">
        <v>418</v>
      </c>
      <c r="J20" s="4">
        <f>DATE(YEAR(tblAttendees[[#This Row],[Registration Date]]),MONTH(tblAttendees[[#This Row],[Registration Date]]),1)</f>
        <v>45017</v>
      </c>
    </row>
    <row r="21" spans="1:10" ht="14.25" customHeight="1" x14ac:dyDescent="0.3">
      <c r="A21" s="81" t="s">
        <v>88</v>
      </c>
      <c r="B21" s="1" t="s">
        <v>89</v>
      </c>
      <c r="C21" s="1" t="s">
        <v>90</v>
      </c>
      <c r="D21" s="81" t="s">
        <v>91</v>
      </c>
      <c r="E21" s="1" t="s">
        <v>17</v>
      </c>
      <c r="F21" s="1" t="s">
        <v>12</v>
      </c>
      <c r="G21" s="6">
        <v>450</v>
      </c>
      <c r="H21" s="2">
        <v>45028</v>
      </c>
      <c r="I21" s="5" t="s">
        <v>420</v>
      </c>
      <c r="J21" s="4">
        <f>DATE(YEAR(tblAttendees[[#This Row],[Registration Date]]),MONTH(tblAttendees[[#This Row],[Registration Date]]),1)</f>
        <v>45017</v>
      </c>
    </row>
    <row r="22" spans="1:10" ht="14.25" customHeight="1" x14ac:dyDescent="0.3">
      <c r="A22" s="81" t="s">
        <v>92</v>
      </c>
      <c r="B22" s="1" t="s">
        <v>93</v>
      </c>
      <c r="C22" s="1" t="s">
        <v>94</v>
      </c>
      <c r="D22" s="81" t="s">
        <v>95</v>
      </c>
      <c r="E22" s="1" t="s">
        <v>11</v>
      </c>
      <c r="F22" s="1" t="s">
        <v>22</v>
      </c>
      <c r="G22" s="6">
        <v>700</v>
      </c>
      <c r="H22" s="2">
        <v>45036</v>
      </c>
      <c r="I22" s="5" t="s">
        <v>418</v>
      </c>
      <c r="J22" s="4">
        <f>DATE(YEAR(tblAttendees[[#This Row],[Registration Date]]),MONTH(tblAttendees[[#This Row],[Registration Date]]),1)</f>
        <v>45017</v>
      </c>
    </row>
    <row r="23" spans="1:10" ht="14.25" customHeight="1" x14ac:dyDescent="0.3">
      <c r="A23" s="81" t="s">
        <v>96</v>
      </c>
      <c r="B23" s="1" t="s">
        <v>97</v>
      </c>
      <c r="C23" s="1" t="s">
        <v>98</v>
      </c>
      <c r="D23" s="81" t="s">
        <v>99</v>
      </c>
      <c r="E23" s="1" t="s">
        <v>17</v>
      </c>
      <c r="F23" s="1" t="s">
        <v>27</v>
      </c>
      <c r="G23" s="6">
        <v>300</v>
      </c>
      <c r="H23" s="2">
        <v>45040</v>
      </c>
      <c r="I23" s="5" t="s">
        <v>420</v>
      </c>
      <c r="J23" s="4">
        <f>DATE(YEAR(tblAttendees[[#This Row],[Registration Date]]),MONTH(tblAttendees[[#This Row],[Registration Date]]),1)</f>
        <v>45017</v>
      </c>
    </row>
    <row r="24" spans="1:10" ht="14.25" customHeight="1" x14ac:dyDescent="0.3">
      <c r="A24" s="81" t="s">
        <v>100</v>
      </c>
      <c r="B24" s="1" t="s">
        <v>101</v>
      </c>
      <c r="C24" s="1" t="s">
        <v>102</v>
      </c>
      <c r="D24" s="81" t="s">
        <v>103</v>
      </c>
      <c r="E24" s="1" t="s">
        <v>11</v>
      </c>
      <c r="F24" s="1" t="s">
        <v>12</v>
      </c>
      <c r="G24" s="6">
        <v>450</v>
      </c>
      <c r="H24" s="2">
        <v>45041</v>
      </c>
      <c r="I24" s="5" t="s">
        <v>420</v>
      </c>
      <c r="J24" s="4">
        <f>DATE(YEAR(tblAttendees[[#This Row],[Registration Date]]),MONTH(tblAttendees[[#This Row],[Registration Date]]),1)</f>
        <v>45017</v>
      </c>
    </row>
    <row r="25" spans="1:10" ht="14.25" customHeight="1" x14ac:dyDescent="0.3">
      <c r="A25" s="81" t="s">
        <v>104</v>
      </c>
      <c r="B25" s="1" t="s">
        <v>105</v>
      </c>
      <c r="C25" s="1" t="s">
        <v>106</v>
      </c>
      <c r="D25" s="81" t="s">
        <v>107</v>
      </c>
      <c r="E25" s="1" t="s">
        <v>17</v>
      </c>
      <c r="F25" s="1" t="s">
        <v>22</v>
      </c>
      <c r="G25" s="6">
        <v>700</v>
      </c>
      <c r="H25" s="2">
        <v>45048</v>
      </c>
      <c r="I25" s="5" t="s">
        <v>418</v>
      </c>
      <c r="J25" s="4">
        <f>DATE(YEAR(tblAttendees[[#This Row],[Registration Date]]),MONTH(tblAttendees[[#This Row],[Registration Date]]),1)</f>
        <v>45047</v>
      </c>
    </row>
    <row r="26" spans="1:10" ht="14.25" customHeight="1" x14ac:dyDescent="0.3">
      <c r="A26" s="81" t="s">
        <v>108</v>
      </c>
      <c r="B26" s="1" t="s">
        <v>109</v>
      </c>
      <c r="C26" s="1" t="s">
        <v>110</v>
      </c>
      <c r="D26" s="81" t="s">
        <v>111</v>
      </c>
      <c r="E26" s="1" t="s">
        <v>11</v>
      </c>
      <c r="F26" s="1" t="s">
        <v>27</v>
      </c>
      <c r="G26" s="6">
        <v>300</v>
      </c>
      <c r="H26" s="2">
        <v>45071</v>
      </c>
      <c r="I26" s="5" t="s">
        <v>418</v>
      </c>
      <c r="J26" s="4">
        <f>DATE(YEAR(tblAttendees[[#This Row],[Registration Date]]),MONTH(tblAttendees[[#This Row],[Registration Date]]),1)</f>
        <v>45047</v>
      </c>
    </row>
    <row r="27" spans="1:10" ht="14.25" customHeight="1" x14ac:dyDescent="0.3">
      <c r="A27" s="81" t="s">
        <v>112</v>
      </c>
      <c r="B27" s="1" t="s">
        <v>113</v>
      </c>
      <c r="C27" s="1" t="s">
        <v>114</v>
      </c>
      <c r="D27" s="81" t="s">
        <v>115</v>
      </c>
      <c r="E27" s="1" t="s">
        <v>17</v>
      </c>
      <c r="F27" s="1" t="s">
        <v>12</v>
      </c>
      <c r="G27" s="6">
        <v>450</v>
      </c>
      <c r="H27" s="2">
        <v>45072</v>
      </c>
      <c r="I27" s="5" t="s">
        <v>417</v>
      </c>
      <c r="J27" s="4">
        <f>DATE(YEAR(tblAttendees[[#This Row],[Registration Date]]),MONTH(tblAttendees[[#This Row],[Registration Date]]),1)</f>
        <v>45047</v>
      </c>
    </row>
    <row r="28" spans="1:10" ht="14.25" customHeight="1" x14ac:dyDescent="0.3">
      <c r="A28" s="81" t="s">
        <v>116</v>
      </c>
      <c r="B28" s="1" t="s">
        <v>117</v>
      </c>
      <c r="C28" s="1" t="s">
        <v>118</v>
      </c>
      <c r="D28" s="81" t="s">
        <v>119</v>
      </c>
      <c r="E28" s="1" t="s">
        <v>11</v>
      </c>
      <c r="F28" s="1" t="s">
        <v>22</v>
      </c>
      <c r="G28" s="6">
        <v>700</v>
      </c>
      <c r="H28" s="2">
        <v>45094</v>
      </c>
      <c r="I28" s="5" t="s">
        <v>419</v>
      </c>
      <c r="J28" s="4">
        <f>DATE(YEAR(tblAttendees[[#This Row],[Registration Date]]),MONTH(tblAttendees[[#This Row],[Registration Date]]),1)</f>
        <v>45078</v>
      </c>
    </row>
    <row r="29" spans="1:10" ht="14.25" customHeight="1" x14ac:dyDescent="0.3">
      <c r="A29" s="81" t="s">
        <v>120</v>
      </c>
      <c r="B29" s="1" t="s">
        <v>121</v>
      </c>
      <c r="C29" s="1" t="s">
        <v>122</v>
      </c>
      <c r="D29" s="81" t="s">
        <v>123</v>
      </c>
      <c r="E29" s="1" t="s">
        <v>17</v>
      </c>
      <c r="F29" s="1" t="s">
        <v>27</v>
      </c>
      <c r="G29" s="6">
        <v>300</v>
      </c>
      <c r="H29" s="2">
        <v>45101</v>
      </c>
      <c r="I29" s="5" t="s">
        <v>420</v>
      </c>
      <c r="J29" s="4">
        <f>DATE(YEAR(tblAttendees[[#This Row],[Registration Date]]),MONTH(tblAttendees[[#This Row],[Registration Date]]),1)</f>
        <v>45078</v>
      </c>
    </row>
    <row r="30" spans="1:10" ht="14.25" customHeight="1" x14ac:dyDescent="0.3">
      <c r="A30" s="81" t="s">
        <v>124</v>
      </c>
      <c r="B30" s="1" t="s">
        <v>125</v>
      </c>
      <c r="C30" s="1" t="s">
        <v>126</v>
      </c>
      <c r="D30" s="81" t="s">
        <v>127</v>
      </c>
      <c r="E30" s="1" t="s">
        <v>11</v>
      </c>
      <c r="F30" s="1" t="s">
        <v>12</v>
      </c>
      <c r="G30" s="6">
        <v>450</v>
      </c>
      <c r="H30" s="2">
        <v>45113</v>
      </c>
      <c r="I30" s="5" t="s">
        <v>418</v>
      </c>
      <c r="J30" s="4">
        <f>DATE(YEAR(tblAttendees[[#This Row],[Registration Date]]),MONTH(tblAttendees[[#This Row],[Registration Date]]),1)</f>
        <v>45108</v>
      </c>
    </row>
    <row r="31" spans="1:10" ht="14.25" customHeight="1" x14ac:dyDescent="0.3">
      <c r="A31" s="81" t="s">
        <v>128</v>
      </c>
      <c r="B31" s="1" t="s">
        <v>129</v>
      </c>
      <c r="C31" s="1" t="s">
        <v>130</v>
      </c>
      <c r="D31" s="81" t="s">
        <v>131</v>
      </c>
      <c r="E31" s="1" t="s">
        <v>17</v>
      </c>
      <c r="F31" s="1" t="s">
        <v>22</v>
      </c>
      <c r="G31" s="6">
        <v>700</v>
      </c>
      <c r="H31" s="2">
        <v>45114</v>
      </c>
      <c r="I31" s="5" t="s">
        <v>420</v>
      </c>
      <c r="J31" s="4">
        <f>DATE(YEAR(tblAttendees[[#This Row],[Registration Date]]),MONTH(tblAttendees[[#This Row],[Registration Date]]),1)</f>
        <v>45108</v>
      </c>
    </row>
    <row r="32" spans="1:10" ht="14.25" customHeight="1" x14ac:dyDescent="0.3">
      <c r="A32" s="81" t="s">
        <v>132</v>
      </c>
      <c r="B32" s="1" t="s">
        <v>133</v>
      </c>
      <c r="C32" s="1" t="s">
        <v>134</v>
      </c>
      <c r="D32" s="81" t="s">
        <v>135</v>
      </c>
      <c r="E32" s="1" t="s">
        <v>11</v>
      </c>
      <c r="F32" s="1" t="s">
        <v>27</v>
      </c>
      <c r="G32" s="6">
        <v>300</v>
      </c>
      <c r="H32" s="2">
        <v>45131</v>
      </c>
      <c r="I32" s="5" t="s">
        <v>418</v>
      </c>
      <c r="J32" s="4">
        <f>DATE(YEAR(tblAttendees[[#This Row],[Registration Date]]),MONTH(tblAttendees[[#This Row],[Registration Date]]),1)</f>
        <v>45108</v>
      </c>
    </row>
    <row r="33" spans="1:10" ht="14.25" customHeight="1" x14ac:dyDescent="0.3">
      <c r="A33" s="81" t="s">
        <v>136</v>
      </c>
      <c r="B33" s="1" t="s">
        <v>137</v>
      </c>
      <c r="C33" s="1" t="s">
        <v>138</v>
      </c>
      <c r="D33" s="81" t="s">
        <v>139</v>
      </c>
      <c r="E33" s="1" t="s">
        <v>17</v>
      </c>
      <c r="F33" s="1" t="s">
        <v>12</v>
      </c>
      <c r="G33" s="6">
        <v>450</v>
      </c>
      <c r="H33" s="2">
        <v>45133</v>
      </c>
      <c r="I33" s="5" t="s">
        <v>417</v>
      </c>
      <c r="J33" s="4">
        <f>DATE(YEAR(tblAttendees[[#This Row],[Registration Date]]),MONTH(tblAttendees[[#This Row],[Registration Date]]),1)</f>
        <v>45108</v>
      </c>
    </row>
    <row r="34" spans="1:10" ht="14.25" customHeight="1" x14ac:dyDescent="0.3">
      <c r="A34" s="81" t="s">
        <v>140</v>
      </c>
      <c r="B34" s="1" t="s">
        <v>141</v>
      </c>
      <c r="C34" s="1" t="s">
        <v>142</v>
      </c>
      <c r="D34" s="81" t="s">
        <v>143</v>
      </c>
      <c r="E34" s="1" t="s">
        <v>11</v>
      </c>
      <c r="F34" s="1" t="s">
        <v>22</v>
      </c>
      <c r="G34" s="6">
        <v>700</v>
      </c>
      <c r="H34" s="2">
        <v>45138</v>
      </c>
      <c r="I34" s="5" t="s">
        <v>417</v>
      </c>
      <c r="J34" s="4">
        <f>DATE(YEAR(tblAttendees[[#This Row],[Registration Date]]),MONTH(tblAttendees[[#This Row],[Registration Date]]),1)</f>
        <v>45108</v>
      </c>
    </row>
    <row r="35" spans="1:10" ht="14.25" customHeight="1" x14ac:dyDescent="0.3">
      <c r="A35" s="81" t="s">
        <v>144</v>
      </c>
      <c r="B35" s="1" t="s">
        <v>145</v>
      </c>
      <c r="C35" s="1" t="s">
        <v>146</v>
      </c>
      <c r="D35" s="81" t="s">
        <v>147</v>
      </c>
      <c r="E35" s="1" t="s">
        <v>17</v>
      </c>
      <c r="F35" s="1" t="s">
        <v>27</v>
      </c>
      <c r="G35" s="6">
        <v>300</v>
      </c>
      <c r="H35" s="2">
        <v>45142</v>
      </c>
      <c r="I35" s="5" t="s">
        <v>417</v>
      </c>
      <c r="J35" s="4">
        <f>DATE(YEAR(tblAttendees[[#This Row],[Registration Date]]),MONTH(tblAttendees[[#This Row],[Registration Date]]),1)</f>
        <v>45139</v>
      </c>
    </row>
    <row r="36" spans="1:10" ht="14.25" customHeight="1" x14ac:dyDescent="0.3">
      <c r="A36" s="81" t="s">
        <v>148</v>
      </c>
      <c r="B36" s="1" t="s">
        <v>149</v>
      </c>
      <c r="C36" s="1" t="s">
        <v>150</v>
      </c>
      <c r="D36" s="81" t="s">
        <v>151</v>
      </c>
      <c r="E36" s="1" t="s">
        <v>11</v>
      </c>
      <c r="F36" s="1" t="s">
        <v>12</v>
      </c>
      <c r="G36" s="6">
        <v>450</v>
      </c>
      <c r="H36" s="2">
        <v>45155</v>
      </c>
      <c r="I36" s="5" t="s">
        <v>420</v>
      </c>
      <c r="J36" s="4">
        <f>DATE(YEAR(tblAttendees[[#This Row],[Registration Date]]),MONTH(tblAttendees[[#This Row],[Registration Date]]),1)</f>
        <v>45139</v>
      </c>
    </row>
    <row r="37" spans="1:10" ht="14.25" customHeight="1" x14ac:dyDescent="0.3">
      <c r="A37" s="81" t="s">
        <v>152</v>
      </c>
      <c r="B37" s="1" t="s">
        <v>153</v>
      </c>
      <c r="C37" s="1" t="s">
        <v>154</v>
      </c>
      <c r="D37" s="81" t="s">
        <v>155</v>
      </c>
      <c r="E37" s="1" t="s">
        <v>17</v>
      </c>
      <c r="F37" s="1" t="s">
        <v>22</v>
      </c>
      <c r="G37" s="6">
        <v>700</v>
      </c>
      <c r="H37" s="2">
        <v>45155</v>
      </c>
      <c r="I37" s="5" t="s">
        <v>419</v>
      </c>
      <c r="J37" s="4">
        <f>DATE(YEAR(tblAttendees[[#This Row],[Registration Date]]),MONTH(tblAttendees[[#This Row],[Registration Date]]),1)</f>
        <v>45139</v>
      </c>
    </row>
    <row r="38" spans="1:10" ht="14.25" customHeight="1" x14ac:dyDescent="0.3">
      <c r="A38" s="81" t="s">
        <v>156</v>
      </c>
      <c r="B38" s="1" t="s">
        <v>157</v>
      </c>
      <c r="C38" s="1" t="s">
        <v>158</v>
      </c>
      <c r="D38" s="81" t="s">
        <v>159</v>
      </c>
      <c r="E38" s="1" t="s">
        <v>11</v>
      </c>
      <c r="F38" s="1" t="s">
        <v>27</v>
      </c>
      <c r="G38" s="6">
        <v>300</v>
      </c>
      <c r="H38" s="2">
        <v>45178</v>
      </c>
      <c r="I38" s="5" t="s">
        <v>418</v>
      </c>
      <c r="J38" s="4">
        <f>DATE(YEAR(tblAttendees[[#This Row],[Registration Date]]),MONTH(tblAttendees[[#This Row],[Registration Date]]),1)</f>
        <v>45170</v>
      </c>
    </row>
    <row r="39" spans="1:10" ht="14.25" customHeight="1" x14ac:dyDescent="0.3">
      <c r="A39" s="81" t="s">
        <v>160</v>
      </c>
      <c r="B39" s="1" t="s">
        <v>161</v>
      </c>
      <c r="C39" s="1" t="s">
        <v>162</v>
      </c>
      <c r="D39" s="81" t="s">
        <v>163</v>
      </c>
      <c r="E39" s="1" t="s">
        <v>17</v>
      </c>
      <c r="F39" s="1" t="s">
        <v>12</v>
      </c>
      <c r="G39" s="6">
        <v>450</v>
      </c>
      <c r="H39" s="2">
        <v>45180</v>
      </c>
      <c r="I39" s="5" t="s">
        <v>418</v>
      </c>
      <c r="J39" s="4">
        <f>DATE(YEAR(tblAttendees[[#This Row],[Registration Date]]),MONTH(tblAttendees[[#This Row],[Registration Date]]),1)</f>
        <v>45170</v>
      </c>
    </row>
    <row r="40" spans="1:10" ht="14.25" customHeight="1" x14ac:dyDescent="0.3">
      <c r="A40" s="81" t="s">
        <v>164</v>
      </c>
      <c r="B40" s="1" t="s">
        <v>165</v>
      </c>
      <c r="C40" s="1" t="s">
        <v>166</v>
      </c>
      <c r="D40" s="81" t="s">
        <v>167</v>
      </c>
      <c r="E40" s="1" t="s">
        <v>11</v>
      </c>
      <c r="F40" s="1" t="s">
        <v>22</v>
      </c>
      <c r="G40" s="6">
        <v>700</v>
      </c>
      <c r="H40" s="2">
        <v>45199</v>
      </c>
      <c r="I40" s="5" t="s">
        <v>418</v>
      </c>
      <c r="J40" s="4">
        <f>DATE(YEAR(tblAttendees[[#This Row],[Registration Date]]),MONTH(tblAttendees[[#This Row],[Registration Date]]),1)</f>
        <v>45170</v>
      </c>
    </row>
    <row r="41" spans="1:10" ht="14.25" customHeight="1" x14ac:dyDescent="0.3">
      <c r="A41" s="81" t="s">
        <v>168</v>
      </c>
      <c r="B41" s="1" t="s">
        <v>169</v>
      </c>
      <c r="C41" s="1" t="s">
        <v>170</v>
      </c>
      <c r="D41" s="81" t="s">
        <v>171</v>
      </c>
      <c r="E41" s="1" t="s">
        <v>17</v>
      </c>
      <c r="F41" s="1" t="s">
        <v>27</v>
      </c>
      <c r="G41" s="6">
        <v>300</v>
      </c>
      <c r="H41" s="2">
        <v>45213</v>
      </c>
      <c r="I41" s="5" t="s">
        <v>417</v>
      </c>
      <c r="J41" s="4">
        <f>DATE(YEAR(tblAttendees[[#This Row],[Registration Date]]),MONTH(tblAttendees[[#This Row],[Registration Date]]),1)</f>
        <v>45200</v>
      </c>
    </row>
    <row r="42" spans="1:10" ht="14.25" customHeight="1" x14ac:dyDescent="0.3">
      <c r="A42" s="81" t="s">
        <v>172</v>
      </c>
      <c r="B42" s="1" t="s">
        <v>173</v>
      </c>
      <c r="C42" s="1" t="s">
        <v>174</v>
      </c>
      <c r="D42" s="81" t="s">
        <v>175</v>
      </c>
      <c r="E42" s="1" t="s">
        <v>11</v>
      </c>
      <c r="F42" s="1" t="s">
        <v>12</v>
      </c>
      <c r="G42" s="6">
        <v>450</v>
      </c>
      <c r="H42" s="2">
        <v>45215</v>
      </c>
      <c r="I42" s="5" t="s">
        <v>418</v>
      </c>
      <c r="J42" s="4">
        <f>DATE(YEAR(tblAttendees[[#This Row],[Registration Date]]),MONTH(tblAttendees[[#This Row],[Registration Date]]),1)</f>
        <v>45200</v>
      </c>
    </row>
    <row r="43" spans="1:10" ht="14.25" customHeight="1" x14ac:dyDescent="0.3">
      <c r="A43" s="81" t="s">
        <v>176</v>
      </c>
      <c r="B43" s="1" t="s">
        <v>177</v>
      </c>
      <c r="C43" s="1" t="s">
        <v>178</v>
      </c>
      <c r="D43" s="81" t="s">
        <v>179</v>
      </c>
      <c r="E43" s="1" t="s">
        <v>17</v>
      </c>
      <c r="F43" s="1" t="s">
        <v>22</v>
      </c>
      <c r="G43" s="6">
        <v>700</v>
      </c>
      <c r="H43" s="2">
        <v>45224</v>
      </c>
      <c r="I43" s="5" t="s">
        <v>418</v>
      </c>
      <c r="J43" s="4">
        <f>DATE(YEAR(tblAttendees[[#This Row],[Registration Date]]),MONTH(tblAttendees[[#This Row],[Registration Date]]),1)</f>
        <v>45200</v>
      </c>
    </row>
    <row r="44" spans="1:10" ht="14.25" customHeight="1" x14ac:dyDescent="0.3">
      <c r="A44" s="81" t="s">
        <v>180</v>
      </c>
      <c r="B44" s="1" t="s">
        <v>181</v>
      </c>
      <c r="C44" s="1" t="s">
        <v>182</v>
      </c>
      <c r="D44" s="81" t="s">
        <v>183</v>
      </c>
      <c r="E44" s="1" t="s">
        <v>11</v>
      </c>
      <c r="F44" s="1" t="s">
        <v>27</v>
      </c>
      <c r="G44" s="6">
        <v>300</v>
      </c>
      <c r="H44" s="2">
        <v>45230</v>
      </c>
      <c r="I44" s="5" t="s">
        <v>420</v>
      </c>
      <c r="J44" s="4">
        <f>DATE(YEAR(tblAttendees[[#This Row],[Registration Date]]),MONTH(tblAttendees[[#This Row],[Registration Date]]),1)</f>
        <v>45200</v>
      </c>
    </row>
    <row r="45" spans="1:10" ht="14.25" customHeight="1" x14ac:dyDescent="0.3">
      <c r="A45" s="81" t="s">
        <v>184</v>
      </c>
      <c r="B45" s="1" t="s">
        <v>185</v>
      </c>
      <c r="C45" s="1" t="s">
        <v>186</v>
      </c>
      <c r="D45" s="81" t="s">
        <v>187</v>
      </c>
      <c r="E45" s="1" t="s">
        <v>17</v>
      </c>
      <c r="F45" s="1" t="s">
        <v>12</v>
      </c>
      <c r="G45" s="6">
        <v>450</v>
      </c>
      <c r="H45" s="2">
        <v>45233</v>
      </c>
      <c r="I45" s="5" t="s">
        <v>420</v>
      </c>
      <c r="J45" s="4">
        <f>DATE(YEAR(tblAttendees[[#This Row],[Registration Date]]),MONTH(tblAttendees[[#This Row],[Registration Date]]),1)</f>
        <v>45231</v>
      </c>
    </row>
    <row r="46" spans="1:10" ht="14.25" customHeight="1" x14ac:dyDescent="0.3">
      <c r="A46" s="81" t="s">
        <v>188</v>
      </c>
      <c r="B46" s="1" t="s">
        <v>189</v>
      </c>
      <c r="C46" s="1" t="s">
        <v>190</v>
      </c>
      <c r="D46" s="81" t="s">
        <v>191</v>
      </c>
      <c r="E46" s="1" t="s">
        <v>11</v>
      </c>
      <c r="F46" s="1" t="s">
        <v>22</v>
      </c>
      <c r="G46" s="6">
        <v>700</v>
      </c>
      <c r="H46" s="2">
        <v>45260</v>
      </c>
      <c r="I46" s="5" t="s">
        <v>418</v>
      </c>
      <c r="J46" s="4">
        <f>DATE(YEAR(tblAttendees[[#This Row],[Registration Date]]),MONTH(tblAttendees[[#This Row],[Registration Date]]),1)</f>
        <v>45231</v>
      </c>
    </row>
    <row r="47" spans="1:10" ht="14.25" customHeight="1" x14ac:dyDescent="0.3">
      <c r="A47" s="81" t="s">
        <v>192</v>
      </c>
      <c r="B47" s="1" t="s">
        <v>193</v>
      </c>
      <c r="C47" s="1" t="s">
        <v>194</v>
      </c>
      <c r="D47" s="81" t="s">
        <v>195</v>
      </c>
      <c r="E47" s="1" t="s">
        <v>17</v>
      </c>
      <c r="F47" s="1" t="s">
        <v>27</v>
      </c>
      <c r="G47" s="6">
        <v>300</v>
      </c>
      <c r="H47" s="2">
        <v>45263</v>
      </c>
      <c r="I47" s="5" t="s">
        <v>418</v>
      </c>
      <c r="J47" s="4">
        <f>DATE(YEAR(tblAttendees[[#This Row],[Registration Date]]),MONTH(tblAttendees[[#This Row],[Registration Date]]),1)</f>
        <v>45261</v>
      </c>
    </row>
    <row r="48" spans="1:10" ht="14.25" customHeight="1" x14ac:dyDescent="0.3">
      <c r="A48" s="81" t="s">
        <v>196</v>
      </c>
      <c r="B48" s="1" t="s">
        <v>197</v>
      </c>
      <c r="C48" s="1" t="s">
        <v>198</v>
      </c>
      <c r="D48" s="81" t="s">
        <v>199</v>
      </c>
      <c r="E48" s="1" t="s">
        <v>11</v>
      </c>
      <c r="F48" s="1" t="s">
        <v>12</v>
      </c>
      <c r="G48" s="6">
        <v>450</v>
      </c>
      <c r="H48" s="2">
        <v>45269</v>
      </c>
      <c r="I48" s="5" t="s">
        <v>420</v>
      </c>
      <c r="J48" s="4">
        <f>DATE(YEAR(tblAttendees[[#This Row],[Registration Date]]),MONTH(tblAttendees[[#This Row],[Registration Date]]),1)</f>
        <v>45261</v>
      </c>
    </row>
    <row r="49" spans="1:10" ht="14.25" customHeight="1" x14ac:dyDescent="0.3">
      <c r="A49" s="81" t="s">
        <v>200</v>
      </c>
      <c r="B49" s="1" t="s">
        <v>201</v>
      </c>
      <c r="C49" s="1" t="s">
        <v>202</v>
      </c>
      <c r="D49" s="81" t="s">
        <v>203</v>
      </c>
      <c r="E49" s="1" t="s">
        <v>17</v>
      </c>
      <c r="F49" s="1" t="s">
        <v>22</v>
      </c>
      <c r="G49" s="6">
        <v>700</v>
      </c>
      <c r="H49" s="2">
        <v>45299</v>
      </c>
      <c r="I49" s="5" t="s">
        <v>417</v>
      </c>
      <c r="J49" s="4">
        <f>DATE(YEAR(tblAttendees[[#This Row],[Registration Date]]),MONTH(tblAttendees[[#This Row],[Registration Date]]),1)</f>
        <v>45292</v>
      </c>
    </row>
    <row r="50" spans="1:10" ht="14.25" customHeight="1" x14ac:dyDescent="0.3">
      <c r="A50" s="81" t="s">
        <v>204</v>
      </c>
      <c r="B50" s="1" t="s">
        <v>205</v>
      </c>
      <c r="C50" s="1" t="s">
        <v>206</v>
      </c>
      <c r="D50" s="81" t="s">
        <v>207</v>
      </c>
      <c r="E50" s="1" t="s">
        <v>11</v>
      </c>
      <c r="F50" s="1" t="s">
        <v>27</v>
      </c>
      <c r="G50" s="6">
        <v>300</v>
      </c>
      <c r="H50" s="2">
        <v>45307</v>
      </c>
      <c r="I50" s="5" t="s">
        <v>419</v>
      </c>
      <c r="J50" s="4">
        <f>DATE(YEAR(tblAttendees[[#This Row],[Registration Date]]),MONTH(tblAttendees[[#This Row],[Registration Date]]),1)</f>
        <v>45292</v>
      </c>
    </row>
    <row r="51" spans="1:10" ht="14.25" customHeight="1" x14ac:dyDescent="0.3">
      <c r="A51" s="81" t="s">
        <v>208</v>
      </c>
      <c r="B51" s="1" t="s">
        <v>209</v>
      </c>
      <c r="C51" s="1" t="s">
        <v>210</v>
      </c>
      <c r="D51" s="81" t="s">
        <v>211</v>
      </c>
      <c r="E51" s="1" t="s">
        <v>17</v>
      </c>
      <c r="F51" s="1" t="s">
        <v>12</v>
      </c>
      <c r="G51" s="6">
        <v>450</v>
      </c>
      <c r="H51" s="2">
        <v>45313</v>
      </c>
      <c r="I51" s="5" t="s">
        <v>419</v>
      </c>
      <c r="J51" s="4">
        <f>DATE(YEAR(tblAttendees[[#This Row],[Registration Date]]),MONTH(tblAttendees[[#This Row],[Registration Date]]),1)</f>
        <v>45292</v>
      </c>
    </row>
    <row r="52" spans="1:10" ht="14.25" customHeight="1" x14ac:dyDescent="0.3">
      <c r="A52" s="81" t="s">
        <v>212</v>
      </c>
      <c r="B52" s="1" t="s">
        <v>213</v>
      </c>
      <c r="C52" s="1" t="s">
        <v>214</v>
      </c>
      <c r="D52" s="81" t="s">
        <v>215</v>
      </c>
      <c r="E52" s="1" t="s">
        <v>11</v>
      </c>
      <c r="F52" s="1" t="s">
        <v>22</v>
      </c>
      <c r="G52" s="6">
        <v>700</v>
      </c>
      <c r="H52" s="2">
        <v>45313</v>
      </c>
      <c r="I52" s="5" t="s">
        <v>419</v>
      </c>
      <c r="J52" s="4">
        <f>DATE(YEAR(tblAttendees[[#This Row],[Registration Date]]),MONTH(tblAttendees[[#This Row],[Registration Date]]),1)</f>
        <v>45292</v>
      </c>
    </row>
    <row r="53" spans="1:10" ht="14.25" customHeight="1" x14ac:dyDescent="0.3">
      <c r="A53" s="81" t="s">
        <v>216</v>
      </c>
      <c r="B53" s="1" t="s">
        <v>217</v>
      </c>
      <c r="C53" s="1" t="s">
        <v>218</v>
      </c>
      <c r="D53" s="81" t="s">
        <v>219</v>
      </c>
      <c r="E53" s="1" t="s">
        <v>17</v>
      </c>
      <c r="F53" s="1" t="s">
        <v>27</v>
      </c>
      <c r="G53" s="6">
        <v>300</v>
      </c>
      <c r="H53" s="2">
        <v>45315</v>
      </c>
      <c r="I53" s="5" t="s">
        <v>419</v>
      </c>
      <c r="J53" s="4">
        <f>DATE(YEAR(tblAttendees[[#This Row],[Registration Date]]),MONTH(tblAttendees[[#This Row],[Registration Date]]),1)</f>
        <v>45292</v>
      </c>
    </row>
    <row r="54" spans="1:10" ht="14.25" customHeight="1" x14ac:dyDescent="0.3">
      <c r="A54" s="81" t="s">
        <v>220</v>
      </c>
      <c r="B54" s="1" t="s">
        <v>221</v>
      </c>
      <c r="C54" s="1" t="s">
        <v>222</v>
      </c>
      <c r="D54" s="81" t="s">
        <v>223</v>
      </c>
      <c r="E54" s="1" t="s">
        <v>11</v>
      </c>
      <c r="F54" s="1" t="s">
        <v>12</v>
      </c>
      <c r="G54" s="6">
        <v>450</v>
      </c>
      <c r="H54" s="2">
        <v>45322</v>
      </c>
      <c r="I54" s="5" t="s">
        <v>419</v>
      </c>
      <c r="J54" s="4">
        <f>DATE(YEAR(tblAttendees[[#This Row],[Registration Date]]),MONTH(tblAttendees[[#This Row],[Registration Date]]),1)</f>
        <v>45292</v>
      </c>
    </row>
    <row r="55" spans="1:10" ht="14.25" customHeight="1" x14ac:dyDescent="0.3">
      <c r="A55" s="81" t="s">
        <v>224</v>
      </c>
      <c r="B55" s="1" t="s">
        <v>225</v>
      </c>
      <c r="C55" s="1" t="s">
        <v>226</v>
      </c>
      <c r="D55" s="81" t="s">
        <v>227</v>
      </c>
      <c r="E55" s="1" t="s">
        <v>17</v>
      </c>
      <c r="F55" s="1" t="s">
        <v>22</v>
      </c>
      <c r="G55" s="6">
        <v>700</v>
      </c>
      <c r="H55" s="2">
        <v>45322</v>
      </c>
      <c r="I55" s="5" t="s">
        <v>420</v>
      </c>
      <c r="J55" s="4">
        <f>DATE(YEAR(tblAttendees[[#This Row],[Registration Date]]),MONTH(tblAttendees[[#This Row],[Registration Date]]),1)</f>
        <v>45292</v>
      </c>
    </row>
    <row r="56" spans="1:10" ht="14.25" customHeight="1" x14ac:dyDescent="0.3">
      <c r="A56" s="81" t="s">
        <v>228</v>
      </c>
      <c r="B56" s="1" t="s">
        <v>229</v>
      </c>
      <c r="C56" s="1" t="s">
        <v>230</v>
      </c>
      <c r="D56" s="81" t="s">
        <v>231</v>
      </c>
      <c r="E56" s="1" t="s">
        <v>11</v>
      </c>
      <c r="F56" s="1" t="s">
        <v>27</v>
      </c>
      <c r="G56" s="6">
        <v>300</v>
      </c>
      <c r="H56" s="2">
        <v>45330</v>
      </c>
      <c r="I56" s="5" t="s">
        <v>417</v>
      </c>
      <c r="J56" s="4">
        <f>DATE(YEAR(tblAttendees[[#This Row],[Registration Date]]),MONTH(tblAttendees[[#This Row],[Registration Date]]),1)</f>
        <v>45323</v>
      </c>
    </row>
    <row r="57" spans="1:10" ht="14.25" customHeight="1" x14ac:dyDescent="0.3">
      <c r="A57" s="81" t="s">
        <v>232</v>
      </c>
      <c r="B57" s="1" t="s">
        <v>233</v>
      </c>
      <c r="C57" s="1" t="s">
        <v>234</v>
      </c>
      <c r="D57" s="81" t="s">
        <v>235</v>
      </c>
      <c r="E57" s="1" t="s">
        <v>17</v>
      </c>
      <c r="F57" s="1" t="s">
        <v>12</v>
      </c>
      <c r="G57" s="6">
        <v>450</v>
      </c>
      <c r="H57" s="2">
        <v>45331</v>
      </c>
      <c r="I57" s="5" t="s">
        <v>417</v>
      </c>
      <c r="J57" s="4">
        <f>DATE(YEAR(tblAttendees[[#This Row],[Registration Date]]),MONTH(tblAttendees[[#This Row],[Registration Date]]),1)</f>
        <v>45323</v>
      </c>
    </row>
    <row r="58" spans="1:10" ht="14.25" customHeight="1" x14ac:dyDescent="0.3">
      <c r="A58" s="81" t="s">
        <v>236</v>
      </c>
      <c r="B58" s="1" t="s">
        <v>237</v>
      </c>
      <c r="C58" s="1" t="s">
        <v>238</v>
      </c>
      <c r="D58" s="81" t="s">
        <v>239</v>
      </c>
      <c r="E58" s="1" t="s">
        <v>11</v>
      </c>
      <c r="F58" s="1" t="s">
        <v>22</v>
      </c>
      <c r="G58" s="6">
        <v>700</v>
      </c>
      <c r="H58" s="2">
        <v>45333</v>
      </c>
      <c r="I58" s="5" t="s">
        <v>420</v>
      </c>
      <c r="J58" s="4">
        <f>DATE(YEAR(tblAttendees[[#This Row],[Registration Date]]),MONTH(tblAttendees[[#This Row],[Registration Date]]),1)</f>
        <v>45323</v>
      </c>
    </row>
    <row r="59" spans="1:10" ht="14.25" customHeight="1" x14ac:dyDescent="0.3">
      <c r="A59" s="81" t="s">
        <v>240</v>
      </c>
      <c r="B59" s="1" t="s">
        <v>241</v>
      </c>
      <c r="C59" s="1" t="s">
        <v>242</v>
      </c>
      <c r="D59" s="81" t="s">
        <v>243</v>
      </c>
      <c r="E59" s="1" t="s">
        <v>17</v>
      </c>
      <c r="F59" s="1" t="s">
        <v>27</v>
      </c>
      <c r="G59" s="6">
        <v>300</v>
      </c>
      <c r="H59" s="2">
        <v>45338</v>
      </c>
      <c r="I59" s="5" t="s">
        <v>420</v>
      </c>
      <c r="J59" s="4">
        <f>DATE(YEAR(tblAttendees[[#This Row],[Registration Date]]),MONTH(tblAttendees[[#This Row],[Registration Date]]),1)</f>
        <v>45323</v>
      </c>
    </row>
    <row r="60" spans="1:10" ht="14.25" customHeight="1" x14ac:dyDescent="0.3">
      <c r="A60" s="81" t="s">
        <v>244</v>
      </c>
      <c r="B60" s="1" t="s">
        <v>245</v>
      </c>
      <c r="C60" s="1" t="s">
        <v>246</v>
      </c>
      <c r="D60" s="81" t="s">
        <v>247</v>
      </c>
      <c r="E60" s="1" t="s">
        <v>11</v>
      </c>
      <c r="F60" s="1" t="s">
        <v>12</v>
      </c>
      <c r="G60" s="6">
        <v>450</v>
      </c>
      <c r="H60" s="2">
        <v>45343</v>
      </c>
      <c r="I60" s="5" t="s">
        <v>417</v>
      </c>
      <c r="J60" s="4">
        <f>DATE(YEAR(tblAttendees[[#This Row],[Registration Date]]),MONTH(tblAttendees[[#This Row],[Registration Date]]),1)</f>
        <v>45323</v>
      </c>
    </row>
    <row r="61" spans="1:10" ht="14.25" customHeight="1" x14ac:dyDescent="0.3">
      <c r="A61" s="81" t="s">
        <v>248</v>
      </c>
      <c r="B61" s="1" t="s">
        <v>249</v>
      </c>
      <c r="C61" s="1" t="s">
        <v>250</v>
      </c>
      <c r="D61" s="81" t="s">
        <v>251</v>
      </c>
      <c r="E61" s="1" t="s">
        <v>17</v>
      </c>
      <c r="F61" s="1" t="s">
        <v>22</v>
      </c>
      <c r="G61" s="6">
        <v>700</v>
      </c>
      <c r="H61" s="2">
        <v>45345</v>
      </c>
      <c r="I61" s="5" t="s">
        <v>418</v>
      </c>
      <c r="J61" s="4">
        <f>DATE(YEAR(tblAttendees[[#This Row],[Registration Date]]),MONTH(tblAttendees[[#This Row],[Registration Date]]),1)</f>
        <v>45323</v>
      </c>
    </row>
    <row r="62" spans="1:10" ht="14.25" customHeight="1" x14ac:dyDescent="0.3">
      <c r="A62" s="81" t="s">
        <v>252</v>
      </c>
      <c r="B62" s="1" t="s">
        <v>253</v>
      </c>
      <c r="C62" s="1" t="s">
        <v>254</v>
      </c>
      <c r="D62" s="81" t="s">
        <v>255</v>
      </c>
      <c r="E62" s="1" t="s">
        <v>11</v>
      </c>
      <c r="F62" s="1" t="s">
        <v>27</v>
      </c>
      <c r="G62" s="6">
        <v>300</v>
      </c>
      <c r="H62" s="2">
        <v>45349</v>
      </c>
      <c r="I62" s="5" t="s">
        <v>418</v>
      </c>
      <c r="J62" s="4">
        <f>DATE(YEAR(tblAttendees[[#This Row],[Registration Date]]),MONTH(tblAttendees[[#This Row],[Registration Date]]),1)</f>
        <v>45323</v>
      </c>
    </row>
    <row r="63" spans="1:10" ht="14.25" customHeight="1" x14ac:dyDescent="0.3">
      <c r="A63" s="81" t="s">
        <v>256</v>
      </c>
      <c r="B63" s="1" t="s">
        <v>257</v>
      </c>
      <c r="C63" s="1" t="s">
        <v>258</v>
      </c>
      <c r="D63" s="81" t="s">
        <v>259</v>
      </c>
      <c r="E63" s="1" t="s">
        <v>17</v>
      </c>
      <c r="F63" s="1" t="s">
        <v>12</v>
      </c>
      <c r="G63" s="6">
        <v>450</v>
      </c>
      <c r="H63" s="2">
        <v>45350</v>
      </c>
      <c r="I63" s="5" t="s">
        <v>419</v>
      </c>
      <c r="J63" s="4">
        <f>DATE(YEAR(tblAttendees[[#This Row],[Registration Date]]),MONTH(tblAttendees[[#This Row],[Registration Date]]),1)</f>
        <v>45323</v>
      </c>
    </row>
    <row r="64" spans="1:10" ht="14.25" customHeight="1" x14ac:dyDescent="0.3">
      <c r="A64" s="81" t="s">
        <v>260</v>
      </c>
      <c r="B64" s="1" t="s">
        <v>261</v>
      </c>
      <c r="C64" s="1" t="s">
        <v>262</v>
      </c>
      <c r="D64" s="81" t="s">
        <v>263</v>
      </c>
      <c r="E64" s="1" t="s">
        <v>11</v>
      </c>
      <c r="F64" s="1" t="s">
        <v>22</v>
      </c>
      <c r="G64" s="6">
        <v>700</v>
      </c>
      <c r="H64" s="2">
        <v>45350</v>
      </c>
      <c r="I64" s="5" t="s">
        <v>419</v>
      </c>
      <c r="J64" s="4">
        <f>DATE(YEAR(tblAttendees[[#This Row],[Registration Date]]),MONTH(tblAttendees[[#This Row],[Registration Date]]),1)</f>
        <v>45323</v>
      </c>
    </row>
    <row r="65" spans="1:10" ht="14.25" customHeight="1" x14ac:dyDescent="0.3">
      <c r="A65" s="81" t="s">
        <v>264</v>
      </c>
      <c r="B65" s="1" t="s">
        <v>265</v>
      </c>
      <c r="C65" s="1" t="s">
        <v>266</v>
      </c>
      <c r="D65" s="81" t="s">
        <v>267</v>
      </c>
      <c r="E65" s="1" t="s">
        <v>17</v>
      </c>
      <c r="F65" s="1" t="s">
        <v>27</v>
      </c>
      <c r="G65" s="6">
        <v>300</v>
      </c>
      <c r="H65" s="2">
        <v>45353</v>
      </c>
      <c r="I65" s="5" t="s">
        <v>420</v>
      </c>
      <c r="J65" s="4">
        <f>DATE(YEAR(tblAttendees[[#This Row],[Registration Date]]),MONTH(tblAttendees[[#This Row],[Registration Date]]),1)</f>
        <v>45352</v>
      </c>
    </row>
    <row r="66" spans="1:10" ht="14.25" customHeight="1" x14ac:dyDescent="0.3">
      <c r="A66" s="81" t="s">
        <v>268</v>
      </c>
      <c r="B66" s="1" t="s">
        <v>269</v>
      </c>
      <c r="C66" s="1" t="s">
        <v>270</v>
      </c>
      <c r="D66" s="81" t="s">
        <v>271</v>
      </c>
      <c r="E66" s="1" t="s">
        <v>11</v>
      </c>
      <c r="F66" s="1" t="s">
        <v>12</v>
      </c>
      <c r="G66" s="6">
        <v>450</v>
      </c>
      <c r="H66" s="2">
        <v>45353</v>
      </c>
      <c r="I66" s="5" t="s">
        <v>419</v>
      </c>
      <c r="J66" s="4">
        <f>DATE(YEAR(tblAttendees[[#This Row],[Registration Date]]),MONTH(tblAttendees[[#This Row],[Registration Date]]),1)</f>
        <v>45352</v>
      </c>
    </row>
    <row r="67" spans="1:10" ht="14.25" customHeight="1" x14ac:dyDescent="0.3">
      <c r="A67" s="81" t="s">
        <v>272</v>
      </c>
      <c r="B67" s="1" t="s">
        <v>273</v>
      </c>
      <c r="C67" s="1" t="s">
        <v>274</v>
      </c>
      <c r="D67" s="81" t="s">
        <v>275</v>
      </c>
      <c r="E67" s="1" t="s">
        <v>17</v>
      </c>
      <c r="F67" s="1" t="s">
        <v>22</v>
      </c>
      <c r="G67" s="6">
        <v>700</v>
      </c>
      <c r="H67" s="2">
        <v>45368</v>
      </c>
      <c r="I67" s="5" t="s">
        <v>419</v>
      </c>
      <c r="J67" s="4">
        <f>DATE(YEAR(tblAttendees[[#This Row],[Registration Date]]),MONTH(tblAttendees[[#This Row],[Registration Date]]),1)</f>
        <v>45352</v>
      </c>
    </row>
    <row r="68" spans="1:10" ht="14.25" customHeight="1" x14ac:dyDescent="0.3">
      <c r="A68" s="81" t="s">
        <v>276</v>
      </c>
      <c r="B68" s="1" t="s">
        <v>277</v>
      </c>
      <c r="C68" s="1" t="s">
        <v>278</v>
      </c>
      <c r="D68" s="81" t="s">
        <v>279</v>
      </c>
      <c r="E68" s="1" t="s">
        <v>11</v>
      </c>
      <c r="F68" s="1" t="s">
        <v>27</v>
      </c>
      <c r="G68" s="6">
        <v>300</v>
      </c>
      <c r="H68" s="2">
        <v>45373</v>
      </c>
      <c r="I68" s="5" t="s">
        <v>420</v>
      </c>
      <c r="J68" s="4">
        <f>DATE(YEAR(tblAttendees[[#This Row],[Registration Date]]),MONTH(tblAttendees[[#This Row],[Registration Date]]),1)</f>
        <v>45352</v>
      </c>
    </row>
    <row r="69" spans="1:10" ht="14.25" customHeight="1" x14ac:dyDescent="0.3">
      <c r="A69" s="81" t="s">
        <v>280</v>
      </c>
      <c r="B69" s="1" t="s">
        <v>281</v>
      </c>
      <c r="C69" s="1" t="s">
        <v>282</v>
      </c>
      <c r="D69" s="81" t="s">
        <v>283</v>
      </c>
      <c r="E69" s="1" t="s">
        <v>17</v>
      </c>
      <c r="F69" s="1" t="s">
        <v>12</v>
      </c>
      <c r="G69" s="6">
        <v>450</v>
      </c>
      <c r="H69" s="2">
        <v>45375</v>
      </c>
      <c r="I69" s="5" t="s">
        <v>417</v>
      </c>
      <c r="J69" s="4">
        <f>DATE(YEAR(tblAttendees[[#This Row],[Registration Date]]),MONTH(tblAttendees[[#This Row],[Registration Date]]),1)</f>
        <v>45352</v>
      </c>
    </row>
    <row r="70" spans="1:10" ht="14.25" customHeight="1" x14ac:dyDescent="0.3">
      <c r="A70" s="81" t="s">
        <v>284</v>
      </c>
      <c r="B70" s="1" t="s">
        <v>285</v>
      </c>
      <c r="C70" s="1" t="s">
        <v>286</v>
      </c>
      <c r="D70" s="81" t="s">
        <v>287</v>
      </c>
      <c r="E70" s="1" t="s">
        <v>11</v>
      </c>
      <c r="F70" s="1" t="s">
        <v>22</v>
      </c>
      <c r="G70" s="6">
        <v>700</v>
      </c>
      <c r="H70" s="2">
        <v>45391</v>
      </c>
      <c r="I70" s="5" t="s">
        <v>417</v>
      </c>
      <c r="J70" s="4">
        <f>DATE(YEAR(tblAttendees[[#This Row],[Registration Date]]),MONTH(tblAttendees[[#This Row],[Registration Date]]),1)</f>
        <v>45383</v>
      </c>
    </row>
    <row r="71" spans="1:10" ht="14.25" customHeight="1" x14ac:dyDescent="0.3">
      <c r="A71" s="81" t="s">
        <v>288</v>
      </c>
      <c r="B71" s="1" t="s">
        <v>289</v>
      </c>
      <c r="C71" s="1" t="s">
        <v>290</v>
      </c>
      <c r="D71" s="81" t="s">
        <v>291</v>
      </c>
      <c r="E71" s="1" t="s">
        <v>17</v>
      </c>
      <c r="F71" s="1" t="s">
        <v>27</v>
      </c>
      <c r="G71" s="6">
        <v>300</v>
      </c>
      <c r="H71" s="2">
        <v>45399</v>
      </c>
      <c r="I71" s="5" t="s">
        <v>417</v>
      </c>
      <c r="J71" s="4">
        <f>DATE(YEAR(tblAttendees[[#This Row],[Registration Date]]),MONTH(tblAttendees[[#This Row],[Registration Date]]),1)</f>
        <v>45383</v>
      </c>
    </row>
    <row r="72" spans="1:10" ht="14.25" customHeight="1" x14ac:dyDescent="0.3">
      <c r="A72" s="81" t="s">
        <v>292</v>
      </c>
      <c r="B72" s="1" t="s">
        <v>293</v>
      </c>
      <c r="C72" s="1" t="s">
        <v>294</v>
      </c>
      <c r="D72" s="81" t="s">
        <v>295</v>
      </c>
      <c r="E72" s="1" t="s">
        <v>11</v>
      </c>
      <c r="F72" s="1" t="s">
        <v>12</v>
      </c>
      <c r="G72" s="6">
        <v>450</v>
      </c>
      <c r="H72" s="2">
        <v>45410</v>
      </c>
      <c r="I72" s="5" t="s">
        <v>419</v>
      </c>
      <c r="J72" s="4">
        <f>DATE(YEAR(tblAttendees[[#This Row],[Registration Date]]),MONTH(tblAttendees[[#This Row],[Registration Date]]),1)</f>
        <v>45383</v>
      </c>
    </row>
    <row r="73" spans="1:10" ht="14.25" customHeight="1" x14ac:dyDescent="0.3">
      <c r="A73" s="81" t="s">
        <v>296</v>
      </c>
      <c r="B73" s="1" t="s">
        <v>297</v>
      </c>
      <c r="C73" s="1" t="s">
        <v>298</v>
      </c>
      <c r="D73" s="81" t="s">
        <v>299</v>
      </c>
      <c r="E73" s="1" t="s">
        <v>17</v>
      </c>
      <c r="F73" s="1" t="s">
        <v>22</v>
      </c>
      <c r="G73" s="6">
        <v>700</v>
      </c>
      <c r="H73" s="2">
        <v>45416</v>
      </c>
      <c r="I73" s="5" t="s">
        <v>417</v>
      </c>
      <c r="J73" s="4">
        <f>DATE(YEAR(tblAttendees[[#This Row],[Registration Date]]),MONTH(tblAttendees[[#This Row],[Registration Date]]),1)</f>
        <v>45413</v>
      </c>
    </row>
    <row r="74" spans="1:10" ht="14.25" customHeight="1" x14ac:dyDescent="0.3">
      <c r="A74" s="81" t="s">
        <v>300</v>
      </c>
      <c r="B74" s="1" t="s">
        <v>301</v>
      </c>
      <c r="C74" s="1" t="s">
        <v>302</v>
      </c>
      <c r="D74" s="81" t="s">
        <v>303</v>
      </c>
      <c r="E74" s="1" t="s">
        <v>11</v>
      </c>
      <c r="F74" s="1" t="s">
        <v>27</v>
      </c>
      <c r="G74" s="6">
        <v>300</v>
      </c>
      <c r="H74" s="2">
        <v>45425</v>
      </c>
      <c r="I74" s="5" t="s">
        <v>420</v>
      </c>
      <c r="J74" s="4">
        <f>DATE(YEAR(tblAttendees[[#This Row],[Registration Date]]),MONTH(tblAttendees[[#This Row],[Registration Date]]),1)</f>
        <v>45413</v>
      </c>
    </row>
    <row r="75" spans="1:10" ht="14.25" customHeight="1" x14ac:dyDescent="0.3">
      <c r="A75" s="81" t="s">
        <v>304</v>
      </c>
      <c r="B75" s="1" t="s">
        <v>305</v>
      </c>
      <c r="C75" s="1" t="s">
        <v>306</v>
      </c>
      <c r="D75" s="81" t="s">
        <v>307</v>
      </c>
      <c r="E75" s="1" t="s">
        <v>17</v>
      </c>
      <c r="F75" s="1" t="s">
        <v>12</v>
      </c>
      <c r="G75" s="6">
        <v>450</v>
      </c>
      <c r="H75" s="2">
        <v>45437</v>
      </c>
      <c r="I75" s="5" t="s">
        <v>420</v>
      </c>
      <c r="J75" s="4">
        <f>DATE(YEAR(tblAttendees[[#This Row],[Registration Date]]),MONTH(tblAttendees[[#This Row],[Registration Date]]),1)</f>
        <v>45413</v>
      </c>
    </row>
    <row r="76" spans="1:10" ht="14.25" customHeight="1" x14ac:dyDescent="0.3">
      <c r="A76" s="81" t="s">
        <v>308</v>
      </c>
      <c r="B76" s="1" t="s">
        <v>309</v>
      </c>
      <c r="C76" s="1" t="s">
        <v>310</v>
      </c>
      <c r="D76" s="81" t="s">
        <v>311</v>
      </c>
      <c r="E76" s="1" t="s">
        <v>11</v>
      </c>
      <c r="F76" s="1" t="s">
        <v>22</v>
      </c>
      <c r="G76" s="6">
        <v>700</v>
      </c>
      <c r="H76" s="2">
        <v>45456</v>
      </c>
      <c r="I76" s="5" t="s">
        <v>417</v>
      </c>
      <c r="J76" s="4">
        <f>DATE(YEAR(tblAttendees[[#This Row],[Registration Date]]),MONTH(tblAttendees[[#This Row],[Registration Date]]),1)</f>
        <v>45444</v>
      </c>
    </row>
    <row r="77" spans="1:10" ht="14.25" customHeight="1" x14ac:dyDescent="0.3">
      <c r="A77" s="81" t="s">
        <v>312</v>
      </c>
      <c r="B77" s="1" t="s">
        <v>313</v>
      </c>
      <c r="C77" s="1" t="s">
        <v>314</v>
      </c>
      <c r="D77" s="81" t="s">
        <v>315</v>
      </c>
      <c r="E77" s="1" t="s">
        <v>17</v>
      </c>
      <c r="F77" s="1" t="s">
        <v>27</v>
      </c>
      <c r="G77" s="6">
        <v>300</v>
      </c>
      <c r="H77" s="2">
        <v>45459</v>
      </c>
      <c r="I77" s="5" t="s">
        <v>420</v>
      </c>
      <c r="J77" s="4">
        <f>DATE(YEAR(tblAttendees[[#This Row],[Registration Date]]),MONTH(tblAttendees[[#This Row],[Registration Date]]),1)</f>
        <v>45444</v>
      </c>
    </row>
    <row r="78" spans="1:10" ht="14.25" customHeight="1" x14ac:dyDescent="0.3">
      <c r="A78" s="81" t="s">
        <v>316</v>
      </c>
      <c r="B78" s="1" t="s">
        <v>317</v>
      </c>
      <c r="C78" s="1" t="s">
        <v>318</v>
      </c>
      <c r="D78" s="81" t="s">
        <v>319</v>
      </c>
      <c r="E78" s="1" t="s">
        <v>11</v>
      </c>
      <c r="F78" s="1" t="s">
        <v>12</v>
      </c>
      <c r="G78" s="6">
        <v>450</v>
      </c>
      <c r="H78" s="2">
        <v>45461</v>
      </c>
      <c r="I78" s="5" t="s">
        <v>418</v>
      </c>
      <c r="J78" s="4">
        <f>DATE(YEAR(tblAttendees[[#This Row],[Registration Date]]),MONTH(tblAttendees[[#This Row],[Registration Date]]),1)</f>
        <v>45444</v>
      </c>
    </row>
    <row r="79" spans="1:10" ht="14.25" customHeight="1" x14ac:dyDescent="0.3">
      <c r="A79" s="81" t="s">
        <v>320</v>
      </c>
      <c r="B79" s="1" t="s">
        <v>321</v>
      </c>
      <c r="C79" s="1" t="s">
        <v>322</v>
      </c>
      <c r="D79" s="81" t="s">
        <v>323</v>
      </c>
      <c r="E79" s="1" t="s">
        <v>17</v>
      </c>
      <c r="F79" s="1" t="s">
        <v>22</v>
      </c>
      <c r="G79" s="6">
        <v>700</v>
      </c>
      <c r="H79" s="2">
        <v>45466</v>
      </c>
      <c r="I79" s="5" t="s">
        <v>418</v>
      </c>
      <c r="J79" s="4">
        <f>DATE(YEAR(tblAttendees[[#This Row],[Registration Date]]),MONTH(tblAttendees[[#This Row],[Registration Date]]),1)</f>
        <v>45444</v>
      </c>
    </row>
    <row r="80" spans="1:10" ht="14.25" customHeight="1" x14ac:dyDescent="0.3">
      <c r="A80" s="81" t="s">
        <v>324</v>
      </c>
      <c r="B80" s="1" t="s">
        <v>325</v>
      </c>
      <c r="C80" s="1" t="s">
        <v>326</v>
      </c>
      <c r="D80" s="81" t="s">
        <v>327</v>
      </c>
      <c r="E80" s="1" t="s">
        <v>11</v>
      </c>
      <c r="F80" s="1" t="s">
        <v>27</v>
      </c>
      <c r="G80" s="6">
        <v>300</v>
      </c>
      <c r="H80" s="2">
        <v>45470</v>
      </c>
      <c r="I80" s="5" t="s">
        <v>420</v>
      </c>
      <c r="J80" s="4">
        <f>DATE(YEAR(tblAttendees[[#This Row],[Registration Date]]),MONTH(tblAttendees[[#This Row],[Registration Date]]),1)</f>
        <v>45444</v>
      </c>
    </row>
    <row r="81" spans="1:10" ht="14.25" customHeight="1" x14ac:dyDescent="0.3">
      <c r="A81" s="81" t="s">
        <v>328</v>
      </c>
      <c r="B81" s="1" t="s">
        <v>329</v>
      </c>
      <c r="C81" s="1" t="s">
        <v>330</v>
      </c>
      <c r="D81" s="81" t="s">
        <v>331</v>
      </c>
      <c r="E81" s="1" t="s">
        <v>17</v>
      </c>
      <c r="F81" s="1" t="s">
        <v>12</v>
      </c>
      <c r="G81" s="6">
        <v>450</v>
      </c>
      <c r="H81" s="2">
        <v>45471</v>
      </c>
      <c r="I81" s="5" t="s">
        <v>417</v>
      </c>
      <c r="J81" s="4">
        <f>DATE(YEAR(tblAttendees[[#This Row],[Registration Date]]),MONTH(tblAttendees[[#This Row],[Registration Date]]),1)</f>
        <v>45444</v>
      </c>
    </row>
    <row r="82" spans="1:10" ht="14.25" customHeight="1" x14ac:dyDescent="0.3">
      <c r="A82" s="81" t="s">
        <v>332</v>
      </c>
      <c r="B82" s="1" t="s">
        <v>333</v>
      </c>
      <c r="C82" s="1" t="s">
        <v>334</v>
      </c>
      <c r="D82" s="81" t="s">
        <v>335</v>
      </c>
      <c r="E82" s="1" t="s">
        <v>11</v>
      </c>
      <c r="F82" s="1" t="s">
        <v>22</v>
      </c>
      <c r="G82" s="6">
        <v>700</v>
      </c>
      <c r="H82" s="2">
        <v>45474</v>
      </c>
      <c r="I82" s="5" t="s">
        <v>418</v>
      </c>
      <c r="J82" s="4">
        <f>DATE(YEAR(tblAttendees[[#This Row],[Registration Date]]),MONTH(tblAttendees[[#This Row],[Registration Date]]),1)</f>
        <v>45474</v>
      </c>
    </row>
    <row r="83" spans="1:10" ht="14.25" customHeight="1" x14ac:dyDescent="0.3">
      <c r="A83" s="81" t="s">
        <v>336</v>
      </c>
      <c r="B83" s="1" t="s">
        <v>337</v>
      </c>
      <c r="C83" s="1" t="s">
        <v>338</v>
      </c>
      <c r="D83" s="81" t="s">
        <v>339</v>
      </c>
      <c r="E83" s="1" t="s">
        <v>17</v>
      </c>
      <c r="F83" s="1" t="s">
        <v>27</v>
      </c>
      <c r="G83" s="6">
        <v>300</v>
      </c>
      <c r="H83" s="2">
        <v>45476</v>
      </c>
      <c r="I83" s="5" t="s">
        <v>418</v>
      </c>
      <c r="J83" s="4">
        <f>DATE(YEAR(tblAttendees[[#This Row],[Registration Date]]),MONTH(tblAttendees[[#This Row],[Registration Date]]),1)</f>
        <v>45474</v>
      </c>
    </row>
    <row r="84" spans="1:10" ht="14.25" customHeight="1" x14ac:dyDescent="0.3">
      <c r="A84" s="81" t="s">
        <v>340</v>
      </c>
      <c r="B84" s="1" t="s">
        <v>341</v>
      </c>
      <c r="C84" s="1" t="s">
        <v>342</v>
      </c>
      <c r="D84" s="81" t="s">
        <v>343</v>
      </c>
      <c r="E84" s="1" t="s">
        <v>11</v>
      </c>
      <c r="F84" s="1" t="s">
        <v>12</v>
      </c>
      <c r="G84" s="6">
        <v>450</v>
      </c>
      <c r="H84" s="2">
        <v>45484</v>
      </c>
      <c r="I84" s="5" t="s">
        <v>417</v>
      </c>
      <c r="J84" s="4">
        <f>DATE(YEAR(tblAttendees[[#This Row],[Registration Date]]),MONTH(tblAttendees[[#This Row],[Registration Date]]),1)</f>
        <v>45474</v>
      </c>
    </row>
    <row r="85" spans="1:10" ht="14.25" customHeight="1" x14ac:dyDescent="0.3">
      <c r="A85" s="81" t="s">
        <v>344</v>
      </c>
      <c r="B85" s="1" t="s">
        <v>345</v>
      </c>
      <c r="C85" s="1" t="s">
        <v>346</v>
      </c>
      <c r="D85" s="81" t="s">
        <v>347</v>
      </c>
      <c r="E85" s="1" t="s">
        <v>17</v>
      </c>
      <c r="F85" s="1" t="s">
        <v>22</v>
      </c>
      <c r="G85" s="6">
        <v>700</v>
      </c>
      <c r="H85" s="2">
        <v>45506</v>
      </c>
      <c r="I85" s="5" t="s">
        <v>420</v>
      </c>
      <c r="J85" s="4">
        <f>DATE(YEAR(tblAttendees[[#This Row],[Registration Date]]),MONTH(tblAttendees[[#This Row],[Registration Date]]),1)</f>
        <v>45505</v>
      </c>
    </row>
    <row r="86" spans="1:10" ht="14.25" customHeight="1" x14ac:dyDescent="0.3">
      <c r="A86" s="81" t="s">
        <v>348</v>
      </c>
      <c r="B86" s="1" t="s">
        <v>349</v>
      </c>
      <c r="C86" s="1" t="s">
        <v>350</v>
      </c>
      <c r="D86" s="81" t="s">
        <v>351</v>
      </c>
      <c r="E86" s="1" t="s">
        <v>11</v>
      </c>
      <c r="F86" s="1" t="s">
        <v>27</v>
      </c>
      <c r="G86" s="6">
        <v>300</v>
      </c>
      <c r="H86" s="2">
        <v>45513</v>
      </c>
      <c r="I86" s="5" t="s">
        <v>419</v>
      </c>
      <c r="J86" s="4">
        <f>DATE(YEAR(tblAttendees[[#This Row],[Registration Date]]),MONTH(tblAttendees[[#This Row],[Registration Date]]),1)</f>
        <v>45505</v>
      </c>
    </row>
    <row r="87" spans="1:10" ht="14.25" customHeight="1" x14ac:dyDescent="0.3">
      <c r="A87" s="81" t="s">
        <v>352</v>
      </c>
      <c r="B87" s="1" t="s">
        <v>353</v>
      </c>
      <c r="C87" s="1" t="s">
        <v>354</v>
      </c>
      <c r="D87" s="81" t="s">
        <v>355</v>
      </c>
      <c r="E87" s="1" t="s">
        <v>17</v>
      </c>
      <c r="F87" s="1" t="s">
        <v>12</v>
      </c>
      <c r="G87" s="6">
        <v>450</v>
      </c>
      <c r="H87" s="2">
        <v>45518</v>
      </c>
      <c r="I87" s="5" t="s">
        <v>418</v>
      </c>
      <c r="J87" s="4">
        <f>DATE(YEAR(tblAttendees[[#This Row],[Registration Date]]),MONTH(tblAttendees[[#This Row],[Registration Date]]),1)</f>
        <v>45505</v>
      </c>
    </row>
    <row r="88" spans="1:10" ht="14.25" customHeight="1" x14ac:dyDescent="0.3">
      <c r="A88" s="81" t="s">
        <v>356</v>
      </c>
      <c r="B88" s="1" t="s">
        <v>357</v>
      </c>
      <c r="C88" s="1" t="s">
        <v>358</v>
      </c>
      <c r="D88" s="81" t="s">
        <v>359</v>
      </c>
      <c r="E88" s="1" t="s">
        <v>11</v>
      </c>
      <c r="F88" s="1" t="s">
        <v>22</v>
      </c>
      <c r="G88" s="6">
        <v>700</v>
      </c>
      <c r="H88" s="2">
        <v>45526</v>
      </c>
      <c r="I88" s="5" t="s">
        <v>420</v>
      </c>
      <c r="J88" s="4">
        <f>DATE(YEAR(tblAttendees[[#This Row],[Registration Date]]),MONTH(tblAttendees[[#This Row],[Registration Date]]),1)</f>
        <v>45505</v>
      </c>
    </row>
    <row r="89" spans="1:10" ht="14.25" customHeight="1" x14ac:dyDescent="0.3">
      <c r="A89" s="81" t="s">
        <v>360</v>
      </c>
      <c r="B89" s="1" t="s">
        <v>361</v>
      </c>
      <c r="C89" s="1" t="s">
        <v>362</v>
      </c>
      <c r="D89" s="81" t="s">
        <v>363</v>
      </c>
      <c r="E89" s="1" t="s">
        <v>17</v>
      </c>
      <c r="F89" s="1" t="s">
        <v>27</v>
      </c>
      <c r="G89" s="6">
        <v>300</v>
      </c>
      <c r="H89" s="2">
        <v>45530</v>
      </c>
      <c r="I89" s="5" t="s">
        <v>420</v>
      </c>
      <c r="J89" s="4">
        <f>DATE(YEAR(tblAttendees[[#This Row],[Registration Date]]),MONTH(tblAttendees[[#This Row],[Registration Date]]),1)</f>
        <v>45505</v>
      </c>
    </row>
    <row r="90" spans="1:10" ht="14.25" customHeight="1" x14ac:dyDescent="0.3">
      <c r="A90" s="81" t="s">
        <v>364</v>
      </c>
      <c r="B90" s="1" t="s">
        <v>365</v>
      </c>
      <c r="C90" s="1" t="s">
        <v>366</v>
      </c>
      <c r="D90" s="81" t="s">
        <v>367</v>
      </c>
      <c r="E90" s="1" t="s">
        <v>11</v>
      </c>
      <c r="F90" s="1" t="s">
        <v>12</v>
      </c>
      <c r="G90" s="6">
        <v>450</v>
      </c>
      <c r="H90" s="2">
        <v>45533</v>
      </c>
      <c r="I90" s="5" t="s">
        <v>418</v>
      </c>
      <c r="J90" s="4">
        <f>DATE(YEAR(tblAttendees[[#This Row],[Registration Date]]),MONTH(tblAttendees[[#This Row],[Registration Date]]),1)</f>
        <v>45505</v>
      </c>
    </row>
    <row r="91" spans="1:10" ht="14.25" customHeight="1" x14ac:dyDescent="0.3">
      <c r="A91" s="81" t="s">
        <v>368</v>
      </c>
      <c r="B91" s="1" t="s">
        <v>369</v>
      </c>
      <c r="C91" s="1" t="s">
        <v>370</v>
      </c>
      <c r="D91" s="81" t="s">
        <v>371</v>
      </c>
      <c r="E91" s="1" t="s">
        <v>17</v>
      </c>
      <c r="F91" s="1" t="s">
        <v>22</v>
      </c>
      <c r="G91" s="6">
        <v>700</v>
      </c>
      <c r="H91" s="2">
        <v>45534</v>
      </c>
      <c r="I91" s="5" t="s">
        <v>419</v>
      </c>
      <c r="J91" s="4">
        <f>DATE(YEAR(tblAttendees[[#This Row],[Registration Date]]),MONTH(tblAttendees[[#This Row],[Registration Date]]),1)</f>
        <v>45505</v>
      </c>
    </row>
    <row r="92" spans="1:10" ht="14.25" customHeight="1" x14ac:dyDescent="0.3">
      <c r="A92" s="81" t="s">
        <v>372</v>
      </c>
      <c r="B92" s="1" t="s">
        <v>373</v>
      </c>
      <c r="C92" s="1" t="s">
        <v>374</v>
      </c>
      <c r="D92" s="81" t="s">
        <v>375</v>
      </c>
      <c r="E92" s="1" t="s">
        <v>11</v>
      </c>
      <c r="F92" s="1" t="s">
        <v>27</v>
      </c>
      <c r="G92" s="6">
        <v>300</v>
      </c>
      <c r="H92" s="2">
        <v>45560</v>
      </c>
      <c r="I92" s="5" t="s">
        <v>419</v>
      </c>
      <c r="J92" s="4">
        <f>DATE(YEAR(tblAttendees[[#This Row],[Registration Date]]),MONTH(tblAttendees[[#This Row],[Registration Date]]),1)</f>
        <v>45536</v>
      </c>
    </row>
    <row r="93" spans="1:10" ht="14.25" customHeight="1" x14ac:dyDescent="0.3">
      <c r="A93" s="81" t="s">
        <v>376</v>
      </c>
      <c r="B93" s="1" t="s">
        <v>377</v>
      </c>
      <c r="C93" s="1" t="s">
        <v>378</v>
      </c>
      <c r="D93" s="81" t="s">
        <v>379</v>
      </c>
      <c r="E93" s="1" t="s">
        <v>17</v>
      </c>
      <c r="F93" s="1" t="s">
        <v>12</v>
      </c>
      <c r="G93" s="6">
        <v>450</v>
      </c>
      <c r="H93" s="2">
        <v>45562</v>
      </c>
      <c r="I93" s="5" t="s">
        <v>418</v>
      </c>
      <c r="J93" s="4">
        <f>DATE(YEAR(tblAttendees[[#This Row],[Registration Date]]),MONTH(tblAttendees[[#This Row],[Registration Date]]),1)</f>
        <v>45536</v>
      </c>
    </row>
    <row r="94" spans="1:10" ht="14.25" customHeight="1" x14ac:dyDescent="0.3">
      <c r="A94" s="81" t="s">
        <v>380</v>
      </c>
      <c r="B94" s="1" t="s">
        <v>381</v>
      </c>
      <c r="C94" s="1" t="s">
        <v>382</v>
      </c>
      <c r="D94" s="81" t="s">
        <v>383</v>
      </c>
      <c r="E94" s="1" t="s">
        <v>11</v>
      </c>
      <c r="F94" s="1" t="s">
        <v>22</v>
      </c>
      <c r="G94" s="6">
        <v>700</v>
      </c>
      <c r="H94" s="2">
        <v>45566</v>
      </c>
      <c r="I94" s="5" t="s">
        <v>419</v>
      </c>
      <c r="J94" s="4">
        <f>DATE(YEAR(tblAttendees[[#This Row],[Registration Date]]),MONTH(tblAttendees[[#This Row],[Registration Date]]),1)</f>
        <v>45566</v>
      </c>
    </row>
    <row r="95" spans="1:10" ht="14.25" customHeight="1" x14ac:dyDescent="0.3">
      <c r="A95" s="81" t="s">
        <v>384</v>
      </c>
      <c r="B95" s="1" t="s">
        <v>385</v>
      </c>
      <c r="C95" s="1" t="s">
        <v>386</v>
      </c>
      <c r="D95" s="81" t="s">
        <v>387</v>
      </c>
      <c r="E95" s="1" t="s">
        <v>17</v>
      </c>
      <c r="F95" s="1" t="s">
        <v>27</v>
      </c>
      <c r="G95" s="6">
        <v>300</v>
      </c>
      <c r="H95" s="2">
        <v>45571</v>
      </c>
      <c r="I95" s="5" t="s">
        <v>420</v>
      </c>
      <c r="J95" s="4">
        <f>DATE(YEAR(tblAttendees[[#This Row],[Registration Date]]),MONTH(tblAttendees[[#This Row],[Registration Date]]),1)</f>
        <v>45566</v>
      </c>
    </row>
    <row r="96" spans="1:10" ht="14.25" customHeight="1" x14ac:dyDescent="0.3">
      <c r="A96" s="81" t="s">
        <v>388</v>
      </c>
      <c r="B96" s="1" t="s">
        <v>389</v>
      </c>
      <c r="C96" s="1" t="s">
        <v>390</v>
      </c>
      <c r="D96" s="81" t="s">
        <v>391</v>
      </c>
      <c r="E96" s="1" t="s">
        <v>11</v>
      </c>
      <c r="F96" s="1" t="s">
        <v>12</v>
      </c>
      <c r="G96" s="6">
        <v>450</v>
      </c>
      <c r="H96" s="2">
        <v>45581</v>
      </c>
      <c r="I96" s="5" t="s">
        <v>418</v>
      </c>
      <c r="J96" s="4">
        <f>DATE(YEAR(tblAttendees[[#This Row],[Registration Date]]),MONTH(tblAttendees[[#This Row],[Registration Date]]),1)</f>
        <v>45566</v>
      </c>
    </row>
    <row r="97" spans="1:10" ht="14.25" customHeight="1" x14ac:dyDescent="0.3">
      <c r="A97" s="81" t="s">
        <v>392</v>
      </c>
      <c r="B97" s="1" t="s">
        <v>393</v>
      </c>
      <c r="C97" s="1" t="s">
        <v>394</v>
      </c>
      <c r="D97" s="81" t="s">
        <v>395</v>
      </c>
      <c r="E97" s="1" t="s">
        <v>17</v>
      </c>
      <c r="F97" s="1" t="s">
        <v>22</v>
      </c>
      <c r="G97" s="6">
        <v>700</v>
      </c>
      <c r="H97" s="2">
        <v>45588</v>
      </c>
      <c r="I97" s="5" t="s">
        <v>417</v>
      </c>
      <c r="J97" s="4">
        <f>DATE(YEAR(tblAttendees[[#This Row],[Registration Date]]),MONTH(tblAttendees[[#This Row],[Registration Date]]),1)</f>
        <v>45566</v>
      </c>
    </row>
    <row r="98" spans="1:10" ht="14.25" customHeight="1" x14ac:dyDescent="0.3">
      <c r="A98" s="81" t="s">
        <v>396</v>
      </c>
      <c r="B98" s="1" t="s">
        <v>397</v>
      </c>
      <c r="C98" s="1" t="s">
        <v>398</v>
      </c>
      <c r="D98" s="81" t="s">
        <v>399</v>
      </c>
      <c r="E98" s="1" t="s">
        <v>11</v>
      </c>
      <c r="F98" s="1" t="s">
        <v>27</v>
      </c>
      <c r="G98" s="6">
        <v>300</v>
      </c>
      <c r="H98" s="2">
        <v>45590</v>
      </c>
      <c r="I98" s="5" t="s">
        <v>418</v>
      </c>
      <c r="J98" s="4">
        <f>DATE(YEAR(tblAttendees[[#This Row],[Registration Date]]),MONTH(tblAttendees[[#This Row],[Registration Date]]),1)</f>
        <v>45566</v>
      </c>
    </row>
    <row r="99" spans="1:10" ht="14.25" customHeight="1" x14ac:dyDescent="0.3">
      <c r="A99" s="81" t="s">
        <v>400</v>
      </c>
      <c r="B99" s="1" t="s">
        <v>401</v>
      </c>
      <c r="C99" s="1" t="s">
        <v>402</v>
      </c>
      <c r="D99" s="81" t="s">
        <v>403</v>
      </c>
      <c r="E99" s="1" t="s">
        <v>17</v>
      </c>
      <c r="F99" s="1" t="s">
        <v>12</v>
      </c>
      <c r="G99" s="6">
        <v>450</v>
      </c>
      <c r="H99" s="2">
        <v>45593</v>
      </c>
      <c r="I99" s="5" t="s">
        <v>418</v>
      </c>
      <c r="J99" s="4">
        <f>DATE(YEAR(tblAttendees[[#This Row],[Registration Date]]),MONTH(tblAttendees[[#This Row],[Registration Date]]),1)</f>
        <v>45566</v>
      </c>
    </row>
    <row r="100" spans="1:10" ht="14.25" customHeight="1" x14ac:dyDescent="0.3">
      <c r="A100" s="81" t="s">
        <v>404</v>
      </c>
      <c r="B100" s="1" t="s">
        <v>405</v>
      </c>
      <c r="C100" s="1" t="s">
        <v>406</v>
      </c>
      <c r="D100" s="81" t="s">
        <v>407</v>
      </c>
      <c r="E100" s="1" t="s">
        <v>11</v>
      </c>
      <c r="F100" s="1" t="s">
        <v>22</v>
      </c>
      <c r="G100" s="6">
        <v>700</v>
      </c>
      <c r="H100" s="2">
        <v>45598</v>
      </c>
      <c r="I100" s="5" t="s">
        <v>418</v>
      </c>
      <c r="J100" s="4">
        <f>DATE(YEAR(tblAttendees[[#This Row],[Registration Date]]),MONTH(tblAttendees[[#This Row],[Registration Date]]),1)</f>
        <v>45597</v>
      </c>
    </row>
    <row r="101" spans="1:10" ht="14.25" customHeight="1" x14ac:dyDescent="0.3">
      <c r="A101" s="81" t="s">
        <v>408</v>
      </c>
      <c r="B101" s="1" t="s">
        <v>409</v>
      </c>
      <c r="C101" s="1" t="s">
        <v>410</v>
      </c>
      <c r="D101" s="81" t="s">
        <v>411</v>
      </c>
      <c r="E101" s="1" t="s">
        <v>17</v>
      </c>
      <c r="F101" s="1" t="s">
        <v>27</v>
      </c>
      <c r="G101" s="6">
        <v>300</v>
      </c>
      <c r="H101" s="2">
        <v>45605</v>
      </c>
      <c r="I101" s="5" t="s">
        <v>418</v>
      </c>
      <c r="J101" s="4">
        <f>DATE(YEAR(tblAttendees[[#This Row],[Registration Date]]),MONTH(tblAttendees[[#This Row],[Registration Date]]),1)</f>
        <v>45597</v>
      </c>
    </row>
    <row r="102" spans="1:10" ht="14.25" customHeight="1" x14ac:dyDescent="0.3"/>
    <row r="103" spans="1:10" ht="14.25" customHeight="1" x14ac:dyDescent="0.3"/>
    <row r="104" spans="1:10" ht="14.25" customHeight="1" x14ac:dyDescent="0.3"/>
    <row r="105" spans="1:10" ht="14.25" customHeight="1" x14ac:dyDescent="0.3"/>
    <row r="106" spans="1:10" ht="14.25" customHeight="1" x14ac:dyDescent="0.3"/>
    <row r="107" spans="1:10" ht="14.25" customHeight="1" x14ac:dyDescent="0.3"/>
    <row r="108" spans="1:10" ht="14.25" customHeight="1" x14ac:dyDescent="0.3"/>
    <row r="109" spans="1:10" ht="14.25" customHeight="1" x14ac:dyDescent="0.3"/>
    <row r="110" spans="1:10" ht="14.25" customHeight="1" x14ac:dyDescent="0.3"/>
    <row r="111" spans="1:10" ht="14.25" customHeight="1" x14ac:dyDescent="0.3"/>
    <row r="112" spans="1:10"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dataValidations count="3">
    <dataValidation type="list" allowBlank="1" showInputMessage="1" showErrorMessage="1" errorTitle="Valor no válido" error="Elegir un valor de la lista desplegable." sqref="E2:E101" xr:uid="{4D79A001-ED0C-4EA9-8DDC-C5BB691663A3}">
      <formula1>AttendanceOptions</formula1>
    </dataValidation>
    <dataValidation type="list" allowBlank="1" showInputMessage="1" showErrorMessage="1" errorTitle="Valor no válido" error="Elegir un valor de la lista desplegable." sqref="F2:F101" xr:uid="{A0603A5B-A83E-495F-B3EE-F313D166108C}">
      <formula1>SessionOptions</formula1>
    </dataValidation>
    <dataValidation type="list" allowBlank="1" showInputMessage="1" showErrorMessage="1" errorTitle="Valor no válido" error="Elegir un valor de la lista desplegable." sqref="I2:I101" xr:uid="{FB6E480B-B6EA-4D6C-8EF2-B5E56D0D22A0}">
      <formula1>DietaryOptions</formula1>
    </dataValidation>
  </dataValidations>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8" r:id="rId3" name="btnOpenAttendeeFormDB">
              <controlPr defaultSize="0" print="0" autoFill="0" autoPict="0" macro="ShowAttendeeForm" altText="Registrar o editar asistente">
                <anchor>
                  <from>
                    <xdr:col>11</xdr:col>
                    <xdr:colOff>121920</xdr:colOff>
                    <xdr:row>0</xdr:row>
                    <xdr:rowOff>60960</xdr:rowOff>
                  </from>
                  <to>
                    <xdr:col>14</xdr:col>
                    <xdr:colOff>243840</xdr:colOff>
                    <xdr:row>0</xdr:row>
                    <xdr:rowOff>441960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64748B"/>
  </sheetPr>
  <dimension ref="B1:J1000"/>
  <sheetViews>
    <sheetView zoomScaleNormal="100" workbookViewId="0"/>
  </sheetViews>
  <sheetFormatPr defaultColWidth="14.44140625" defaultRowHeight="15" customHeight="1" x14ac:dyDescent="0.3"/>
  <cols>
    <col min="1" max="1" width="8.6640625" customWidth="1"/>
    <col min="2" max="2" width="16.44140625" customWidth="1"/>
    <col min="3" max="3" width="9.88671875" customWidth="1"/>
    <col min="4" max="4" width="8.6640625" customWidth="1"/>
    <col min="5" max="5" width="20.88671875" customWidth="1"/>
    <col min="6" max="6" width="17.6640625" customWidth="1"/>
    <col min="7" max="7" width="3.77734375" customWidth="1"/>
    <col min="8" max="8" width="21" customWidth="1"/>
    <col min="9" max="9" width="3.77734375" customWidth="1"/>
    <col min="10" max="10" width="19.44140625" customWidth="1"/>
    <col min="11" max="26" width="8.6640625" customWidth="1"/>
    <col min="60" max="60" width="14.44140625" customWidth="1"/>
  </cols>
  <sheetData>
    <row r="1" spans="2:10" ht="14.25" customHeight="1" x14ac:dyDescent="0.35">
      <c r="E1" s="8" t="s">
        <v>422</v>
      </c>
    </row>
    <row r="2" spans="2:10" ht="14.25" customHeight="1" x14ac:dyDescent="0.35">
      <c r="B2" s="1" t="s">
        <v>412</v>
      </c>
      <c r="C2" s="3">
        <v>45000</v>
      </c>
      <c r="E2" s="7" t="s">
        <v>4</v>
      </c>
      <c r="F2" s="7" t="s">
        <v>5</v>
      </c>
      <c r="H2" s="7" t="s">
        <v>416</v>
      </c>
      <c r="J2" s="7" t="s">
        <v>3</v>
      </c>
    </row>
    <row r="3" spans="2:10" ht="14.25" customHeight="1" x14ac:dyDescent="0.35">
      <c r="E3" s="7" t="s">
        <v>27</v>
      </c>
      <c r="F3" s="9">
        <v>300</v>
      </c>
      <c r="H3" s="7" t="s">
        <v>418</v>
      </c>
      <c r="J3" s="7" t="s">
        <v>11</v>
      </c>
    </row>
    <row r="4" spans="2:10" ht="14.25" customHeight="1" x14ac:dyDescent="0.35">
      <c r="B4" s="1" t="s">
        <v>413</v>
      </c>
      <c r="C4" s="3">
        <v>9000</v>
      </c>
      <c r="E4" s="7" t="s">
        <v>12</v>
      </c>
      <c r="F4" s="9">
        <v>450</v>
      </c>
      <c r="H4" s="7" t="s">
        <v>420</v>
      </c>
      <c r="J4" s="7" t="s">
        <v>17</v>
      </c>
    </row>
    <row r="5" spans="2:10" ht="14.25" customHeight="1" x14ac:dyDescent="0.35">
      <c r="C5" s="3"/>
      <c r="E5" s="7" t="s">
        <v>22</v>
      </c>
      <c r="F5" s="9">
        <v>700</v>
      </c>
      <c r="H5" s="7" t="s">
        <v>417</v>
      </c>
    </row>
    <row r="6" spans="2:10" ht="14.25" customHeight="1" x14ac:dyDescent="0.35">
      <c r="B6" s="1" t="s">
        <v>414</v>
      </c>
      <c r="C6" s="3">
        <v>4300</v>
      </c>
      <c r="H6" s="7" t="s">
        <v>419</v>
      </c>
    </row>
    <row r="7" spans="2:10" ht="14.25" customHeight="1" x14ac:dyDescent="0.3"/>
    <row r="8" spans="2:10" ht="14.25" customHeight="1" x14ac:dyDescent="0.3">
      <c r="B8" s="10" t="s">
        <v>423</v>
      </c>
    </row>
    <row r="9" spans="2:10" ht="14.25" customHeight="1" x14ac:dyDescent="0.3"/>
    <row r="10" spans="2:10" ht="28.05" customHeight="1" x14ac:dyDescent="0.3">
      <c r="B10" s="229" t="str">
        <f>"En este archivo, el escenario de desafío presupuestario (Tarea 7) usa marketing "&amp;FIXED('Cuadro de Mando Actualizado'!G52,0)&amp;" €, costos operativos "&amp;FIXED('Cuadro de Mando Actualizado'!G53,0)&amp;" € y beneficio objetivo "&amp;FIXED('Cuadro de Mando Actualizado'!G54,0)&amp;" €. Están en la hoja Cuadro de Mando Actualizado (G52:G54). "&amp;"Los valores de arriba siguen alimentando el Cuadro de mando del evento."</f>
        <v>En este archivo, el escenario de desafío presupuestario (Tarea 7) usa marketing 10,000 €, costos operativos 25,000 € y beneficio objetivo 100,000 €. Están en la hoja Cuadro de Mando Actualizado (G52:G54). Los valores de arriba siguen alimentando el Cuadro de mando del evento.</v>
      </c>
      <c r="C10" s="229"/>
      <c r="D10" s="229"/>
      <c r="E10" s="229"/>
      <c r="F10" s="229"/>
      <c r="G10" s="229"/>
      <c r="H10" s="229"/>
      <c r="I10" s="229"/>
      <c r="J10" s="229"/>
    </row>
    <row r="11" spans="2:10" ht="14.25" customHeight="1" x14ac:dyDescent="0.3"/>
    <row r="12" spans="2:10" ht="14.25" customHeight="1" x14ac:dyDescent="0.3"/>
    <row r="13" spans="2:10" ht="14.25" customHeight="1" x14ac:dyDescent="0.3"/>
    <row r="14" spans="2:10" ht="14.25" customHeight="1" x14ac:dyDescent="0.3"/>
    <row r="15" spans="2:10" ht="14.25" customHeight="1" x14ac:dyDescent="0.3"/>
    <row r="16" spans="2:10"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mergeCells count="1">
    <mergeCell ref="B10:J10"/>
  </mergeCells>
  <pageMargins left="0.7" right="0.7" top="0.75" bottom="0.75" header="0" footer="0"/>
  <pageSetup orientation="landscape"/>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FCBDB-7457-46A4-8419-CC9347E6D714}">
  <sheetPr codeName="Sheet4">
    <tabColor rgb="FF0F766E"/>
  </sheetPr>
  <dimension ref="B1:M94"/>
  <sheetViews>
    <sheetView showGridLines="0" zoomScale="90" zoomScaleNormal="90" workbookViewId="0"/>
  </sheetViews>
  <sheetFormatPr defaultRowHeight="15" x14ac:dyDescent="0.3"/>
  <cols>
    <col min="1" max="1" width="3.33203125" style="11" customWidth="1"/>
    <col min="2" max="3" width="12.77734375" style="11" customWidth="1"/>
    <col min="4" max="4" width="16.77734375" style="11" customWidth="1"/>
    <col min="5" max="5" width="13.77734375" style="11" customWidth="1"/>
    <col min="6" max="6" width="16.77734375" style="11" customWidth="1"/>
    <col min="7" max="7" width="3.77734375" style="11" customWidth="1"/>
    <col min="8" max="8" width="20.77734375" style="11" customWidth="1"/>
    <col min="9" max="9" width="16.77734375" style="11" customWidth="1"/>
    <col min="10" max="11" width="15.77734375" style="11" customWidth="1"/>
    <col min="12" max="13" width="17.77734375" style="11" customWidth="1"/>
    <col min="14" max="16384" width="8.88671875" style="11"/>
  </cols>
  <sheetData>
    <row r="1" spans="2:13" ht="24.6" x14ac:dyDescent="0.3">
      <c r="B1" s="12" t="s">
        <v>424</v>
      </c>
    </row>
    <row r="2" spans="2:13" x14ac:dyDescent="0.3">
      <c r="B2" s="13" t="s">
        <v>425</v>
      </c>
    </row>
    <row r="3" spans="2:13" x14ac:dyDescent="0.3">
      <c r="B3" s="85" t="str">
        <f>"Resultado: se prevén "&amp;I19&amp;" asistentes para los próximos 12 meses (I19). Para el beneficio objetivo de "&amp;FIXED(F68,0)&amp;" € hace falta un precio medio de "&amp;FIXED(F77,2)&amp;" € (F77) o "&amp;M82&amp;" asistentes (M82)."</f>
        <v>Resultado: se prevén 63 asistentes para los próximos 12 meses (I19). Para el beneficio objetivo de 45,000 € hace falta un precio medio de 925.40 € (F77) o 121 asistentes (M82).</v>
      </c>
    </row>
    <row r="4" spans="2:13" ht="19.2" x14ac:dyDescent="0.3">
      <c r="B4" s="14" t="s">
        <v>426</v>
      </c>
      <c r="H4" s="14" t="s">
        <v>440</v>
      </c>
    </row>
    <row r="5" spans="2:13" ht="76.95" customHeight="1" x14ac:dyDescent="0.3">
      <c r="B5" s="25" t="s">
        <v>427</v>
      </c>
      <c r="C5" s="25" t="s">
        <v>428</v>
      </c>
      <c r="D5" s="25" t="s">
        <v>429</v>
      </c>
      <c r="E5" s="25" t="s">
        <v>430</v>
      </c>
      <c r="F5" s="25" t="s">
        <v>431</v>
      </c>
      <c r="H5" s="25" t="s">
        <v>427</v>
      </c>
      <c r="I5" s="25" t="s">
        <v>441</v>
      </c>
      <c r="J5" s="25" t="s">
        <v>442</v>
      </c>
      <c r="K5" s="25" t="s">
        <v>443</v>
      </c>
      <c r="L5" s="25" t="s">
        <v>444</v>
      </c>
      <c r="M5" s="25" t="s">
        <v>445</v>
      </c>
    </row>
    <row r="6" spans="2:13" ht="31.95" customHeight="1" x14ac:dyDescent="0.3">
      <c r="B6" s="26">
        <f>DATE(2022,11,1)</f>
        <v>44866</v>
      </c>
      <c r="C6" s="27">
        <f>COUNTIFS(tblAttendees[Registration Date],"&gt;="&amp;B6,tblAttendees[Registration Date],"&lt;="&amp;EOMONTH(B6,0))</f>
        <v>1</v>
      </c>
      <c r="D6" s="28">
        <f>SUMIFS(tblAttendees[Ticket Price (€)],tblAttendees[Registration Date],"&gt;="&amp;B6,tblAttendees[Registration Date],"&lt;="&amp;EOMONTH(B6,0))</f>
        <v>450</v>
      </c>
      <c r="E6" s="29">
        <f t="shared" ref="E6:E30" si="0">IF(C6=0,0,D6/C6)</f>
        <v>450</v>
      </c>
      <c r="F6" s="30" t="s">
        <v>432</v>
      </c>
      <c r="H6" s="31">
        <f>EDATE(B29,1)</f>
        <v>45597</v>
      </c>
      <c r="I6" s="50">
        <f t="shared" ref="I6:I17" si="1">_xlfn.FORECAST.ETS(H6,$C$7:$C$29,$B$7:$B$29,1)</f>
        <v>4.997937280378582</v>
      </c>
      <c r="J6" s="50">
        <f t="shared" ref="J6:J17" si="2">MAX(0,I6-_xlfn.FORECAST.ETS.CONFINT(H6,$C$7:$C$29,$B$7:$B$29,0.95,1))</f>
        <v>0.83324592276640708</v>
      </c>
      <c r="K6" s="50">
        <f t="shared" ref="K6:K17" si="3">I6+_xlfn.FORECAST.ETS.CONFINT(H6,$C$7:$C$29,$B$7:$B$29,0.95,1)</f>
        <v>9.1626286379907569</v>
      </c>
      <c r="L6" s="51">
        <f t="shared" ref="L6:L17" si="4">_xlfn.FORECAST.LINEAR(H6,$C$7:$C$29,$B$7:$B$29)</f>
        <v>4.792854002306612</v>
      </c>
      <c r="M6" s="51">
        <f t="shared" ref="M6:M17" si="5">_xlfn.FORECAST.ETS(H6,$C$7:$C$29,$B$7:$B$29,12)</f>
        <v>3.1190459435203808</v>
      </c>
    </row>
    <row r="7" spans="2:13" x14ac:dyDescent="0.3">
      <c r="B7" s="31">
        <f t="shared" ref="B7:B30" si="6">EDATE(B6,1)</f>
        <v>44896</v>
      </c>
      <c r="C7" s="32">
        <f>COUNTIFS(tblAttendees[Registration Date],"&gt;="&amp;B7,tblAttendees[Registration Date],"&lt;="&amp;EOMONTH(B7,0))</f>
        <v>4</v>
      </c>
      <c r="D7" s="33">
        <f>SUMIFS(tblAttendees[Ticket Price (€)],tblAttendees[Registration Date],"&gt;="&amp;B7,tblAttendees[Registration Date],"&lt;="&amp;EOMONTH(B7,0))</f>
        <v>1900</v>
      </c>
      <c r="E7" s="34">
        <f t="shared" si="0"/>
        <v>475</v>
      </c>
      <c r="F7" s="35" t="s">
        <v>433</v>
      </c>
      <c r="H7" s="31">
        <f t="shared" ref="H7:H17" si="7">EDATE(H6,1)</f>
        <v>45627</v>
      </c>
      <c r="I7" s="50">
        <f t="shared" si="1"/>
        <v>5.0390425534469436</v>
      </c>
      <c r="J7" s="50">
        <f t="shared" si="2"/>
        <v>0.87433245476582666</v>
      </c>
      <c r="K7" s="50">
        <f t="shared" si="3"/>
        <v>9.2037526521280597</v>
      </c>
      <c r="L7" s="51">
        <f t="shared" si="4"/>
        <v>4.8399838849881149</v>
      </c>
      <c r="M7" s="51">
        <f t="shared" si="5"/>
        <v>3.1155152962195687</v>
      </c>
    </row>
    <row r="8" spans="2:13" x14ac:dyDescent="0.3">
      <c r="B8" s="31">
        <f t="shared" si="6"/>
        <v>44927</v>
      </c>
      <c r="C8" s="32">
        <f>COUNTIFS(tblAttendees[Registration Date],"&gt;="&amp;B8,tblAttendees[Registration Date],"&lt;="&amp;EOMONTH(B8,0))</f>
        <v>3</v>
      </c>
      <c r="D8" s="33">
        <f>SUMIFS(tblAttendees[Ticket Price (€)],tblAttendees[Registration Date],"&gt;="&amp;B8,tblAttendees[Registration Date],"&lt;="&amp;EOMONTH(B8,0))</f>
        <v>1450</v>
      </c>
      <c r="E8" s="34">
        <f t="shared" si="0"/>
        <v>483.33333333333331</v>
      </c>
      <c r="F8" s="35" t="s">
        <v>433</v>
      </c>
      <c r="H8" s="31">
        <f t="shared" si="7"/>
        <v>45658</v>
      </c>
      <c r="I8" s="50">
        <f t="shared" si="1"/>
        <v>5.0801478265152973</v>
      </c>
      <c r="J8" s="50">
        <f t="shared" si="2"/>
        <v>0.91540441058651467</v>
      </c>
      <c r="K8" s="50">
        <f t="shared" si="3"/>
        <v>9.2448912424440799</v>
      </c>
      <c r="L8" s="51">
        <f t="shared" si="4"/>
        <v>4.8886847637589881</v>
      </c>
      <c r="M8" s="51">
        <f t="shared" si="5"/>
        <v>6.98550183665402</v>
      </c>
    </row>
    <row r="9" spans="2:13" x14ac:dyDescent="0.3">
      <c r="B9" s="31">
        <f t="shared" si="6"/>
        <v>44958</v>
      </c>
      <c r="C9" s="32">
        <f>COUNTIFS(tblAttendees[Registration Date],"&gt;="&amp;B9,tblAttendees[Registration Date],"&lt;="&amp;EOMONTH(B9,0))</f>
        <v>8</v>
      </c>
      <c r="D9" s="33">
        <f>SUMIFS(tblAttendees[Ticket Price (€)],tblAttendees[Registration Date],"&gt;="&amp;B9,tblAttendees[Registration Date],"&lt;="&amp;EOMONTH(B9,0))</f>
        <v>3900</v>
      </c>
      <c r="E9" s="34">
        <f t="shared" si="0"/>
        <v>487.5</v>
      </c>
      <c r="F9" s="35" t="s">
        <v>433</v>
      </c>
      <c r="H9" s="31">
        <f t="shared" si="7"/>
        <v>45689</v>
      </c>
      <c r="I9" s="50">
        <f t="shared" si="1"/>
        <v>5.1212530995836589</v>
      </c>
      <c r="J9" s="50">
        <f t="shared" si="2"/>
        <v>0.95645762598897743</v>
      </c>
      <c r="K9" s="50">
        <f t="shared" si="3"/>
        <v>9.2860485731783413</v>
      </c>
      <c r="L9" s="51">
        <f t="shared" si="4"/>
        <v>4.9373856425298612</v>
      </c>
      <c r="M9" s="51">
        <f t="shared" si="5"/>
        <v>9.7313775987083382</v>
      </c>
    </row>
    <row r="10" spans="2:13" x14ac:dyDescent="0.3">
      <c r="B10" s="31">
        <f t="shared" si="6"/>
        <v>44986</v>
      </c>
      <c r="C10" s="32">
        <f>COUNTIFS(tblAttendees[Registration Date],"&gt;="&amp;B10,tblAttendees[Registration Date],"&lt;="&amp;EOMONTH(B10,0))</f>
        <v>1</v>
      </c>
      <c r="D10" s="33">
        <f>SUMIFS(tblAttendees[Ticket Price (€)],tblAttendees[Registration Date],"&gt;="&amp;B10,tblAttendees[Registration Date],"&lt;="&amp;EOMONTH(B10,0))</f>
        <v>450</v>
      </c>
      <c r="E10" s="34">
        <f t="shared" si="0"/>
        <v>450</v>
      </c>
      <c r="F10" s="35" t="s">
        <v>433</v>
      </c>
      <c r="H10" s="31">
        <f t="shared" si="7"/>
        <v>45717</v>
      </c>
      <c r="I10" s="50">
        <f t="shared" si="1"/>
        <v>5.1623583726520126</v>
      </c>
      <c r="J10" s="50">
        <f t="shared" si="2"/>
        <v>0.99748793716155237</v>
      </c>
      <c r="K10" s="50">
        <f t="shared" si="3"/>
        <v>9.3272288081424719</v>
      </c>
      <c r="L10" s="51">
        <f t="shared" si="4"/>
        <v>4.9813735330325812</v>
      </c>
      <c r="M10" s="51">
        <f t="shared" si="5"/>
        <v>5.2342416667921974</v>
      </c>
    </row>
    <row r="11" spans="2:13" x14ac:dyDescent="0.3">
      <c r="B11" s="31">
        <f t="shared" si="6"/>
        <v>45017</v>
      </c>
      <c r="C11" s="32">
        <f>COUNTIFS(tblAttendees[Registration Date],"&gt;="&amp;B11,tblAttendees[Registration Date],"&lt;="&amp;EOMONTH(B11,0))</f>
        <v>6</v>
      </c>
      <c r="D11" s="33">
        <f>SUMIFS(tblAttendees[Ticket Price (€)],tblAttendees[Registration Date],"&gt;="&amp;B11,tblAttendees[Registration Date],"&lt;="&amp;EOMONTH(B11,0))</f>
        <v>2900</v>
      </c>
      <c r="E11" s="34">
        <f t="shared" si="0"/>
        <v>483.33333333333331</v>
      </c>
      <c r="F11" s="35" t="s">
        <v>433</v>
      </c>
      <c r="H11" s="31">
        <f t="shared" si="7"/>
        <v>45748</v>
      </c>
      <c r="I11" s="50">
        <f t="shared" si="1"/>
        <v>5.2034636457203742</v>
      </c>
      <c r="J11" s="50">
        <f t="shared" si="2"/>
        <v>1.0384911809286077</v>
      </c>
      <c r="K11" s="50">
        <f t="shared" si="3"/>
        <v>9.3684361105121408</v>
      </c>
      <c r="L11" s="51">
        <f t="shared" si="4"/>
        <v>5.0300744118034544</v>
      </c>
      <c r="M11" s="51">
        <f t="shared" si="5"/>
        <v>4.6945568069249362</v>
      </c>
    </row>
    <row r="12" spans="2:13" x14ac:dyDescent="0.3">
      <c r="B12" s="31">
        <f t="shared" si="6"/>
        <v>45047</v>
      </c>
      <c r="C12" s="32">
        <f>COUNTIFS(tblAttendees[Registration Date],"&gt;="&amp;B12,tblAttendees[Registration Date],"&lt;="&amp;EOMONTH(B12,0))</f>
        <v>3</v>
      </c>
      <c r="D12" s="33">
        <f>SUMIFS(tblAttendees[Ticket Price (€)],tblAttendees[Registration Date],"&gt;="&amp;B12,tblAttendees[Registration Date],"&lt;="&amp;EOMONTH(B12,0))</f>
        <v>1450</v>
      </c>
      <c r="E12" s="34">
        <f t="shared" si="0"/>
        <v>483.33333333333331</v>
      </c>
      <c r="F12" s="35" t="s">
        <v>433</v>
      </c>
      <c r="H12" s="31">
        <f t="shared" si="7"/>
        <v>45778</v>
      </c>
      <c r="I12" s="50">
        <f t="shared" si="1"/>
        <v>5.2445689187887279</v>
      </c>
      <c r="J12" s="50">
        <f t="shared" si="2"/>
        <v>1.0794631950001623</v>
      </c>
      <c r="K12" s="50">
        <f t="shared" si="3"/>
        <v>9.4096746425772935</v>
      </c>
      <c r="L12" s="51">
        <f t="shared" si="4"/>
        <v>5.0772042944849431</v>
      </c>
      <c r="M12" s="51">
        <f t="shared" si="5"/>
        <v>4.2951088313592773</v>
      </c>
    </row>
    <row r="13" spans="2:13" x14ac:dyDescent="0.3">
      <c r="B13" s="31">
        <f t="shared" si="6"/>
        <v>45078</v>
      </c>
      <c r="C13" s="32">
        <f>COUNTIFS(tblAttendees[Registration Date],"&gt;="&amp;B13,tblAttendees[Registration Date],"&lt;="&amp;EOMONTH(B13,0))</f>
        <v>2</v>
      </c>
      <c r="D13" s="33">
        <f>SUMIFS(tblAttendees[Ticket Price (€)],tblAttendees[Registration Date],"&gt;="&amp;B13,tblAttendees[Registration Date],"&lt;="&amp;EOMONTH(B13,0))</f>
        <v>1000</v>
      </c>
      <c r="E13" s="34">
        <f t="shared" si="0"/>
        <v>500</v>
      </c>
      <c r="F13" s="35" t="s">
        <v>433</v>
      </c>
      <c r="H13" s="31">
        <f t="shared" si="7"/>
        <v>45809</v>
      </c>
      <c r="I13" s="50">
        <f t="shared" si="1"/>
        <v>5.2856741918570895</v>
      </c>
      <c r="J13" s="50">
        <f t="shared" si="2"/>
        <v>1.1203998182631114</v>
      </c>
      <c r="K13" s="50">
        <f t="shared" si="3"/>
        <v>9.4509485654510677</v>
      </c>
      <c r="L13" s="51">
        <f t="shared" si="4"/>
        <v>5.1259051732558163</v>
      </c>
      <c r="M13" s="51">
        <f t="shared" si="5"/>
        <v>5.4352187075067633</v>
      </c>
    </row>
    <row r="14" spans="2:13" x14ac:dyDescent="0.3">
      <c r="B14" s="31">
        <f t="shared" si="6"/>
        <v>45108</v>
      </c>
      <c r="C14" s="32">
        <f>COUNTIFS(tblAttendees[Registration Date],"&gt;="&amp;B14,tblAttendees[Registration Date],"&lt;="&amp;EOMONTH(B14,0))</f>
        <v>5</v>
      </c>
      <c r="D14" s="33">
        <f>SUMIFS(tblAttendees[Ticket Price (€)],tblAttendees[Registration Date],"&gt;="&amp;B14,tblAttendees[Registration Date],"&lt;="&amp;EOMONTH(B14,0))</f>
        <v>2600</v>
      </c>
      <c r="E14" s="34">
        <f t="shared" si="0"/>
        <v>520</v>
      </c>
      <c r="F14" s="35" t="s">
        <v>433</v>
      </c>
      <c r="H14" s="31">
        <f t="shared" si="7"/>
        <v>45839</v>
      </c>
      <c r="I14" s="50">
        <f t="shared" si="1"/>
        <v>5.3267794649254432</v>
      </c>
      <c r="J14" s="50">
        <f t="shared" si="2"/>
        <v>1.1612968911137216</v>
      </c>
      <c r="K14" s="50">
        <f t="shared" si="3"/>
        <v>9.4922620387371648</v>
      </c>
      <c r="L14" s="51">
        <f t="shared" si="4"/>
        <v>5.1730350559373193</v>
      </c>
      <c r="M14" s="51">
        <f t="shared" si="5"/>
        <v>5.2524668849219243</v>
      </c>
    </row>
    <row r="15" spans="2:13" x14ac:dyDescent="0.3">
      <c r="B15" s="31">
        <f t="shared" si="6"/>
        <v>45139</v>
      </c>
      <c r="C15" s="32">
        <f>COUNTIFS(tblAttendees[Registration Date],"&gt;="&amp;B15,tblAttendees[Registration Date],"&lt;="&amp;EOMONTH(B15,0))</f>
        <v>3</v>
      </c>
      <c r="D15" s="33">
        <f>SUMIFS(tblAttendees[Ticket Price (€)],tblAttendees[Registration Date],"&gt;="&amp;B15,tblAttendees[Registration Date],"&lt;="&amp;EOMONTH(B15,0))</f>
        <v>1450</v>
      </c>
      <c r="E15" s="34">
        <f t="shared" si="0"/>
        <v>483.33333333333331</v>
      </c>
      <c r="F15" s="35" t="s">
        <v>433</v>
      </c>
      <c r="H15" s="31">
        <f t="shared" si="7"/>
        <v>45870</v>
      </c>
      <c r="I15" s="50">
        <f t="shared" si="1"/>
        <v>5.3678847379938048</v>
      </c>
      <c r="J15" s="50">
        <f t="shared" si="2"/>
        <v>1.2021502558315378</v>
      </c>
      <c r="K15" s="50">
        <f t="shared" si="3"/>
        <v>9.5336192201560728</v>
      </c>
      <c r="L15" s="51">
        <f t="shared" si="4"/>
        <v>5.2217359347081924</v>
      </c>
      <c r="M15" s="51">
        <f t="shared" si="5"/>
        <v>6.5253800403491189</v>
      </c>
    </row>
    <row r="16" spans="2:13" x14ac:dyDescent="0.3">
      <c r="B16" s="31">
        <f t="shared" si="6"/>
        <v>45170</v>
      </c>
      <c r="C16" s="32">
        <f>COUNTIFS(tblAttendees[Registration Date],"&gt;="&amp;B16,tblAttendees[Registration Date],"&lt;="&amp;EOMONTH(B16,0))</f>
        <v>3</v>
      </c>
      <c r="D16" s="33">
        <f>SUMIFS(tblAttendees[Ticket Price (€)],tblAttendees[Registration Date],"&gt;="&amp;B16,tblAttendees[Registration Date],"&lt;="&amp;EOMONTH(B16,0))</f>
        <v>1450</v>
      </c>
      <c r="E16" s="34">
        <f t="shared" si="0"/>
        <v>483.33333333333331</v>
      </c>
      <c r="F16" s="35" t="s">
        <v>433</v>
      </c>
      <c r="H16" s="31">
        <f t="shared" si="7"/>
        <v>45901</v>
      </c>
      <c r="I16" s="50">
        <f t="shared" si="1"/>
        <v>5.4089900110621585</v>
      </c>
      <c r="J16" s="50">
        <f t="shared" si="2"/>
        <v>1.2429557569943004</v>
      </c>
      <c r="K16" s="50">
        <f t="shared" si="3"/>
        <v>9.5750242651300166</v>
      </c>
      <c r="L16" s="51">
        <f t="shared" si="4"/>
        <v>5.2704368134790656</v>
      </c>
      <c r="M16" s="51">
        <f t="shared" si="5"/>
        <v>3.8679332311430157</v>
      </c>
    </row>
    <row r="17" spans="2:13" x14ac:dyDescent="0.3">
      <c r="B17" s="31">
        <f t="shared" si="6"/>
        <v>45200</v>
      </c>
      <c r="C17" s="32">
        <f>COUNTIFS(tblAttendees[Registration Date],"&gt;="&amp;B17,tblAttendees[Registration Date],"&lt;="&amp;EOMONTH(B17,0))</f>
        <v>4</v>
      </c>
      <c r="D17" s="33">
        <f>SUMIFS(tblAttendees[Ticket Price (€)],tblAttendees[Registration Date],"&gt;="&amp;B17,tblAttendees[Registration Date],"&lt;="&amp;EOMONTH(B17,0))</f>
        <v>1750</v>
      </c>
      <c r="E17" s="34">
        <f t="shared" si="0"/>
        <v>437.5</v>
      </c>
      <c r="F17" s="35" t="s">
        <v>433</v>
      </c>
      <c r="H17" s="47">
        <f t="shared" si="7"/>
        <v>45931</v>
      </c>
      <c r="I17" s="52">
        <f t="shared" si="1"/>
        <v>5.4500952841305201</v>
      </c>
      <c r="J17" s="52">
        <f t="shared" si="2"/>
        <v>1.2837092419339573</v>
      </c>
      <c r="K17" s="52">
        <f t="shared" si="3"/>
        <v>9.616481326327083</v>
      </c>
      <c r="L17" s="53">
        <f t="shared" si="4"/>
        <v>5.3175666961605543</v>
      </c>
      <c r="M17" s="53">
        <f t="shared" si="5"/>
        <v>6.4791183141643272</v>
      </c>
    </row>
    <row r="18" spans="2:13" ht="15" customHeight="1" x14ac:dyDescent="0.3">
      <c r="B18" s="31">
        <f t="shared" si="6"/>
        <v>45231</v>
      </c>
      <c r="C18" s="32">
        <f>COUNTIFS(tblAttendees[Registration Date],"&gt;="&amp;B18,tblAttendees[Registration Date],"&lt;="&amp;EOMONTH(B18,0))</f>
        <v>2</v>
      </c>
      <c r="D18" s="33">
        <f>SUMIFS(tblAttendees[Ticket Price (€)],tblAttendees[Registration Date],"&gt;="&amp;B18,tblAttendees[Registration Date],"&lt;="&amp;EOMONTH(B18,0))</f>
        <v>1150</v>
      </c>
      <c r="E18" s="34">
        <f t="shared" si="0"/>
        <v>575</v>
      </c>
      <c r="F18" s="35" t="s">
        <v>433</v>
      </c>
      <c r="H18" s="88" t="s">
        <v>446</v>
      </c>
      <c r="I18" s="55">
        <f>SUM(I6:I17)</f>
        <v>62.688195387054613</v>
      </c>
      <c r="J18" s="54"/>
      <c r="K18" s="54"/>
      <c r="L18" s="54">
        <f>SUM(L6:L17)</f>
        <v>60.656240206445503</v>
      </c>
      <c r="M18" s="54">
        <f>SUM(M6:M17)</f>
        <v>64.735465158263864</v>
      </c>
    </row>
    <row r="19" spans="2:13" ht="16.95" customHeight="1" x14ac:dyDescent="0.3">
      <c r="B19" s="31">
        <f t="shared" si="6"/>
        <v>45261</v>
      </c>
      <c r="C19" s="32">
        <f>COUNTIFS(tblAttendees[Registration Date],"&gt;="&amp;B19,tblAttendees[Registration Date],"&lt;="&amp;EOMONTH(B19,0))</f>
        <v>2</v>
      </c>
      <c r="D19" s="33">
        <f>SUMIFS(tblAttendees[Ticket Price (€)],tblAttendees[Registration Date],"&gt;="&amp;B19,tblAttendees[Registration Date],"&lt;="&amp;EOMONTH(B19,0))</f>
        <v>750</v>
      </c>
      <c r="E19" s="34">
        <f t="shared" si="0"/>
        <v>375</v>
      </c>
      <c r="F19" s="35" t="s">
        <v>433</v>
      </c>
      <c r="H19" s="36" t="s">
        <v>464</v>
      </c>
      <c r="I19" s="56">
        <f>ROUND(I18,0)</f>
        <v>63</v>
      </c>
    </row>
    <row r="20" spans="2:13" ht="15" customHeight="1" x14ac:dyDescent="0.3">
      <c r="B20" s="31">
        <f t="shared" si="6"/>
        <v>45292</v>
      </c>
      <c r="C20" s="32">
        <f>COUNTIFS(tblAttendees[Registration Date],"&gt;="&amp;B20,tblAttendees[Registration Date],"&lt;="&amp;EOMONTH(B20,0))</f>
        <v>7</v>
      </c>
      <c r="D20" s="33">
        <f>SUMIFS(tblAttendees[Ticket Price (€)],tblAttendees[Registration Date],"&gt;="&amp;B20,tblAttendees[Registration Date],"&lt;="&amp;EOMONTH(B20,0))</f>
        <v>3600</v>
      </c>
      <c r="E20" s="34">
        <f t="shared" si="0"/>
        <v>514.28571428571433</v>
      </c>
      <c r="F20" s="35" t="s">
        <v>433</v>
      </c>
      <c r="H20" s="229" t="str">
        <f>"Cada inscripción cuenta como un asistente. Nov-2024 ("&amp;C30&amp;" inscripciones hasta el día 9) es parcial y no se compara."</f>
        <v>Cada inscripción cuenta como un asistente. Nov-2024 (2 inscripciones hasta el día 9) es parcial y no se compara.</v>
      </c>
      <c r="I20" s="230"/>
      <c r="J20" s="230"/>
      <c r="K20" s="230"/>
      <c r="L20" s="230"/>
      <c r="M20" s="230"/>
    </row>
    <row r="21" spans="2:13" x14ac:dyDescent="0.3">
      <c r="B21" s="31">
        <f t="shared" si="6"/>
        <v>45323</v>
      </c>
      <c r="C21" s="32">
        <f>COUNTIFS(tblAttendees[Registration Date],"&gt;="&amp;B21,tblAttendees[Registration Date],"&lt;="&amp;EOMONTH(B21,0))</f>
        <v>9</v>
      </c>
      <c r="D21" s="33">
        <f>SUMIFS(tblAttendees[Ticket Price (€)],tblAttendees[Registration Date],"&gt;="&amp;B21,tblAttendees[Registration Date],"&lt;="&amp;EOMONTH(B21,0))</f>
        <v>4350</v>
      </c>
      <c r="E21" s="34">
        <f t="shared" si="0"/>
        <v>483.33333333333331</v>
      </c>
      <c r="F21" s="35" t="s">
        <v>433</v>
      </c>
    </row>
    <row r="22" spans="2:13" ht="15" customHeight="1" x14ac:dyDescent="0.3">
      <c r="B22" s="31">
        <f t="shared" si="6"/>
        <v>45352</v>
      </c>
      <c r="C22" s="32">
        <f>COUNTIFS(tblAttendees[Registration Date],"&gt;="&amp;B22,tblAttendees[Registration Date],"&lt;="&amp;EOMONTH(B22,0))</f>
        <v>5</v>
      </c>
      <c r="D22" s="33">
        <f>SUMIFS(tblAttendees[Ticket Price (€)],tblAttendees[Registration Date],"&gt;="&amp;B22,tblAttendees[Registration Date],"&lt;="&amp;EOMONTH(B22,0))</f>
        <v>2200</v>
      </c>
      <c r="E22" s="34">
        <f t="shared" si="0"/>
        <v>440</v>
      </c>
      <c r="F22" s="35" t="s">
        <v>433</v>
      </c>
      <c r="H22" s="57" t="s">
        <v>497</v>
      </c>
    </row>
    <row r="23" spans="2:13" ht="15" customHeight="1" x14ac:dyDescent="0.3">
      <c r="B23" s="31">
        <f t="shared" si="6"/>
        <v>45383</v>
      </c>
      <c r="C23" s="32">
        <f>COUNTIFS(tblAttendees[Registration Date],"&gt;="&amp;B23,tblAttendees[Registration Date],"&lt;="&amp;EOMONTH(B23,0))</f>
        <v>3</v>
      </c>
      <c r="D23" s="33">
        <f>SUMIFS(tblAttendees[Ticket Price (€)],tblAttendees[Registration Date],"&gt;="&amp;B23,tblAttendees[Registration Date],"&lt;="&amp;EOMONTH(B23,0))</f>
        <v>1450</v>
      </c>
      <c r="E23" s="34">
        <f t="shared" si="0"/>
        <v>483.33333333333331</v>
      </c>
      <c r="F23" s="35" t="s">
        <v>433</v>
      </c>
      <c r="H23" s="59" t="s">
        <v>447</v>
      </c>
      <c r="I23" s="60"/>
      <c r="J23" s="60"/>
      <c r="K23" s="60"/>
      <c r="L23" s="63" t="s">
        <v>459</v>
      </c>
      <c r="M23" s="25" t="s">
        <v>506</v>
      </c>
    </row>
    <row r="24" spans="2:13" x14ac:dyDescent="0.3">
      <c r="B24" s="31">
        <f t="shared" si="6"/>
        <v>45413</v>
      </c>
      <c r="C24" s="32">
        <f>COUNTIFS(tblAttendees[Registration Date],"&gt;="&amp;B24,tblAttendees[Registration Date],"&lt;="&amp;EOMONTH(B24,0))</f>
        <v>3</v>
      </c>
      <c r="D24" s="33">
        <f>SUMIFS(tblAttendees[Ticket Price (€)],tblAttendees[Registration Date],"&gt;="&amp;B24,tblAttendees[Registration Date],"&lt;="&amp;EOMONTH(B24,0))</f>
        <v>1450</v>
      </c>
      <c r="E24" s="34">
        <f t="shared" si="0"/>
        <v>483.33333333333331</v>
      </c>
      <c r="F24" s="35" t="s">
        <v>433</v>
      </c>
      <c r="H24" s="61" t="s">
        <v>449</v>
      </c>
      <c r="I24" s="62"/>
      <c r="J24" s="62"/>
      <c r="K24" s="62"/>
      <c r="L24" s="64">
        <f>_xlfn.FORECAST.ETS.SEASONALITY($C$7:$C$29,$B$7:$B$29)</f>
        <v>0</v>
      </c>
      <c r="M24" s="65">
        <v>12</v>
      </c>
    </row>
    <row r="25" spans="2:13" x14ac:dyDescent="0.3">
      <c r="B25" s="31">
        <f t="shared" si="6"/>
        <v>45444</v>
      </c>
      <c r="C25" s="32">
        <f>COUNTIFS(tblAttendees[Registration Date],"&gt;="&amp;B25,tblAttendees[Registration Date],"&lt;="&amp;EOMONTH(B25,0))</f>
        <v>6</v>
      </c>
      <c r="D25" s="33">
        <f>SUMIFS(tblAttendees[Ticket Price (€)],tblAttendees[Registration Date],"&gt;="&amp;B25,tblAttendees[Registration Date],"&lt;="&amp;EOMONTH(B25,0))</f>
        <v>2900</v>
      </c>
      <c r="E25" s="34">
        <f t="shared" si="0"/>
        <v>483.33333333333331</v>
      </c>
      <c r="F25" s="35" t="s">
        <v>433</v>
      </c>
      <c r="H25" s="61" t="s">
        <v>450</v>
      </c>
      <c r="I25" s="62"/>
      <c r="J25" s="62"/>
      <c r="K25" s="62"/>
      <c r="L25" s="64">
        <f>_xlfn.FORECAST.ETS.STAT($C$7:$C$29,$B$7:$B$29,1,1)</f>
        <v>2E-3</v>
      </c>
      <c r="M25" s="65">
        <f>_xlfn.FORECAST.ETS.STAT($C$7:$C$29,$B$7:$B$29,1,12)</f>
        <v>0.251</v>
      </c>
    </row>
    <row r="26" spans="2:13" x14ac:dyDescent="0.3">
      <c r="B26" s="31">
        <f t="shared" si="6"/>
        <v>45474</v>
      </c>
      <c r="C26" s="32">
        <f>COUNTIFS(tblAttendees[Registration Date],"&gt;="&amp;B26,tblAttendees[Registration Date],"&lt;="&amp;EOMONTH(B26,0))</f>
        <v>3</v>
      </c>
      <c r="D26" s="33">
        <f>SUMIFS(tblAttendees[Ticket Price (€)],tblAttendees[Registration Date],"&gt;="&amp;B26,tblAttendees[Registration Date],"&lt;="&amp;EOMONTH(B26,0))</f>
        <v>1450</v>
      </c>
      <c r="E26" s="34">
        <f t="shared" si="0"/>
        <v>483.33333333333331</v>
      </c>
      <c r="F26" s="35" t="s">
        <v>433</v>
      </c>
      <c r="H26" s="61" t="s">
        <v>451</v>
      </c>
      <c r="I26" s="62"/>
      <c r="J26" s="62"/>
      <c r="K26" s="62"/>
      <c r="L26" s="64">
        <f>_xlfn.FORECAST.ETS.STAT($C$7:$C$29,$B$7:$B$29,2,1)</f>
        <v>1E-3</v>
      </c>
      <c r="M26" s="65">
        <f>_xlfn.FORECAST.ETS.STAT($C$7:$C$29,$B$7:$B$29,2,12)</f>
        <v>1E-3</v>
      </c>
    </row>
    <row r="27" spans="2:13" x14ac:dyDescent="0.3">
      <c r="B27" s="31">
        <f t="shared" si="6"/>
        <v>45505</v>
      </c>
      <c r="C27" s="32">
        <f>COUNTIFS(tblAttendees[Registration Date],"&gt;="&amp;B27,tblAttendees[Registration Date],"&lt;="&amp;EOMONTH(B27,0))</f>
        <v>7</v>
      </c>
      <c r="D27" s="33">
        <f>SUMIFS(tblAttendees[Ticket Price (€)],tblAttendees[Registration Date],"&gt;="&amp;B27,tblAttendees[Registration Date],"&lt;="&amp;EOMONTH(B27,0))</f>
        <v>3600</v>
      </c>
      <c r="E27" s="34">
        <f t="shared" si="0"/>
        <v>514.28571428571433</v>
      </c>
      <c r="F27" s="35" t="s">
        <v>433</v>
      </c>
      <c r="H27" s="61" t="s">
        <v>452</v>
      </c>
      <c r="I27" s="62"/>
      <c r="J27" s="62"/>
      <c r="K27" s="62"/>
      <c r="L27" s="64">
        <f>_xlfn.FORECAST.ETS.STAT($C$7:$C$29,$B$7:$B$29,3,1)</f>
        <v>2.2204460492503131E-16</v>
      </c>
      <c r="M27" s="65">
        <f>_xlfn.FORECAST.ETS.STAT($C$7:$C$29,$B$7:$B$29,3,12)</f>
        <v>0.25</v>
      </c>
    </row>
    <row r="28" spans="2:13" x14ac:dyDescent="0.3">
      <c r="B28" s="31">
        <f t="shared" si="6"/>
        <v>45536</v>
      </c>
      <c r="C28" s="32">
        <f>COUNTIFS(tblAttendees[Registration Date],"&gt;="&amp;B28,tblAttendees[Registration Date],"&lt;="&amp;EOMONTH(B28,0))</f>
        <v>2</v>
      </c>
      <c r="D28" s="33">
        <f>SUMIFS(tblAttendees[Ticket Price (€)],tblAttendees[Registration Date],"&gt;="&amp;B28,tblAttendees[Registration Date],"&lt;="&amp;EOMONTH(B28,0))</f>
        <v>750</v>
      </c>
      <c r="E28" s="34">
        <f t="shared" si="0"/>
        <v>375</v>
      </c>
      <c r="F28" s="35" t="s">
        <v>433</v>
      </c>
      <c r="H28" s="61" t="s">
        <v>453</v>
      </c>
      <c r="I28" s="62"/>
      <c r="J28" s="62"/>
      <c r="K28" s="62"/>
      <c r="L28" s="64">
        <f>_xlfn.FORECAST.ETS.STAT($C$7:$C$29,$B$7:$B$29,4,1)</f>
        <v>0.71487694130784918</v>
      </c>
      <c r="M28" s="65">
        <f>_xlfn.FORECAST.ETS.STAT($C$7:$C$29,$B$7:$B$29,4,12)</f>
        <v>0.48104488042578286</v>
      </c>
    </row>
    <row r="29" spans="2:13" x14ac:dyDescent="0.3">
      <c r="B29" s="31">
        <f t="shared" si="6"/>
        <v>45566</v>
      </c>
      <c r="C29" s="32">
        <f>COUNTIFS(tblAttendees[Registration Date],"&gt;="&amp;B29,tblAttendees[Registration Date],"&lt;="&amp;EOMONTH(B29,0))</f>
        <v>6</v>
      </c>
      <c r="D29" s="33">
        <f>SUMIFS(tblAttendees[Ticket Price (€)],tblAttendees[Registration Date],"&gt;="&amp;B29,tblAttendees[Registration Date],"&lt;="&amp;EOMONTH(B29,0))</f>
        <v>2900</v>
      </c>
      <c r="E29" s="34">
        <f t="shared" si="0"/>
        <v>483.33333333333331</v>
      </c>
      <c r="F29" s="35" t="s">
        <v>433</v>
      </c>
      <c r="H29" s="61" t="s">
        <v>454</v>
      </c>
      <c r="I29" s="62"/>
      <c r="J29" s="62"/>
      <c r="K29" s="62"/>
      <c r="L29" s="64">
        <f>_xlfn.FORECAST.ETS.STAT($C$7:$C$29,$B$7:$B$29,5,1)</f>
        <v>0.41058807080255111</v>
      </c>
      <c r="M29" s="65">
        <f>_xlfn.FORECAST.ETS.STAT($C$7:$C$29,$B$7:$B$29,5,12)</f>
        <v>0.30750750799658771</v>
      </c>
    </row>
    <row r="30" spans="2:13" ht="31.95" customHeight="1" x14ac:dyDescent="0.3">
      <c r="B30" s="37">
        <f t="shared" si="6"/>
        <v>45597</v>
      </c>
      <c r="C30" s="38">
        <f>COUNTIFS(tblAttendees[Registration Date],"&gt;="&amp;B30,tblAttendees[Registration Date],"&lt;="&amp;EOMONTH(B30,0))</f>
        <v>2</v>
      </c>
      <c r="D30" s="39">
        <f>SUMIFS(tblAttendees[Ticket Price (€)],tblAttendees[Registration Date],"&gt;="&amp;B30,tblAttendees[Registration Date],"&lt;="&amp;EOMONTH(B30,0))</f>
        <v>1000</v>
      </c>
      <c r="E30" s="40">
        <f t="shared" si="0"/>
        <v>500</v>
      </c>
      <c r="F30" s="41" t="s">
        <v>434</v>
      </c>
      <c r="H30" s="61" t="s">
        <v>455</v>
      </c>
      <c r="I30" s="62"/>
      <c r="J30" s="62"/>
      <c r="K30" s="62"/>
      <c r="L30" s="64">
        <f>_xlfn.FORECAST.ETS.STAT($C$7:$C$29,$B$7:$B$29,6,1)</f>
        <v>1.9246686881365171</v>
      </c>
      <c r="M30" s="65">
        <f>_xlfn.FORECAST.ETS.STAT($C$7:$C$29,$B$7:$B$29,6,12)</f>
        <v>1.2951208319155694</v>
      </c>
    </row>
    <row r="31" spans="2:13" x14ac:dyDescent="0.3">
      <c r="B31" s="42" t="s">
        <v>435</v>
      </c>
      <c r="C31" s="43">
        <f>SUM(C6:C30)</f>
        <v>100</v>
      </c>
      <c r="D31" s="44">
        <f>SUM(D6:D30)</f>
        <v>48300</v>
      </c>
      <c r="E31" s="45">
        <f>IF(C31=0,0,D31/C31)</f>
        <v>483</v>
      </c>
      <c r="F31" s="42"/>
      <c r="H31" s="61" t="s">
        <v>456</v>
      </c>
      <c r="I31" s="62"/>
      <c r="J31" s="62"/>
      <c r="K31" s="62"/>
      <c r="L31" s="64">
        <f>_xlfn.FORECAST.ETS.STAT($C$7:$C$29,$B$7:$B$29,7,1)</f>
        <v>2.2194009026930592</v>
      </c>
      <c r="M31" s="65">
        <f>_xlfn.FORECAST.ETS.STAT($C$7:$C$29,$B$7:$B$29,7,12)</f>
        <v>1.5230255661166898</v>
      </c>
    </row>
    <row r="32" spans="2:13" ht="46.95" customHeight="1" x14ac:dyDescent="0.3">
      <c r="B32" s="21" t="s">
        <v>436</v>
      </c>
      <c r="C32" s="22">
        <f>ROWS(tblAttendees[Attendee ID])</f>
        <v>100</v>
      </c>
      <c r="D32" s="23">
        <f>SUM(tblAttendees[Ticket Price (€)])</f>
        <v>48300</v>
      </c>
      <c r="E32" s="24"/>
      <c r="F32" s="86" t="str">
        <f>IF(AND(C31=C32,D31=D32),"OK",C32-C31&amp;" registro(s) fuera de nov-2022 a nov-2024 (por ejemplo, altas nuevas del formulario): no entran en el resumen histórico ni en la previsión.")</f>
        <v>OK</v>
      </c>
    </row>
    <row r="33" spans="2:13" x14ac:dyDescent="0.3">
      <c r="H33" s="16" t="s">
        <v>457</v>
      </c>
    </row>
    <row r="34" spans="2:13" ht="46.95" customHeight="1" x14ac:dyDescent="0.3">
      <c r="B34" s="16" t="s">
        <v>437</v>
      </c>
      <c r="H34" s="25" t="s">
        <v>427</v>
      </c>
      <c r="I34" s="25" t="s">
        <v>458</v>
      </c>
      <c r="J34" s="25" t="s">
        <v>459</v>
      </c>
      <c r="K34" s="25" t="s">
        <v>448</v>
      </c>
      <c r="L34" s="25" t="s">
        <v>460</v>
      </c>
      <c r="M34" s="25" t="s">
        <v>461</v>
      </c>
    </row>
    <row r="35" spans="2:13" x14ac:dyDescent="0.3">
      <c r="B35" s="31">
        <f>B6</f>
        <v>44866</v>
      </c>
      <c r="C35" s="32">
        <f>C6</f>
        <v>1</v>
      </c>
      <c r="D35" s="49" t="s">
        <v>438</v>
      </c>
      <c r="H35" s="31">
        <f t="shared" ref="H35:H37" si="8">B27</f>
        <v>45505</v>
      </c>
      <c r="I35" s="32">
        <f t="shared" ref="I35:I37" si="9">C27</f>
        <v>7</v>
      </c>
      <c r="J35" s="50">
        <f t="shared" ref="J35:J37" si="10">_xlfn.FORECAST.ETS(H35,$C$7:$C$26,$B$7:$B$26,1)</f>
        <v>4.6100884609050965</v>
      </c>
      <c r="K35" s="50">
        <f t="shared" ref="K35:K37" si="11">_xlfn.FORECAST.ETS(H35,$C$7:$C$26,$B$7:$B$26,12)</f>
        <v>3.5203636696190772</v>
      </c>
      <c r="L35" s="50">
        <f t="shared" ref="L35:L37" si="12">_xlfn.FORECAST.LINEAR(H35,$C$7:$C$26,$B$7:$B$26)</f>
        <v>4.4551490982957702</v>
      </c>
      <c r="M35" s="50">
        <f t="shared" ref="M35:M37" si="13">AVERAGE($C$7:$C$26)</f>
        <v>4.0999999999999996</v>
      </c>
    </row>
    <row r="36" spans="2:13" x14ac:dyDescent="0.3">
      <c r="B36" s="31">
        <f>B30</f>
        <v>45597</v>
      </c>
      <c r="C36" s="32">
        <f>C30</f>
        <v>2</v>
      </c>
      <c r="D36" s="49" t="s">
        <v>439</v>
      </c>
      <c r="H36" s="31">
        <f t="shared" si="8"/>
        <v>45536</v>
      </c>
      <c r="I36" s="32">
        <f t="shared" si="9"/>
        <v>2</v>
      </c>
      <c r="J36" s="50">
        <f t="shared" si="10"/>
        <v>4.6392042034114169</v>
      </c>
      <c r="K36" s="50">
        <f t="shared" si="11"/>
        <v>3.585581006496231</v>
      </c>
      <c r="L36" s="50">
        <f t="shared" si="12"/>
        <v>4.4895487922409956</v>
      </c>
      <c r="M36" s="50">
        <f t="shared" si="13"/>
        <v>4.0999999999999996</v>
      </c>
    </row>
    <row r="37" spans="2:13" x14ac:dyDescent="0.3">
      <c r="H37" s="47">
        <f t="shared" si="8"/>
        <v>45566</v>
      </c>
      <c r="I37" s="48">
        <f t="shared" si="9"/>
        <v>6</v>
      </c>
      <c r="J37" s="52">
        <f t="shared" si="10"/>
        <v>4.6683199459177436</v>
      </c>
      <c r="K37" s="52">
        <f t="shared" si="11"/>
        <v>4.5413463264679299</v>
      </c>
      <c r="L37" s="52">
        <f t="shared" si="12"/>
        <v>4.5228388186395989</v>
      </c>
      <c r="M37" s="52">
        <f t="shared" si="13"/>
        <v>4.0999999999999996</v>
      </c>
    </row>
    <row r="38" spans="2:13" x14ac:dyDescent="0.3">
      <c r="H38" s="42" t="s">
        <v>462</v>
      </c>
      <c r="I38" s="42"/>
      <c r="J38" s="66">
        <f t="shared" ref="J38:M38" si="14">SUMPRODUCT(ABS(J35:J37-$I$35:$I$37))/ROWS(J35:J37)</f>
        <v>2.1202652655295258</v>
      </c>
      <c r="K38" s="66">
        <f t="shared" si="14"/>
        <v>2.1746236701364081</v>
      </c>
      <c r="L38" s="66">
        <f t="shared" si="14"/>
        <v>2.170520291768542</v>
      </c>
      <c r="M38" s="66">
        <f t="shared" si="14"/>
        <v>2.3000000000000003</v>
      </c>
    </row>
    <row r="39" spans="2:13" ht="45.15" customHeight="1" x14ac:dyDescent="0.3">
      <c r="H39" s="231" t="s">
        <v>463</v>
      </c>
      <c r="I39" s="232"/>
      <c r="J39" s="232"/>
      <c r="K39" s="232"/>
      <c r="L39" s="232"/>
      <c r="M39" s="232"/>
    </row>
    <row r="60" spans="2:6" ht="19.2" x14ac:dyDescent="0.3">
      <c r="B60" s="14" t="s">
        <v>465</v>
      </c>
    </row>
    <row r="61" spans="2:6" x14ac:dyDescent="0.3">
      <c r="B61" s="13" t="s">
        <v>466</v>
      </c>
    </row>
    <row r="63" spans="2:6" x14ac:dyDescent="0.3">
      <c r="B63" s="58" t="s">
        <v>467</v>
      </c>
      <c r="C63" s="15"/>
      <c r="D63" s="15"/>
      <c r="E63" s="15"/>
      <c r="F63" s="15" t="s">
        <v>468</v>
      </c>
    </row>
    <row r="64" spans="2:6" x14ac:dyDescent="0.3">
      <c r="B64" s="11" t="s">
        <v>469</v>
      </c>
      <c r="F64" s="17">
        <f>AttendanceForecast</f>
        <v>63</v>
      </c>
    </row>
    <row r="65" spans="2:13" x14ac:dyDescent="0.3">
      <c r="B65" s="68" t="s">
        <v>470</v>
      </c>
      <c r="C65" s="68"/>
      <c r="D65" s="68"/>
      <c r="E65" s="68"/>
      <c r="F65" s="69">
        <f>AVERAGE(tblAttendees[Ticket Price (€)])</f>
        <v>483</v>
      </c>
    </row>
    <row r="66" spans="2:13" x14ac:dyDescent="0.3">
      <c r="B66" s="68" t="s">
        <v>471</v>
      </c>
      <c r="C66" s="68"/>
      <c r="D66" s="68"/>
      <c r="E66" s="68"/>
      <c r="F66" s="71">
        <f>MarketingCosts</f>
        <v>9000</v>
      </c>
    </row>
    <row r="67" spans="2:13" x14ac:dyDescent="0.3">
      <c r="B67" s="68" t="s">
        <v>472</v>
      </c>
      <c r="C67" s="68"/>
      <c r="D67" s="68"/>
      <c r="E67" s="68"/>
      <c r="F67" s="71">
        <f>OperationalCosts</f>
        <v>4300</v>
      </c>
    </row>
    <row r="68" spans="2:13" x14ac:dyDescent="0.3">
      <c r="B68" s="62" t="s">
        <v>473</v>
      </c>
      <c r="C68" s="62"/>
      <c r="D68" s="62"/>
      <c r="E68" s="62"/>
      <c r="F68" s="70">
        <f>TargetProfit</f>
        <v>45000</v>
      </c>
    </row>
    <row r="70" spans="2:13" x14ac:dyDescent="0.3">
      <c r="B70" s="72" t="s">
        <v>474</v>
      </c>
      <c r="C70" s="72"/>
      <c r="D70" s="72"/>
      <c r="E70" s="72"/>
      <c r="F70" s="72"/>
    </row>
    <row r="71" spans="2:13" x14ac:dyDescent="0.3">
      <c r="B71" s="11" t="s">
        <v>475</v>
      </c>
      <c r="F71" s="18">
        <f>F64*F65</f>
        <v>30429</v>
      </c>
    </row>
    <row r="72" spans="2:13" x14ac:dyDescent="0.3">
      <c r="B72" s="68" t="s">
        <v>476</v>
      </c>
      <c r="C72" s="68"/>
      <c r="D72" s="68"/>
      <c r="E72" s="68"/>
      <c r="F72" s="71">
        <f>F71-F66-F67</f>
        <v>17129</v>
      </c>
    </row>
    <row r="73" spans="2:13" x14ac:dyDescent="0.3">
      <c r="B73" s="62" t="s">
        <v>477</v>
      </c>
      <c r="C73" s="62"/>
      <c r="D73" s="62"/>
      <c r="E73" s="62"/>
      <c r="F73" s="70">
        <f>F68-F72</f>
        <v>27871</v>
      </c>
    </row>
    <row r="75" spans="2:13" x14ac:dyDescent="0.3">
      <c r="B75" s="72" t="s">
        <v>478</v>
      </c>
      <c r="C75" s="72"/>
      <c r="D75" s="72"/>
      <c r="E75" s="72"/>
      <c r="F75" s="72"/>
      <c r="H75" s="72" t="s">
        <v>486</v>
      </c>
      <c r="I75" s="72"/>
      <c r="J75" s="72"/>
      <c r="K75" s="72"/>
      <c r="L75" s="72"/>
      <c r="M75" s="72"/>
    </row>
    <row r="76" spans="2:13" ht="30.75" customHeight="1" x14ac:dyDescent="0.3">
      <c r="B76" s="229" t="s">
        <v>479</v>
      </c>
      <c r="C76" s="229"/>
      <c r="D76" s="229"/>
      <c r="E76" s="229"/>
      <c r="F76" s="229"/>
      <c r="G76" s="229"/>
      <c r="H76" s="13" t="s">
        <v>487</v>
      </c>
    </row>
    <row r="77" spans="2:13" x14ac:dyDescent="0.3">
      <c r="B77" s="11" t="s">
        <v>480</v>
      </c>
      <c r="F77" s="73">
        <v>925.39682539682542</v>
      </c>
      <c r="H77" s="11" t="s">
        <v>488</v>
      </c>
      <c r="M77" s="76">
        <v>120.70393374741201</v>
      </c>
    </row>
    <row r="78" spans="2:13" x14ac:dyDescent="0.3">
      <c r="B78" s="68" t="s">
        <v>481</v>
      </c>
      <c r="C78" s="68"/>
      <c r="D78" s="68"/>
      <c r="E78" s="68"/>
      <c r="F78" s="71">
        <f>F77*F64</f>
        <v>58300</v>
      </c>
      <c r="H78" s="68" t="s">
        <v>489</v>
      </c>
      <c r="I78" s="68"/>
      <c r="J78" s="68"/>
      <c r="K78" s="68"/>
      <c r="L78" s="68"/>
      <c r="M78" s="71">
        <f>M77*F65</f>
        <v>58300</v>
      </c>
    </row>
    <row r="79" spans="2:13" x14ac:dyDescent="0.3">
      <c r="B79" s="68" t="s">
        <v>482</v>
      </c>
      <c r="C79" s="68"/>
      <c r="D79" s="68"/>
      <c r="E79" s="68"/>
      <c r="F79" s="71">
        <f>F78-F66-F67</f>
        <v>45000</v>
      </c>
      <c r="H79" s="68" t="s">
        <v>482</v>
      </c>
      <c r="I79" s="68"/>
      <c r="J79" s="68"/>
      <c r="K79" s="68"/>
      <c r="L79" s="68"/>
      <c r="M79" s="71">
        <f>M78-F66-F67</f>
        <v>45000</v>
      </c>
    </row>
    <row r="80" spans="2:13" ht="31.95" customHeight="1" x14ac:dyDescent="0.3">
      <c r="B80" s="232" t="s">
        <v>483</v>
      </c>
      <c r="C80" s="232"/>
      <c r="D80" s="232"/>
      <c r="E80" s="232"/>
      <c r="F80" s="69">
        <f>(F68+F66+F67)/F64</f>
        <v>925.39682539682542</v>
      </c>
      <c r="H80" s="68" t="s">
        <v>490</v>
      </c>
      <c r="I80" s="68"/>
      <c r="J80" s="68"/>
      <c r="K80" s="68"/>
      <c r="L80" s="68"/>
      <c r="M80" s="77">
        <f>(F68+F66+F67)/F65</f>
        <v>120.70393374741201</v>
      </c>
    </row>
    <row r="81" spans="2:13" x14ac:dyDescent="0.3">
      <c r="B81" s="68" t="s">
        <v>484</v>
      </c>
      <c r="C81" s="68"/>
      <c r="D81" s="68"/>
      <c r="E81" s="68"/>
      <c r="F81" s="74">
        <f>F77-F80</f>
        <v>0</v>
      </c>
      <c r="H81" s="68" t="s">
        <v>484</v>
      </c>
      <c r="I81" s="68"/>
      <c r="J81" s="68"/>
      <c r="K81" s="68"/>
      <c r="L81" s="68"/>
      <c r="M81" s="74">
        <f>M77-M80</f>
        <v>0</v>
      </c>
    </row>
    <row r="82" spans="2:13" ht="19.2" x14ac:dyDescent="0.3">
      <c r="B82" s="62" t="s">
        <v>485</v>
      </c>
      <c r="C82" s="62"/>
      <c r="D82" s="62"/>
      <c r="E82" s="62"/>
      <c r="F82" s="75">
        <f>F77/F65-1</f>
        <v>0.91593545630812723</v>
      </c>
      <c r="H82" s="68" t="s">
        <v>491</v>
      </c>
      <c r="I82" s="68"/>
      <c r="J82" s="68"/>
      <c r="K82" s="68"/>
      <c r="L82" s="68"/>
      <c r="M82" s="78">
        <f>ROUNDUP(M77,0)</f>
        <v>121</v>
      </c>
    </row>
    <row r="83" spans="2:13" x14ac:dyDescent="0.3">
      <c r="H83" s="68" t="s">
        <v>492</v>
      </c>
      <c r="I83" s="68"/>
      <c r="J83" s="68"/>
      <c r="K83" s="68"/>
      <c r="L83" s="68"/>
      <c r="M83" s="71">
        <f>M82*F65-F66-F67</f>
        <v>45143</v>
      </c>
    </row>
    <row r="84" spans="2:13" x14ac:dyDescent="0.3">
      <c r="H84" s="62" t="s">
        <v>493</v>
      </c>
      <c r="I84" s="62"/>
      <c r="J84" s="62"/>
      <c r="K84" s="62"/>
      <c r="L84" s="62"/>
      <c r="M84" s="75">
        <f>M82/F64-1</f>
        <v>0.92063492063492069</v>
      </c>
    </row>
    <row r="86" spans="2:13" x14ac:dyDescent="0.3">
      <c r="B86" s="16" t="s">
        <v>494</v>
      </c>
      <c r="F86" s="79" t="str">
        <f>IF(AND(ABS(F81)&lt;0.01,ABS(M81)&lt;0.001),"Vigente","Rehacer")</f>
        <v>Vigente</v>
      </c>
      <c r="G86" s="80" t="s">
        <v>495</v>
      </c>
    </row>
    <row r="87" spans="2:13" x14ac:dyDescent="0.3">
      <c r="B87" s="13" t="s">
        <v>496</v>
      </c>
    </row>
    <row r="89" spans="2:13" ht="31.95" customHeight="1" x14ac:dyDescent="0.3">
      <c r="B89" s="233" t="s">
        <v>498</v>
      </c>
      <c r="C89" s="233"/>
      <c r="D89" s="233"/>
      <c r="E89" s="15" t="s">
        <v>499</v>
      </c>
      <c r="F89" s="15" t="s">
        <v>500</v>
      </c>
    </row>
    <row r="90" spans="2:13" x14ac:dyDescent="0.3">
      <c r="B90" s="16" t="s">
        <v>501</v>
      </c>
      <c r="C90" s="16"/>
      <c r="D90" s="16"/>
      <c r="E90" s="19">
        <f>I19</f>
        <v>63</v>
      </c>
      <c r="F90" s="20">
        <f>($F$68+$F$66+$F$67)/E90</f>
        <v>925.39682539682542</v>
      </c>
    </row>
    <row r="91" spans="2:13" x14ac:dyDescent="0.3">
      <c r="B91" s="68" t="s">
        <v>502</v>
      </c>
      <c r="C91" s="68"/>
      <c r="D91" s="68"/>
      <c r="E91" s="46">
        <f>ROUND(M18,0)</f>
        <v>65</v>
      </c>
      <c r="F91" s="69">
        <f>($F$68+$F$66+$F$67)/E91</f>
        <v>896.92307692307691</v>
      </c>
    </row>
    <row r="92" spans="2:13" x14ac:dyDescent="0.3">
      <c r="B92" s="68" t="s">
        <v>503</v>
      </c>
      <c r="C92" s="68"/>
      <c r="D92" s="68"/>
      <c r="E92" s="46">
        <f>ROUND(L18,0)</f>
        <v>61</v>
      </c>
      <c r="F92" s="69">
        <f>($F$68+$F$66+$F$67)/E92</f>
        <v>955.73770491803282</v>
      </c>
    </row>
    <row r="93" spans="2:13" x14ac:dyDescent="0.3">
      <c r="B93" s="62" t="s">
        <v>504</v>
      </c>
      <c r="C93" s="62"/>
      <c r="D93" s="62"/>
      <c r="E93" s="87">
        <f>C31</f>
        <v>100</v>
      </c>
      <c r="F93" s="67">
        <f>($F$68+$F$66+$F$67)/E93</f>
        <v>583</v>
      </c>
    </row>
    <row r="94" spans="2:13" x14ac:dyDescent="0.3">
      <c r="B94" s="13" t="s">
        <v>505</v>
      </c>
    </row>
  </sheetData>
  <mergeCells count="5">
    <mergeCell ref="H20:M20"/>
    <mergeCell ref="H39:M39"/>
    <mergeCell ref="B80:E80"/>
    <mergeCell ref="B76:G76"/>
    <mergeCell ref="B89:D89"/>
  </mergeCells>
  <conditionalFormatting sqref="F32">
    <cfRule type="cellIs" dxfId="14" priority="1" stopIfTrue="1" operator="equal">
      <formula>"OK"</formula>
    </cfRule>
    <cfRule type="cellIs" dxfId="13" priority="2" stopIfTrue="1" operator="notEqual">
      <formula>"OK"</formula>
    </cfRule>
  </conditionalFormatting>
  <conditionalFormatting sqref="F72">
    <cfRule type="cellIs" dxfId="12" priority="4" stopIfTrue="1" operator="lessThan">
      <formula>0</formula>
    </cfRule>
  </conditionalFormatting>
  <conditionalFormatting sqref="F86">
    <cfRule type="cellIs" dxfId="11" priority="6" stopIfTrue="1" operator="equal">
      <formula>"Vigente"</formula>
    </cfRule>
    <cfRule type="cellIs" dxfId="10" priority="7" stopIfTrue="1" operator="equal">
      <formula>"Rehacer"</formula>
    </cfRule>
  </conditionalFormatting>
  <conditionalFormatting sqref="J38:M38">
    <cfRule type="expression" dxfId="9" priority="3" stopIfTrue="1">
      <formula>J38=MIN($J$38:$M$38)</formula>
    </cfRule>
  </conditionalFormatting>
  <conditionalFormatting sqref="M83">
    <cfRule type="cellIs" dxfId="8" priority="5" stopIfTrue="1" operator="greaterThanOrEqual">
      <formula>$F$68</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9AF68-693F-4476-B3E3-8ECA8BDD2F40}">
  <sheetPr codeName="Sheet5">
    <tabColor rgb="FF1E40AF"/>
  </sheetPr>
  <dimension ref="A1:AZ65"/>
  <sheetViews>
    <sheetView showGridLines="0" showRowColHeaders="0" zoomScaleNormal="100" workbookViewId="0"/>
  </sheetViews>
  <sheetFormatPr defaultRowHeight="15" x14ac:dyDescent="0.35"/>
  <cols>
    <col min="1" max="1" width="2.33203125" style="89" customWidth="1"/>
    <col min="2" max="13" width="14" style="89" customWidth="1"/>
    <col min="14" max="14" width="2.33203125" style="89" customWidth="1"/>
    <col min="15" max="15" width="95.77734375" style="89" customWidth="1"/>
    <col min="16" max="16" width="25.88671875" style="89" customWidth="1"/>
    <col min="17" max="17" width="12.77734375" style="89" customWidth="1"/>
    <col min="18" max="18" width="3.77734375" style="89" customWidth="1"/>
    <col min="19" max="19" width="24.77734375" style="89" customWidth="1"/>
    <col min="20" max="20" width="22.5546875" style="89" customWidth="1"/>
    <col min="21" max="21" width="3.77734375" style="89" customWidth="1"/>
    <col min="22" max="22" width="17.21875" style="89" customWidth="1"/>
    <col min="23" max="23" width="24.88671875" style="89" customWidth="1"/>
    <col min="24" max="24" width="3.77734375" style="89" customWidth="1"/>
    <col min="25" max="25" width="19.33203125" style="89" customWidth="1"/>
    <col min="26" max="26" width="19.21875" style="89" customWidth="1"/>
    <col min="27" max="51" width="8.88671875" style="89"/>
    <col min="52" max="52" width="9.21875" style="89" customWidth="1"/>
    <col min="53" max="16384" width="8.88671875" style="89"/>
  </cols>
  <sheetData>
    <row r="1" spans="1:52" ht="6" customHeight="1" x14ac:dyDescent="0.35">
      <c r="A1" s="90"/>
      <c r="B1" s="90"/>
      <c r="C1" s="90"/>
      <c r="D1" s="90"/>
      <c r="E1" s="90"/>
      <c r="F1" s="90"/>
      <c r="G1" s="90"/>
      <c r="H1" s="90"/>
      <c r="I1" s="90"/>
      <c r="J1" s="90"/>
      <c r="K1" s="90"/>
      <c r="L1" s="90"/>
      <c r="M1" s="90"/>
      <c r="N1" s="90"/>
      <c r="AZ1"/>
    </row>
    <row r="2" spans="1:52" ht="30" customHeight="1" x14ac:dyDescent="0.35">
      <c r="A2" s="90"/>
      <c r="B2" s="92" t="s">
        <v>507</v>
      </c>
      <c r="C2" s="91"/>
      <c r="D2" s="91"/>
      <c r="E2" s="91"/>
      <c r="F2" s="91"/>
      <c r="G2" s="91"/>
      <c r="H2" s="91"/>
      <c r="I2" s="91"/>
      <c r="J2" s="91"/>
      <c r="K2" s="91"/>
      <c r="L2" s="91"/>
      <c r="M2" s="91"/>
      <c r="N2" s="90"/>
    </row>
    <row r="3" spans="1:52" ht="19.95" customHeight="1" x14ac:dyDescent="0.35">
      <c r="A3" s="90"/>
      <c r="B3" s="93" t="s">
        <v>508</v>
      </c>
      <c r="C3" s="91"/>
      <c r="D3" s="91"/>
      <c r="E3" s="91"/>
      <c r="F3" s="91"/>
      <c r="G3" s="91"/>
      <c r="H3" s="91"/>
      <c r="I3" s="91"/>
      <c r="J3" s="91"/>
      <c r="K3" s="91"/>
      <c r="L3" s="91"/>
      <c r="M3" s="91"/>
      <c r="N3" s="90"/>
      <c r="P3" s="95" t="s">
        <v>511</v>
      </c>
    </row>
    <row r="4" spans="1:52" ht="25.95" customHeight="1" x14ac:dyDescent="0.35">
      <c r="A4" s="90"/>
      <c r="B4" s="212" t="s">
        <v>509</v>
      </c>
      <c r="C4" s="212"/>
      <c r="D4" s="212"/>
      <c r="E4" s="212"/>
      <c r="F4" s="212"/>
      <c r="G4" s="212"/>
      <c r="H4" s="212"/>
      <c r="I4" s="212"/>
      <c r="J4" s="212"/>
      <c r="K4" s="212"/>
      <c r="L4" s="212"/>
      <c r="M4" s="212"/>
      <c r="N4" s="90"/>
    </row>
    <row r="5" spans="1:52" ht="15" customHeight="1" x14ac:dyDescent="0.35">
      <c r="A5" s="90"/>
      <c r="B5" s="90"/>
      <c r="C5" s="90"/>
      <c r="D5" s="90"/>
      <c r="E5" s="90"/>
      <c r="F5" s="90"/>
      <c r="G5" s="90"/>
      <c r="H5" s="90"/>
      <c r="I5" s="90"/>
      <c r="J5" s="90"/>
      <c r="K5" s="90"/>
      <c r="L5" s="90"/>
      <c r="M5" s="90"/>
      <c r="N5" s="90"/>
      <c r="P5" t="s">
        <v>499</v>
      </c>
      <c r="Q5" t="s">
        <v>512</v>
      </c>
      <c r="R5"/>
      <c r="S5" s="98" t="s">
        <v>4</v>
      </c>
      <c r="T5" t="s">
        <v>514</v>
      </c>
      <c r="U5"/>
      <c r="V5" s="98" t="s">
        <v>3</v>
      </c>
      <c r="W5" t="s">
        <v>515</v>
      </c>
      <c r="X5"/>
      <c r="Y5" s="98" t="s">
        <v>421</v>
      </c>
      <c r="Z5" t="s">
        <v>516</v>
      </c>
      <c r="AA5"/>
    </row>
    <row r="6" spans="1:52" ht="15" customHeight="1" x14ac:dyDescent="0.35">
      <c r="A6" s="90"/>
      <c r="B6" s="90"/>
      <c r="C6" s="90"/>
      <c r="D6" s="90"/>
      <c r="E6" s="90"/>
      <c r="F6" s="90"/>
      <c r="G6" s="90"/>
      <c r="H6" s="90"/>
      <c r="I6" s="90"/>
      <c r="J6" s="90"/>
      <c r="K6" s="90"/>
      <c r="L6" s="90"/>
      <c r="M6" s="90"/>
      <c r="N6" s="90"/>
      <c r="P6" s="97">
        <v>100</v>
      </c>
      <c r="Q6" s="96">
        <v>48300</v>
      </c>
      <c r="R6"/>
      <c r="S6" t="s">
        <v>27</v>
      </c>
      <c r="T6" s="96">
        <v>9900</v>
      </c>
      <c r="U6"/>
      <c r="V6" t="s">
        <v>17</v>
      </c>
      <c r="W6" s="97">
        <v>50</v>
      </c>
      <c r="X6"/>
      <c r="Y6" s="4">
        <v>44866</v>
      </c>
      <c r="Z6" s="97">
        <v>1</v>
      </c>
      <c r="AA6"/>
    </row>
    <row r="7" spans="1:52" ht="15" customHeight="1" x14ac:dyDescent="0.35">
      <c r="A7" s="90"/>
      <c r="B7" s="90"/>
      <c r="C7" s="90"/>
      <c r="D7" s="90"/>
      <c r="E7" s="90"/>
      <c r="F7" s="90"/>
      <c r="G7" s="90"/>
      <c r="H7" s="90"/>
      <c r="I7" s="90"/>
      <c r="J7" s="90"/>
      <c r="K7" s="90"/>
      <c r="L7" s="90"/>
      <c r="M7" s="90"/>
      <c r="N7" s="90"/>
      <c r="P7"/>
      <c r="Q7"/>
      <c r="R7"/>
      <c r="S7" t="s">
        <v>12</v>
      </c>
      <c r="T7" s="96">
        <v>15300</v>
      </c>
      <c r="U7"/>
      <c r="V7" t="s">
        <v>11</v>
      </c>
      <c r="W7" s="97">
        <v>50</v>
      </c>
      <c r="X7"/>
      <c r="Y7" s="4">
        <v>44896</v>
      </c>
      <c r="Z7" s="97">
        <v>4</v>
      </c>
      <c r="AA7"/>
    </row>
    <row r="8" spans="1:52" ht="15" customHeight="1" x14ac:dyDescent="0.35">
      <c r="A8" s="90"/>
      <c r="B8" s="90"/>
      <c r="C8" s="90"/>
      <c r="D8" s="90"/>
      <c r="E8" s="90"/>
      <c r="F8" s="90"/>
      <c r="G8" s="90"/>
      <c r="H8" s="90"/>
      <c r="I8" s="90"/>
      <c r="J8" s="90"/>
      <c r="K8" s="90"/>
      <c r="L8" s="90"/>
      <c r="M8" s="90"/>
      <c r="N8" s="90"/>
      <c r="P8"/>
      <c r="Q8"/>
      <c r="R8"/>
      <c r="S8" t="s">
        <v>22</v>
      </c>
      <c r="T8" s="96">
        <v>23100</v>
      </c>
      <c r="U8"/>
      <c r="V8" t="s">
        <v>513</v>
      </c>
      <c r="W8" s="97">
        <v>100</v>
      </c>
      <c r="X8"/>
      <c r="Y8" s="4">
        <v>44927</v>
      </c>
      <c r="Z8" s="97">
        <v>3</v>
      </c>
      <c r="AA8"/>
    </row>
    <row r="9" spans="1:52" ht="15" customHeight="1" x14ac:dyDescent="0.35">
      <c r="A9" s="90"/>
      <c r="B9" s="90"/>
      <c r="C9" s="90"/>
      <c r="D9" s="90"/>
      <c r="E9" s="90"/>
      <c r="F9" s="90"/>
      <c r="G9" s="90"/>
      <c r="H9" s="90"/>
      <c r="I9" s="90"/>
      <c r="J9" s="90"/>
      <c r="K9" s="90"/>
      <c r="L9" s="90"/>
      <c r="M9" s="90"/>
      <c r="N9" s="90"/>
      <c r="P9" s="99" t="s">
        <v>517</v>
      </c>
      <c r="Q9" s="100">
        <f>ROWS(tblAttendees[Attendee ID])</f>
        <v>100</v>
      </c>
      <c r="R9"/>
      <c r="S9" t="s">
        <v>513</v>
      </c>
      <c r="T9" s="96">
        <v>48300</v>
      </c>
      <c r="U9"/>
      <c r="V9"/>
      <c r="W9"/>
      <c r="X9"/>
      <c r="Y9" s="4">
        <v>44958</v>
      </c>
      <c r="Z9" s="97">
        <v>8</v>
      </c>
      <c r="AA9"/>
    </row>
    <row r="10" spans="1:52" ht="15" customHeight="1" x14ac:dyDescent="0.35">
      <c r="A10" s="90"/>
      <c r="B10" s="90"/>
      <c r="C10" s="90"/>
      <c r="D10" s="90"/>
      <c r="E10" s="90"/>
      <c r="F10" s="90"/>
      <c r="G10" s="90"/>
      <c r="H10" s="90"/>
      <c r="I10" s="90"/>
      <c r="J10" s="90"/>
      <c r="K10" s="90"/>
      <c r="L10" s="90"/>
      <c r="M10" s="90"/>
      <c r="N10" s="90"/>
      <c r="P10"/>
      <c r="Q10"/>
      <c r="R10"/>
      <c r="S10"/>
      <c r="T10"/>
      <c r="U10"/>
      <c r="V10"/>
      <c r="W10"/>
      <c r="X10"/>
      <c r="Y10" s="4">
        <v>44986</v>
      </c>
      <c r="Z10" s="97">
        <v>1</v>
      </c>
      <c r="AA10"/>
    </row>
    <row r="11" spans="1:52" ht="15" customHeight="1" x14ac:dyDescent="0.35">
      <c r="A11" s="90"/>
      <c r="B11" s="90"/>
      <c r="C11" s="90"/>
      <c r="D11" s="90"/>
      <c r="E11" s="90"/>
      <c r="F11" s="90"/>
      <c r="G11" s="90"/>
      <c r="H11" s="90"/>
      <c r="I11" s="90"/>
      <c r="J11" s="90"/>
      <c r="K11" s="90"/>
      <c r="L11" s="90"/>
      <c r="M11" s="90"/>
      <c r="N11" s="90"/>
      <c r="P11"/>
      <c r="Q11"/>
      <c r="R11"/>
      <c r="S11"/>
      <c r="T11"/>
      <c r="U11"/>
      <c r="V11"/>
      <c r="W11"/>
      <c r="X11"/>
      <c r="Y11" s="4">
        <v>45017</v>
      </c>
      <c r="Z11" s="97">
        <v>6</v>
      </c>
      <c r="AA11"/>
    </row>
    <row r="12" spans="1:52" ht="22.05" customHeight="1" x14ac:dyDescent="0.35">
      <c r="A12" s="90"/>
      <c r="B12" s="144" t="str">
        <f>"Próximo evento: "&amp;G50&amp;" asistentes previstos (FORECAST.ETS). Para "&amp;FIXED(G54,0)&amp;" € de beneficio: precio medio "&amp;FIXED(M53,2)&amp;" € o "&amp;M54&amp;" asistentes."</f>
        <v>Próximo evento: 63 asistentes previstos (FORECAST.ETS). Para 45,000 € de beneficio: precio medio 925.40 € o 121 asistentes.</v>
      </c>
      <c r="C12" s="90"/>
      <c r="D12" s="90"/>
      <c r="E12" s="90"/>
      <c r="F12" s="90"/>
      <c r="G12" s="90"/>
      <c r="H12" s="90"/>
      <c r="I12" s="90"/>
      <c r="J12" s="90"/>
      <c r="K12" s="90"/>
      <c r="L12" s="90"/>
      <c r="M12" s="90"/>
      <c r="N12" s="90"/>
      <c r="P12"/>
      <c r="Q12"/>
      <c r="R12"/>
      <c r="S12"/>
      <c r="T12"/>
      <c r="U12"/>
      <c r="V12"/>
      <c r="W12"/>
      <c r="X12"/>
      <c r="Y12" s="4">
        <v>45047</v>
      </c>
      <c r="Z12" s="97">
        <v>3</v>
      </c>
      <c r="AA12"/>
    </row>
    <row r="13" spans="1:52" ht="16.05" customHeight="1" thickBot="1" x14ac:dyDescent="0.4">
      <c r="A13" s="90"/>
      <c r="B13" s="101" t="s">
        <v>518</v>
      </c>
      <c r="C13" s="90"/>
      <c r="D13" s="90"/>
      <c r="E13" s="90"/>
      <c r="F13" s="90"/>
      <c r="G13" s="90"/>
      <c r="H13" s="90"/>
      <c r="I13" s="90"/>
      <c r="J13" s="90"/>
      <c r="K13" s="90"/>
      <c r="L13" s="90"/>
      <c r="M13" s="90"/>
      <c r="N13" s="90"/>
      <c r="P13"/>
      <c r="Q13"/>
      <c r="R13"/>
      <c r="S13"/>
      <c r="T13"/>
      <c r="U13"/>
      <c r="V13"/>
      <c r="W13"/>
      <c r="X13"/>
      <c r="Y13" s="4">
        <v>45078</v>
      </c>
      <c r="Z13" s="97">
        <v>2</v>
      </c>
      <c r="AA13"/>
    </row>
    <row r="14" spans="1:52" ht="18" customHeight="1" thickTop="1" x14ac:dyDescent="0.35">
      <c r="A14" s="90"/>
      <c r="B14" s="102" t="s">
        <v>499</v>
      </c>
      <c r="C14" s="103"/>
      <c r="D14" s="103"/>
      <c r="E14" s="104" t="s">
        <v>520</v>
      </c>
      <c r="F14" s="105"/>
      <c r="G14" s="105"/>
      <c r="H14" s="104" t="s">
        <v>522</v>
      </c>
      <c r="I14" s="105"/>
      <c r="J14" s="105"/>
      <c r="K14" s="106" t="s">
        <v>524</v>
      </c>
      <c r="L14" s="107"/>
      <c r="M14" s="108"/>
      <c r="N14" s="90"/>
      <c r="P14"/>
      <c r="Q14"/>
      <c r="R14"/>
      <c r="S14"/>
      <c r="T14"/>
      <c r="U14"/>
      <c r="V14"/>
      <c r="W14"/>
      <c r="X14"/>
      <c r="Y14" s="4">
        <v>45108</v>
      </c>
      <c r="Z14" s="97">
        <v>5</v>
      </c>
      <c r="AA14"/>
    </row>
    <row r="15" spans="1:52" ht="36" customHeight="1" x14ac:dyDescent="0.35">
      <c r="A15" s="90"/>
      <c r="B15" s="213">
        <f>IFERROR(GETPIVOTDATA("Asistentes",$P$5),0)</f>
        <v>100</v>
      </c>
      <c r="C15" s="214"/>
      <c r="D15" s="214"/>
      <c r="E15" s="215">
        <f>IFERROR(GETPIVOTDATA("Ingresos (€)",$P$5),0)</f>
        <v>48300</v>
      </c>
      <c r="F15" s="216"/>
      <c r="G15" s="216"/>
      <c r="H15" s="217">
        <f>IF(B15=0,0,E15/B15)</f>
        <v>483</v>
      </c>
      <c r="I15" s="218"/>
      <c r="J15" s="218"/>
      <c r="K15" s="219">
        <f>IF($Q$9=0,0,E15-($G$52+$G$53)*B15/$Q$9)</f>
        <v>35000</v>
      </c>
      <c r="L15" s="220"/>
      <c r="M15" s="221"/>
      <c r="N15" s="90"/>
      <c r="P15"/>
      <c r="Q15"/>
      <c r="R15"/>
      <c r="S15"/>
      <c r="T15"/>
      <c r="U15"/>
      <c r="V15"/>
      <c r="W15"/>
      <c r="X15"/>
      <c r="Y15" s="4">
        <v>45139</v>
      </c>
      <c r="Z15" s="97">
        <v>3</v>
      </c>
      <c r="AA15"/>
    </row>
    <row r="16" spans="1:52" ht="16.05" customHeight="1" x14ac:dyDescent="0.35">
      <c r="A16" s="90"/>
      <c r="B16" s="222" t="s">
        <v>519</v>
      </c>
      <c r="C16" s="223"/>
      <c r="D16" s="223"/>
      <c r="E16" s="222" t="s">
        <v>521</v>
      </c>
      <c r="F16" s="223"/>
      <c r="G16" s="223"/>
      <c r="H16" s="222" t="s">
        <v>523</v>
      </c>
      <c r="I16" s="223"/>
      <c r="J16" s="223"/>
      <c r="K16" s="222" t="s">
        <v>525</v>
      </c>
      <c r="L16" s="223"/>
      <c r="M16" s="224"/>
      <c r="N16" s="90"/>
      <c r="P16"/>
      <c r="Q16"/>
      <c r="R16"/>
      <c r="S16"/>
      <c r="T16"/>
      <c r="U16"/>
      <c r="V16"/>
      <c r="W16"/>
      <c r="X16"/>
      <c r="Y16" s="4">
        <v>45170</v>
      </c>
      <c r="Z16" s="97">
        <v>3</v>
      </c>
      <c r="AA16"/>
    </row>
    <row r="17" spans="1:27" ht="12" customHeight="1" x14ac:dyDescent="0.35">
      <c r="A17" s="90"/>
      <c r="B17" s="90"/>
      <c r="C17" s="90"/>
      <c r="D17" s="90"/>
      <c r="E17" s="90"/>
      <c r="F17" s="90"/>
      <c r="G17" s="90"/>
      <c r="H17" s="90"/>
      <c r="I17" s="90"/>
      <c r="J17" s="90"/>
      <c r="K17" s="90"/>
      <c r="L17" s="90"/>
      <c r="M17" s="90"/>
      <c r="N17" s="90"/>
      <c r="P17"/>
      <c r="Q17"/>
      <c r="R17"/>
      <c r="S17"/>
      <c r="T17"/>
      <c r="U17"/>
      <c r="V17"/>
      <c r="W17"/>
      <c r="X17"/>
      <c r="Y17" s="4">
        <v>45200</v>
      </c>
      <c r="Z17" s="97">
        <v>4</v>
      </c>
      <c r="AA17"/>
    </row>
    <row r="18" spans="1:27" ht="15" customHeight="1" x14ac:dyDescent="0.35">
      <c r="A18" s="90"/>
      <c r="B18" s="90"/>
      <c r="C18" s="90"/>
      <c r="D18" s="90"/>
      <c r="E18" s="90"/>
      <c r="F18" s="90"/>
      <c r="G18" s="90"/>
      <c r="H18" s="90"/>
      <c r="I18" s="90"/>
      <c r="J18" s="90"/>
      <c r="K18" s="90"/>
      <c r="L18" s="90"/>
      <c r="M18" s="90"/>
      <c r="N18" s="90"/>
      <c r="P18"/>
      <c r="Q18"/>
      <c r="R18"/>
      <c r="S18"/>
      <c r="T18"/>
      <c r="U18"/>
      <c r="V18"/>
      <c r="W18"/>
      <c r="X18"/>
      <c r="Y18" s="4">
        <v>45231</v>
      </c>
      <c r="Z18" s="97">
        <v>2</v>
      </c>
      <c r="AA18"/>
    </row>
    <row r="19" spans="1:27" ht="15" customHeight="1" x14ac:dyDescent="0.35">
      <c r="A19" s="90"/>
      <c r="B19" s="90"/>
      <c r="C19" s="90"/>
      <c r="D19" s="90"/>
      <c r="E19" s="90"/>
      <c r="F19" s="90"/>
      <c r="G19" s="90"/>
      <c r="H19" s="90"/>
      <c r="I19" s="90"/>
      <c r="J19" s="90"/>
      <c r="K19" s="90"/>
      <c r="L19" s="90"/>
      <c r="M19" s="90"/>
      <c r="N19" s="90"/>
      <c r="P19"/>
      <c r="Q19"/>
      <c r="R19"/>
      <c r="S19"/>
      <c r="T19"/>
      <c r="U19"/>
      <c r="V19"/>
      <c r="W19"/>
      <c r="X19"/>
      <c r="Y19" s="4">
        <v>45261</v>
      </c>
      <c r="Z19" s="97">
        <v>2</v>
      </c>
      <c r="AA19"/>
    </row>
    <row r="20" spans="1:27" ht="15" customHeight="1" x14ac:dyDescent="0.35">
      <c r="A20" s="90"/>
      <c r="B20" s="90"/>
      <c r="C20" s="90"/>
      <c r="D20" s="90"/>
      <c r="E20" s="90"/>
      <c r="F20" s="90"/>
      <c r="G20" s="90"/>
      <c r="H20" s="90"/>
      <c r="I20" s="90"/>
      <c r="J20" s="90"/>
      <c r="K20" s="90"/>
      <c r="L20" s="90"/>
      <c r="M20" s="90"/>
      <c r="N20" s="90"/>
      <c r="P20"/>
      <c r="Q20"/>
      <c r="R20"/>
      <c r="S20"/>
      <c r="T20"/>
      <c r="U20"/>
      <c r="V20"/>
      <c r="W20"/>
      <c r="X20"/>
      <c r="Y20" s="4">
        <v>45292</v>
      </c>
      <c r="Z20" s="97">
        <v>7</v>
      </c>
      <c r="AA20"/>
    </row>
    <row r="21" spans="1:27" ht="15" customHeight="1" x14ac:dyDescent="0.35">
      <c r="A21" s="90"/>
      <c r="B21" s="90"/>
      <c r="C21" s="90"/>
      <c r="D21" s="90"/>
      <c r="E21" s="90"/>
      <c r="F21" s="90"/>
      <c r="G21" s="90"/>
      <c r="H21" s="90"/>
      <c r="I21" s="90"/>
      <c r="J21" s="90"/>
      <c r="K21" s="90"/>
      <c r="L21" s="90"/>
      <c r="M21" s="90"/>
      <c r="N21" s="90"/>
      <c r="P21"/>
      <c r="Q21"/>
      <c r="R21"/>
      <c r="S21"/>
      <c r="T21"/>
      <c r="U21"/>
      <c r="V21"/>
      <c r="W21"/>
      <c r="X21"/>
      <c r="Y21" s="4">
        <v>45323</v>
      </c>
      <c r="Z21" s="97">
        <v>9</v>
      </c>
      <c r="AA21"/>
    </row>
    <row r="22" spans="1:27" ht="15" customHeight="1" x14ac:dyDescent="0.35">
      <c r="A22" s="90"/>
      <c r="B22" s="90"/>
      <c r="C22" s="90"/>
      <c r="D22" s="90"/>
      <c r="E22" s="90"/>
      <c r="F22" s="90"/>
      <c r="G22" s="90"/>
      <c r="H22" s="90"/>
      <c r="I22" s="90"/>
      <c r="J22" s="90"/>
      <c r="K22" s="90"/>
      <c r="L22" s="90"/>
      <c r="M22" s="90"/>
      <c r="N22" s="90"/>
      <c r="P22"/>
      <c r="Q22"/>
      <c r="R22"/>
      <c r="S22"/>
      <c r="T22"/>
      <c r="U22"/>
      <c r="V22"/>
      <c r="W22"/>
      <c r="X22"/>
      <c r="Y22" s="4">
        <v>45352</v>
      </c>
      <c r="Z22" s="97">
        <v>5</v>
      </c>
      <c r="AA22"/>
    </row>
    <row r="23" spans="1:27" ht="15" customHeight="1" x14ac:dyDescent="0.35">
      <c r="A23" s="90"/>
      <c r="B23" s="90"/>
      <c r="C23" s="90"/>
      <c r="D23" s="90"/>
      <c r="E23" s="90"/>
      <c r="F23" s="90"/>
      <c r="G23" s="90"/>
      <c r="H23" s="90"/>
      <c r="I23" s="90"/>
      <c r="J23" s="90"/>
      <c r="K23" s="90"/>
      <c r="L23" s="90"/>
      <c r="M23" s="90"/>
      <c r="N23" s="90"/>
      <c r="Y23" s="4">
        <v>45383</v>
      </c>
      <c r="Z23" s="97">
        <v>3</v>
      </c>
    </row>
    <row r="24" spans="1:27" ht="15" customHeight="1" x14ac:dyDescent="0.35">
      <c r="A24" s="90"/>
      <c r="B24" s="90"/>
      <c r="C24" s="90"/>
      <c r="D24" s="90"/>
      <c r="E24" s="90"/>
      <c r="F24" s="90"/>
      <c r="G24" s="90"/>
      <c r="H24" s="90"/>
      <c r="I24" s="90"/>
      <c r="J24" s="90"/>
      <c r="K24" s="90"/>
      <c r="L24" s="90"/>
      <c r="M24" s="90"/>
      <c r="N24" s="90"/>
      <c r="Y24" s="4">
        <v>45413</v>
      </c>
      <c r="Z24" s="97">
        <v>3</v>
      </c>
    </row>
    <row r="25" spans="1:27" ht="15" customHeight="1" x14ac:dyDescent="0.35">
      <c r="A25" s="90"/>
      <c r="B25" s="90"/>
      <c r="C25" s="90"/>
      <c r="D25" s="90"/>
      <c r="E25" s="90"/>
      <c r="F25" s="90"/>
      <c r="G25" s="90"/>
      <c r="H25" s="90"/>
      <c r="I25" s="90"/>
      <c r="J25" s="90"/>
      <c r="K25" s="90"/>
      <c r="L25" s="90"/>
      <c r="M25" s="90"/>
      <c r="N25" s="90"/>
      <c r="Y25" s="4">
        <v>45444</v>
      </c>
      <c r="Z25" s="97">
        <v>6</v>
      </c>
    </row>
    <row r="26" spans="1:27" ht="15" customHeight="1" x14ac:dyDescent="0.35">
      <c r="A26" s="90"/>
      <c r="B26" s="90"/>
      <c r="C26" s="90"/>
      <c r="D26" s="90"/>
      <c r="E26" s="90"/>
      <c r="F26" s="90"/>
      <c r="G26" s="90"/>
      <c r="H26" s="90"/>
      <c r="I26" s="90"/>
      <c r="J26" s="90"/>
      <c r="K26" s="90"/>
      <c r="L26" s="90"/>
      <c r="M26" s="90"/>
      <c r="N26" s="90"/>
      <c r="Y26" s="4">
        <v>45474</v>
      </c>
      <c r="Z26" s="97">
        <v>3</v>
      </c>
    </row>
    <row r="27" spans="1:27" ht="15" customHeight="1" x14ac:dyDescent="0.35">
      <c r="A27" s="90"/>
      <c r="B27" s="90"/>
      <c r="C27" s="90"/>
      <c r="D27" s="90"/>
      <c r="E27" s="90"/>
      <c r="F27" s="90"/>
      <c r="G27" s="90"/>
      <c r="H27" s="90"/>
      <c r="I27" s="90"/>
      <c r="J27" s="90"/>
      <c r="K27" s="90"/>
      <c r="L27" s="90"/>
      <c r="M27" s="90"/>
      <c r="N27" s="90"/>
      <c r="Y27" s="4">
        <v>45505</v>
      </c>
      <c r="Z27" s="97">
        <v>7</v>
      </c>
    </row>
    <row r="28" spans="1:27" ht="15" customHeight="1" x14ac:dyDescent="0.35">
      <c r="A28" s="90"/>
      <c r="B28" s="90"/>
      <c r="C28" s="90"/>
      <c r="D28" s="90"/>
      <c r="E28" s="90"/>
      <c r="F28" s="90"/>
      <c r="G28" s="90"/>
      <c r="H28" s="90"/>
      <c r="I28" s="90"/>
      <c r="J28" s="90"/>
      <c r="K28" s="90"/>
      <c r="L28" s="90"/>
      <c r="M28" s="90"/>
      <c r="N28" s="90"/>
      <c r="Y28" s="4">
        <v>45536</v>
      </c>
      <c r="Z28" s="97">
        <v>2</v>
      </c>
    </row>
    <row r="29" spans="1:27" ht="15" customHeight="1" x14ac:dyDescent="0.35">
      <c r="A29" s="90"/>
      <c r="B29" s="90"/>
      <c r="C29" s="90"/>
      <c r="D29" s="90"/>
      <c r="E29" s="90"/>
      <c r="F29" s="90"/>
      <c r="G29" s="90"/>
      <c r="H29" s="90"/>
      <c r="I29" s="90"/>
      <c r="J29" s="90"/>
      <c r="K29" s="90"/>
      <c r="L29" s="90"/>
      <c r="M29" s="90"/>
      <c r="N29" s="90"/>
      <c r="Y29" s="4">
        <v>45566</v>
      </c>
      <c r="Z29" s="97">
        <v>6</v>
      </c>
    </row>
    <row r="30" spans="1:27" ht="15" customHeight="1" x14ac:dyDescent="0.35">
      <c r="A30" s="90"/>
      <c r="B30" s="90"/>
      <c r="C30" s="90"/>
      <c r="D30" s="90"/>
      <c r="E30" s="90"/>
      <c r="F30" s="90"/>
      <c r="G30" s="90"/>
      <c r="H30" s="90"/>
      <c r="I30" s="90"/>
      <c r="J30" s="90"/>
      <c r="K30" s="90"/>
      <c r="L30" s="90"/>
      <c r="M30" s="90"/>
      <c r="N30" s="90"/>
      <c r="Y30" s="4">
        <v>45597</v>
      </c>
      <c r="Z30" s="97">
        <v>2</v>
      </c>
    </row>
    <row r="31" spans="1:27" ht="15" customHeight="1" x14ac:dyDescent="0.35">
      <c r="A31" s="90"/>
      <c r="B31" s="90"/>
      <c r="C31" s="90"/>
      <c r="D31" s="90"/>
      <c r="E31" s="90"/>
      <c r="F31" s="90"/>
      <c r="G31" s="90"/>
      <c r="H31" s="90"/>
      <c r="I31" s="90"/>
      <c r="J31" s="90"/>
      <c r="K31" s="90"/>
      <c r="L31" s="90"/>
      <c r="M31" s="90"/>
      <c r="N31" s="90"/>
      <c r="Y31" s="4" t="s">
        <v>513</v>
      </c>
      <c r="Z31" s="97">
        <v>100</v>
      </c>
    </row>
    <row r="32" spans="1:27" x14ac:dyDescent="0.35">
      <c r="A32" s="90"/>
      <c r="B32" s="90"/>
      <c r="C32" s="90"/>
      <c r="D32" s="90"/>
      <c r="E32" s="90"/>
      <c r="F32" s="90"/>
      <c r="G32" s="90"/>
      <c r="H32" s="90"/>
      <c r="I32" s="90"/>
      <c r="J32" s="90"/>
      <c r="K32" s="90"/>
      <c r="L32" s="90"/>
      <c r="M32" s="90"/>
      <c r="N32" s="90"/>
      <c r="Y32"/>
      <c r="Z32"/>
    </row>
    <row r="33" spans="1:26" ht="15" customHeight="1" x14ac:dyDescent="0.35">
      <c r="A33" s="90"/>
      <c r="B33" s="90"/>
      <c r="C33" s="90"/>
      <c r="D33" s="90"/>
      <c r="E33" s="90"/>
      <c r="F33" s="90"/>
      <c r="G33" s="90"/>
      <c r="H33" s="90"/>
      <c r="I33" s="90"/>
      <c r="J33" s="90"/>
      <c r="K33" s="90"/>
      <c r="L33" s="90"/>
      <c r="M33" s="90"/>
      <c r="N33" s="90"/>
      <c r="Y33"/>
      <c r="Z33"/>
    </row>
    <row r="34" spans="1:26" ht="15" customHeight="1" x14ac:dyDescent="0.35">
      <c r="A34" s="90"/>
      <c r="B34" s="90"/>
      <c r="C34" s="90"/>
      <c r="D34" s="90"/>
      <c r="E34" s="90"/>
      <c r="F34" s="90"/>
      <c r="G34" s="90"/>
      <c r="H34" s="90"/>
      <c r="I34" s="90"/>
      <c r="J34" s="90"/>
      <c r="K34" s="90"/>
      <c r="L34" s="90"/>
      <c r="M34" s="90"/>
      <c r="N34" s="90"/>
      <c r="Y34"/>
      <c r="Z34"/>
    </row>
    <row r="35" spans="1:26" ht="15" customHeight="1" x14ac:dyDescent="0.35">
      <c r="A35" s="90"/>
      <c r="B35" s="90"/>
      <c r="C35" s="90"/>
      <c r="D35" s="90"/>
      <c r="E35" s="90"/>
      <c r="F35" s="90"/>
      <c r="G35" s="90"/>
      <c r="H35" s="90"/>
      <c r="I35" s="90"/>
      <c r="J35" s="90"/>
      <c r="K35" s="90"/>
      <c r="L35" s="90"/>
      <c r="M35" s="90"/>
      <c r="N35" s="90"/>
      <c r="Y35"/>
      <c r="Z35"/>
    </row>
    <row r="36" spans="1:26" ht="15" customHeight="1" x14ac:dyDescent="0.35">
      <c r="A36" s="90"/>
      <c r="B36" s="90"/>
      <c r="C36" s="90"/>
      <c r="D36" s="90"/>
      <c r="E36" s="90"/>
      <c r="F36" s="90"/>
      <c r="G36" s="90"/>
      <c r="H36" s="90"/>
      <c r="I36" s="90"/>
      <c r="J36" s="90"/>
      <c r="K36" s="90"/>
      <c r="L36" s="90"/>
      <c r="M36" s="90"/>
      <c r="N36" s="90"/>
    </row>
    <row r="37" spans="1:26" ht="15" customHeight="1" x14ac:dyDescent="0.35">
      <c r="A37" s="90"/>
      <c r="B37" s="90"/>
      <c r="C37" s="90"/>
      <c r="D37" s="90"/>
      <c r="E37" s="90"/>
      <c r="F37" s="90"/>
      <c r="G37" s="90"/>
      <c r="H37" s="90"/>
      <c r="I37" s="90"/>
      <c r="J37" s="90"/>
      <c r="K37" s="90"/>
      <c r="L37" s="90"/>
      <c r="M37" s="90"/>
      <c r="N37" s="90"/>
    </row>
    <row r="38" spans="1:26" ht="15" customHeight="1" x14ac:dyDescent="0.35">
      <c r="A38" s="90"/>
      <c r="B38" s="90"/>
      <c r="C38" s="90"/>
      <c r="D38" s="90"/>
      <c r="E38" s="90"/>
      <c r="F38" s="90"/>
      <c r="G38" s="90"/>
      <c r="H38" s="90"/>
      <c r="I38" s="90"/>
      <c r="J38" s="90"/>
      <c r="K38" s="90"/>
      <c r="L38" s="90"/>
      <c r="M38" s="90"/>
      <c r="N38" s="90"/>
    </row>
    <row r="39" spans="1:26" ht="15" customHeight="1" x14ac:dyDescent="0.35">
      <c r="A39" s="90"/>
      <c r="B39" s="90"/>
      <c r="C39" s="90"/>
      <c r="D39" s="90"/>
      <c r="E39" s="90"/>
      <c r="F39" s="90"/>
      <c r="G39" s="90"/>
      <c r="H39" s="90"/>
      <c r="I39" s="90"/>
      <c r="J39" s="90"/>
      <c r="K39" s="90"/>
      <c r="L39" s="90"/>
      <c r="M39" s="90"/>
      <c r="N39" s="90"/>
    </row>
    <row r="40" spans="1:26" ht="15" customHeight="1" x14ac:dyDescent="0.35">
      <c r="A40" s="90"/>
      <c r="B40" s="90"/>
      <c r="C40" s="90"/>
      <c r="D40" s="90"/>
      <c r="E40" s="90"/>
      <c r="F40" s="90"/>
      <c r="G40" s="90"/>
      <c r="H40" s="90"/>
      <c r="I40" s="90"/>
      <c r="J40" s="90"/>
      <c r="K40" s="90"/>
      <c r="L40" s="90"/>
      <c r="M40" s="90"/>
      <c r="N40" s="90"/>
    </row>
    <row r="41" spans="1:26" ht="15" customHeight="1" x14ac:dyDescent="0.35">
      <c r="A41" s="90"/>
      <c r="B41" s="90"/>
      <c r="C41" s="90"/>
      <c r="D41" s="90"/>
      <c r="E41" s="90"/>
      <c r="F41" s="90"/>
      <c r="G41" s="90"/>
      <c r="H41" s="90"/>
      <c r="I41" s="90"/>
      <c r="J41" s="90"/>
      <c r="K41" s="90"/>
      <c r="L41" s="90"/>
      <c r="M41" s="90"/>
      <c r="N41" s="90"/>
    </row>
    <row r="42" spans="1:26" ht="15" customHeight="1" x14ac:dyDescent="0.35">
      <c r="A42" s="90"/>
      <c r="B42" s="90"/>
      <c r="C42" s="90"/>
      <c r="D42" s="90"/>
      <c r="E42" s="90"/>
      <c r="F42" s="90"/>
      <c r="G42" s="90"/>
      <c r="H42" s="90"/>
      <c r="I42" s="90"/>
      <c r="J42" s="90"/>
      <c r="K42" s="90"/>
      <c r="L42" s="90"/>
      <c r="M42" s="90"/>
      <c r="N42" s="90"/>
    </row>
    <row r="43" spans="1:26" ht="15" customHeight="1" x14ac:dyDescent="0.35">
      <c r="A43" s="90"/>
      <c r="B43" s="90"/>
      <c r="C43" s="90"/>
      <c r="D43" s="90"/>
      <c r="E43" s="90"/>
      <c r="F43" s="90"/>
      <c r="G43" s="90"/>
      <c r="H43" s="90"/>
      <c r="I43" s="90"/>
      <c r="J43" s="90"/>
      <c r="K43" s="90"/>
      <c r="L43" s="90"/>
      <c r="M43" s="90"/>
      <c r="N43" s="90"/>
    </row>
    <row r="44" spans="1:26" ht="15" customHeight="1" x14ac:dyDescent="0.35">
      <c r="A44" s="90"/>
      <c r="B44" s="90"/>
      <c r="C44" s="90"/>
      <c r="D44" s="90"/>
      <c r="E44" s="90"/>
      <c r="F44" s="90"/>
      <c r="G44" s="90"/>
      <c r="H44" s="90"/>
      <c r="I44" s="90"/>
      <c r="J44" s="90"/>
      <c r="K44" s="90"/>
      <c r="L44" s="90"/>
      <c r="M44" s="90"/>
      <c r="N44" s="90"/>
    </row>
    <row r="45" spans="1:26" ht="15" customHeight="1" x14ac:dyDescent="0.35">
      <c r="A45" s="90"/>
      <c r="B45" s="90"/>
      <c r="C45" s="90"/>
      <c r="D45" s="90"/>
      <c r="E45" s="90"/>
      <c r="F45" s="90"/>
      <c r="G45" s="90"/>
      <c r="H45" s="90"/>
      <c r="I45" s="90"/>
      <c r="J45" s="90"/>
      <c r="K45" s="90"/>
      <c r="L45" s="90"/>
      <c r="M45" s="90"/>
      <c r="N45" s="90"/>
    </row>
    <row r="46" spans="1:26" ht="15" customHeight="1" x14ac:dyDescent="0.35">
      <c r="A46" s="90"/>
      <c r="B46" s="90"/>
      <c r="C46" s="90"/>
      <c r="D46" s="90"/>
      <c r="E46" s="90"/>
      <c r="F46" s="90"/>
      <c r="G46" s="90"/>
      <c r="H46" s="90"/>
      <c r="I46" s="90"/>
      <c r="J46" s="90"/>
      <c r="K46" s="90"/>
      <c r="L46" s="90"/>
      <c r="M46" s="90"/>
      <c r="N46" s="90"/>
    </row>
    <row r="47" spans="1:26" ht="12" customHeight="1" x14ac:dyDescent="0.35">
      <c r="A47" s="90"/>
      <c r="B47" s="90"/>
      <c r="C47" s="90"/>
      <c r="D47" s="90"/>
      <c r="E47" s="90"/>
      <c r="F47" s="90"/>
      <c r="G47" s="90"/>
      <c r="H47" s="90"/>
      <c r="I47" s="90"/>
      <c r="J47" s="90"/>
      <c r="K47" s="90"/>
      <c r="L47" s="90"/>
      <c r="M47" s="90"/>
      <c r="N47" s="90"/>
    </row>
    <row r="48" spans="1:26" ht="19.95" customHeight="1" x14ac:dyDescent="0.35">
      <c r="A48" s="90"/>
      <c r="B48" s="112" t="s">
        <v>526</v>
      </c>
      <c r="C48" s="113"/>
      <c r="D48" s="113"/>
      <c r="E48" s="113"/>
      <c r="F48" s="113"/>
      <c r="G48" s="113"/>
      <c r="H48" s="113"/>
      <c r="I48" s="113"/>
      <c r="J48" s="113"/>
      <c r="K48" s="113"/>
      <c r="L48" s="113"/>
      <c r="M48" s="114"/>
      <c r="N48" s="90"/>
    </row>
    <row r="49" spans="1:14" ht="16.05" customHeight="1" x14ac:dyDescent="0.35">
      <c r="A49" s="90"/>
      <c r="B49" s="110" t="s">
        <v>467</v>
      </c>
      <c r="C49" s="109"/>
      <c r="D49" s="109"/>
      <c r="E49" s="109"/>
      <c r="F49" s="109"/>
      <c r="G49" s="109"/>
      <c r="H49" s="110" t="s">
        <v>527</v>
      </c>
      <c r="I49" s="109"/>
      <c r="J49" s="109"/>
      <c r="K49" s="109"/>
      <c r="L49" s="109"/>
      <c r="M49" s="115"/>
      <c r="N49" s="90"/>
    </row>
    <row r="50" spans="1:14" ht="16.95" customHeight="1" x14ac:dyDescent="0.35">
      <c r="A50" s="90"/>
      <c r="B50" s="118" t="s">
        <v>528</v>
      </c>
      <c r="C50" s="119"/>
      <c r="D50" s="119"/>
      <c r="E50" s="119"/>
      <c r="F50" s="119"/>
      <c r="G50" s="120">
        <f>AttendanceForecast</f>
        <v>63</v>
      </c>
      <c r="H50" s="118" t="s">
        <v>534</v>
      </c>
      <c r="I50" s="119"/>
      <c r="J50" s="119"/>
      <c r="K50" s="119"/>
      <c r="L50" s="119"/>
      <c r="M50" s="121">
        <f>G50*G51</f>
        <v>30429</v>
      </c>
      <c r="N50" s="90"/>
    </row>
    <row r="51" spans="1:14" ht="16.95" customHeight="1" x14ac:dyDescent="0.35">
      <c r="A51" s="90"/>
      <c r="B51" s="122" t="s">
        <v>529</v>
      </c>
      <c r="C51" s="123"/>
      <c r="D51" s="123"/>
      <c r="E51" s="123"/>
      <c r="F51" s="123"/>
      <c r="G51" s="124">
        <f>AvgTicketPrice</f>
        <v>483</v>
      </c>
      <c r="H51" s="122" t="s">
        <v>535</v>
      </c>
      <c r="I51" s="123"/>
      <c r="J51" s="123"/>
      <c r="K51" s="123"/>
      <c r="L51" s="123"/>
      <c r="M51" s="125">
        <f>M50-G55</f>
        <v>17129</v>
      </c>
      <c r="N51" s="90"/>
    </row>
    <row r="52" spans="1:14" ht="16.95" customHeight="1" x14ac:dyDescent="0.35">
      <c r="A52" s="90"/>
      <c r="B52" s="122" t="s">
        <v>530</v>
      </c>
      <c r="C52" s="123"/>
      <c r="D52" s="123"/>
      <c r="E52" s="123"/>
      <c r="F52" s="123"/>
      <c r="G52" s="126">
        <f>MarketingCosts</f>
        <v>9000</v>
      </c>
      <c r="H52" s="122" t="s">
        <v>477</v>
      </c>
      <c r="I52" s="123"/>
      <c r="J52" s="123"/>
      <c r="K52" s="123"/>
      <c r="L52" s="123"/>
      <c r="M52" s="125">
        <f>G54-M51</f>
        <v>27871</v>
      </c>
      <c r="N52" s="90"/>
    </row>
    <row r="53" spans="1:14" ht="19.95" customHeight="1" x14ac:dyDescent="0.35">
      <c r="A53" s="90"/>
      <c r="B53" s="122" t="s">
        <v>531</v>
      </c>
      <c r="C53" s="123"/>
      <c r="D53" s="123"/>
      <c r="E53" s="123"/>
      <c r="F53" s="123"/>
      <c r="G53" s="126">
        <f>OperationalCosts</f>
        <v>4300</v>
      </c>
      <c r="H53" s="122" t="s">
        <v>536</v>
      </c>
      <c r="I53" s="123"/>
      <c r="J53" s="123"/>
      <c r="K53" s="123"/>
      <c r="L53" s="123"/>
      <c r="M53" s="127">
        <f>G58</f>
        <v>925.39682539682542</v>
      </c>
      <c r="N53" s="90"/>
    </row>
    <row r="54" spans="1:14" ht="19.95" customHeight="1" x14ac:dyDescent="0.35">
      <c r="A54" s="90"/>
      <c r="B54" s="122" t="s">
        <v>532</v>
      </c>
      <c r="C54" s="123"/>
      <c r="D54" s="123"/>
      <c r="E54" s="123"/>
      <c r="F54" s="123"/>
      <c r="G54" s="126">
        <f>TargetProfit</f>
        <v>45000</v>
      </c>
      <c r="H54" s="122" t="s">
        <v>537</v>
      </c>
      <c r="I54" s="123"/>
      <c r="J54" s="123"/>
      <c r="K54" s="123"/>
      <c r="L54" s="123"/>
      <c r="M54" s="128">
        <f>ROUNDUP(M58,0)</f>
        <v>121</v>
      </c>
      <c r="N54" s="90"/>
    </row>
    <row r="55" spans="1:14" ht="16.95" customHeight="1" x14ac:dyDescent="0.35">
      <c r="A55" s="90"/>
      <c r="B55" s="129" t="s">
        <v>533</v>
      </c>
      <c r="C55" s="130"/>
      <c r="D55" s="130"/>
      <c r="E55" s="130"/>
      <c r="F55" s="130"/>
      <c r="G55" s="131">
        <f>G52+G53</f>
        <v>13300</v>
      </c>
      <c r="H55" s="129" t="s">
        <v>494</v>
      </c>
      <c r="I55" s="130"/>
      <c r="J55" s="130"/>
      <c r="K55" s="130"/>
      <c r="L55" s="130"/>
      <c r="M55" s="132" t="str">
        <f>IF(AND(ABS(G61)&lt;0.01,ABS(M61)&lt;0.001),"Vigente","Rehacer")</f>
        <v>Vigente</v>
      </c>
      <c r="N55" s="90"/>
    </row>
    <row r="56" spans="1:14" ht="28.05" customHeight="1" x14ac:dyDescent="0.35">
      <c r="A56" s="90"/>
      <c r="B56" s="111"/>
      <c r="C56" s="109"/>
      <c r="D56" s="109"/>
      <c r="E56" s="109"/>
      <c r="F56" s="109"/>
      <c r="G56" s="109"/>
      <c r="H56" s="111"/>
      <c r="I56" s="109"/>
      <c r="J56" s="109"/>
      <c r="K56" s="109"/>
      <c r="L56" s="109"/>
      <c r="M56" s="115"/>
      <c r="N56" s="90"/>
    </row>
    <row r="57" spans="1:14" ht="18" customHeight="1" x14ac:dyDescent="0.35">
      <c r="A57" s="90"/>
      <c r="B57" s="116" t="s">
        <v>538</v>
      </c>
      <c r="C57" s="113"/>
      <c r="D57" s="113"/>
      <c r="E57" s="113"/>
      <c r="F57" s="113"/>
      <c r="G57" s="113"/>
      <c r="H57" s="117"/>
      <c r="I57" s="113"/>
      <c r="J57" s="113"/>
      <c r="K57" s="113"/>
      <c r="L57" s="113"/>
      <c r="M57" s="114"/>
      <c r="N57" s="90"/>
    </row>
    <row r="58" spans="1:14" ht="16.95" customHeight="1" x14ac:dyDescent="0.35">
      <c r="A58" s="90"/>
      <c r="B58" s="133" t="s">
        <v>539</v>
      </c>
      <c r="C58" s="134"/>
      <c r="D58" s="134"/>
      <c r="E58" s="134"/>
      <c r="F58" s="134"/>
      <c r="G58" s="135">
        <f>Proyecciones!F77</f>
        <v>925.39682539682542</v>
      </c>
      <c r="H58" s="133" t="s">
        <v>542</v>
      </c>
      <c r="I58" s="134"/>
      <c r="J58" s="134"/>
      <c r="K58" s="134"/>
      <c r="L58" s="134"/>
      <c r="M58" s="136">
        <f>Proyecciones!M77</f>
        <v>120.70393374741201</v>
      </c>
      <c r="N58" s="90"/>
    </row>
    <row r="59" spans="1:14" ht="16.95" customHeight="1" x14ac:dyDescent="0.35">
      <c r="A59" s="90"/>
      <c r="B59" s="122" t="s">
        <v>540</v>
      </c>
      <c r="C59" s="123"/>
      <c r="D59" s="123"/>
      <c r="E59" s="123"/>
      <c r="F59" s="123"/>
      <c r="G59" s="126">
        <f>Proyecciones!F79</f>
        <v>45000</v>
      </c>
      <c r="H59" s="122" t="s">
        <v>543</v>
      </c>
      <c r="I59" s="123"/>
      <c r="J59" s="123"/>
      <c r="K59" s="123"/>
      <c r="L59" s="123"/>
      <c r="M59" s="125">
        <f>Proyecciones!M79</f>
        <v>45000</v>
      </c>
      <c r="N59" s="90"/>
    </row>
    <row r="60" spans="1:14" ht="16.95" customHeight="1" x14ac:dyDescent="0.35">
      <c r="A60" s="90"/>
      <c r="B60" s="122" t="s">
        <v>541</v>
      </c>
      <c r="C60" s="123"/>
      <c r="D60" s="123"/>
      <c r="E60" s="123"/>
      <c r="F60" s="123"/>
      <c r="G60" s="124">
        <f>Proyecciones!F80</f>
        <v>925.39682539682542</v>
      </c>
      <c r="H60" s="122" t="s">
        <v>544</v>
      </c>
      <c r="I60" s="123"/>
      <c r="J60" s="123"/>
      <c r="K60" s="123"/>
      <c r="L60" s="123"/>
      <c r="M60" s="137">
        <f>Proyecciones!M80</f>
        <v>120.70393374741201</v>
      </c>
      <c r="N60" s="90"/>
    </row>
    <row r="61" spans="1:14" ht="16.95" customHeight="1" x14ac:dyDescent="0.35">
      <c r="A61" s="90"/>
      <c r="B61" s="122" t="s">
        <v>484</v>
      </c>
      <c r="C61" s="123"/>
      <c r="D61" s="123"/>
      <c r="E61" s="123"/>
      <c r="F61" s="123"/>
      <c r="G61" s="138">
        <f>Proyecciones!F81</f>
        <v>0</v>
      </c>
      <c r="H61" s="122" t="s">
        <v>484</v>
      </c>
      <c r="I61" s="123"/>
      <c r="J61" s="123"/>
      <c r="K61" s="123"/>
      <c r="L61" s="123"/>
      <c r="M61" s="139">
        <f>Proyecciones!M81</f>
        <v>0</v>
      </c>
      <c r="N61" s="90"/>
    </row>
    <row r="62" spans="1:14" ht="16.95" customHeight="1" x14ac:dyDescent="0.35">
      <c r="A62" s="90"/>
      <c r="B62" s="140" t="s">
        <v>485</v>
      </c>
      <c r="C62" s="141"/>
      <c r="D62" s="141"/>
      <c r="E62" s="141"/>
      <c r="F62" s="141"/>
      <c r="G62" s="142">
        <f>Proyecciones!F82</f>
        <v>0.91593545630812723</v>
      </c>
      <c r="H62" s="140" t="s">
        <v>493</v>
      </c>
      <c r="I62" s="141"/>
      <c r="J62" s="141"/>
      <c r="K62" s="141"/>
      <c r="L62" s="141"/>
      <c r="M62" s="143">
        <f>Proyecciones!M84</f>
        <v>0.92063492063492069</v>
      </c>
      <c r="N62" s="90"/>
    </row>
    <row r="63" spans="1:14" ht="10.050000000000001" customHeight="1" x14ac:dyDescent="0.35">
      <c r="A63" s="90"/>
      <c r="B63" s="90"/>
      <c r="C63" s="90"/>
      <c r="D63" s="90"/>
      <c r="E63" s="90"/>
      <c r="F63" s="90"/>
      <c r="G63" s="90"/>
      <c r="H63" s="90"/>
      <c r="I63" s="90"/>
      <c r="J63" s="90"/>
      <c r="K63" s="90"/>
      <c r="L63" s="90"/>
      <c r="M63" s="90"/>
      <c r="N63" s="90"/>
    </row>
    <row r="64" spans="1:14" ht="18" customHeight="1" x14ac:dyDescent="0.35">
      <c r="A64" s="90"/>
      <c r="B64" s="94" t="s">
        <v>510</v>
      </c>
      <c r="C64" s="90"/>
      <c r="D64" s="90"/>
      <c r="E64" s="90"/>
      <c r="F64" s="204">
        <v>46311.896701388891</v>
      </c>
      <c r="G64" s="204"/>
      <c r="H64" s="90"/>
      <c r="I64" s="90"/>
      <c r="J64" s="90"/>
      <c r="K64" s="90"/>
      <c r="L64" s="90"/>
      <c r="M64" s="90"/>
      <c r="N64" s="90"/>
    </row>
    <row r="65" spans="1:14" x14ac:dyDescent="0.35">
      <c r="A65" s="90"/>
      <c r="B65" s="90"/>
      <c r="C65" s="90"/>
      <c r="D65" s="90"/>
      <c r="E65" s="90"/>
      <c r="F65" s="90"/>
      <c r="G65" s="90"/>
      <c r="H65" s="90"/>
      <c r="I65" s="90"/>
      <c r="J65" s="90"/>
      <c r="K65" s="90"/>
      <c r="L65" s="90"/>
      <c r="M65" s="90"/>
      <c r="N65" s="90"/>
    </row>
  </sheetData>
  <mergeCells count="10">
    <mergeCell ref="B4:M4"/>
    <mergeCell ref="F64:G64"/>
    <mergeCell ref="B15:D15"/>
    <mergeCell ref="B16:D16"/>
    <mergeCell ref="E15:G15"/>
    <mergeCell ref="E16:G16"/>
    <mergeCell ref="H15:J15"/>
    <mergeCell ref="H16:J16"/>
    <mergeCell ref="K15:M15"/>
    <mergeCell ref="K16:M16"/>
  </mergeCells>
  <conditionalFormatting sqref="K15:M15">
    <cfRule type="cellIs" dxfId="7" priority="1" stopIfTrue="1" operator="lessThan">
      <formula>0</formula>
    </cfRule>
  </conditionalFormatting>
  <conditionalFormatting sqref="M51">
    <cfRule type="cellIs" dxfId="6" priority="2" stopIfTrue="1" operator="lessThan">
      <formula>0</formula>
    </cfRule>
  </conditionalFormatting>
  <conditionalFormatting sqref="M55">
    <cfRule type="expression" dxfId="5" priority="3" stopIfTrue="1">
      <formula>$M$55="Vigente"</formula>
    </cfRule>
    <cfRule type="expression" dxfId="4" priority="4" stopIfTrue="1">
      <formula>$M$55="Rehacer"</formula>
    </cfRule>
  </conditionalFormatting>
  <hyperlinks>
    <hyperlink ref="B57" location="'Proyecciones'!B60" tooltip="Ir al Goal Seek en la hoja Proyecciones" display="Detalle del Goal Seek (cálculo en la hoja Proyecciones, sección 3)" xr:uid="{112A43DA-7B8D-48C1-BC83-A31F00D5B7D7}"/>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btnRefreshDashboard">
              <controlPr defaultSize="0" print="0" autoFill="0" autoPict="0" macro="RefreshDashboard" altText="Actualizar Cuadro de Mando">
                <anchor>
                  <from>
                    <xdr:col>10</xdr:col>
                    <xdr:colOff>502920</xdr:colOff>
                    <xdr:row>1</xdr:row>
                    <xdr:rowOff>99060</xdr:rowOff>
                  </from>
                  <to>
                    <xdr:col>12</xdr:col>
                    <xdr:colOff>868680</xdr:colOff>
                    <xdr:row>2</xdr:row>
                    <xdr:rowOff>152400</xdr:rowOff>
                  </to>
                </anchor>
              </controlPr>
            </control>
          </mc:Choice>
        </mc:AlternateContent>
        <mc:AlternateContent xmlns:mc="http://schemas.openxmlformats.org/markup-compatibility/2006">
          <mc:Choice Requires="x14">
            <control shapeId="3074" r:id="rId8" name="btnOpenAttendeeForm">
              <controlPr defaultSize="0" print="0" autoFill="0" autoPict="0" macro="ShowAttendeeForm" altText="Registrar o editar asistente">
                <anchor>
                  <from>
                    <xdr:col>8</xdr:col>
                    <xdr:colOff>396240</xdr:colOff>
                    <xdr:row>1</xdr:row>
                    <xdr:rowOff>99060</xdr:rowOff>
                  </from>
                  <to>
                    <xdr:col>10</xdr:col>
                    <xdr:colOff>381000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C3E-1CF3-4F69-8167-124FEB496E93}">
  <sheetPr codeName="Sheet6">
    <tabColor rgb="FFD97706"/>
  </sheetPr>
  <dimension ref="A1:BH73"/>
  <sheetViews>
    <sheetView showGridLines="0" showRowColHeaders="0" tabSelected="1" zoomScaleNormal="100" workbookViewId="0"/>
  </sheetViews>
  <sheetFormatPr defaultRowHeight="15" x14ac:dyDescent="0.35"/>
  <cols>
    <col min="1" max="1" width="2.33203125" style="89" customWidth="1"/>
    <col min="2" max="13" width="14" style="89" customWidth="1"/>
    <col min="14" max="14" width="2.33203125" style="89" customWidth="1"/>
    <col min="15" max="15" width="95.77734375" style="89" customWidth="1"/>
    <col min="16" max="16" width="25.88671875" style="89" customWidth="1"/>
    <col min="17" max="17" width="12.77734375" style="89" customWidth="1"/>
    <col min="18" max="18" width="3.77734375" style="89" customWidth="1"/>
    <col min="19" max="19" width="24.77734375" style="89" customWidth="1"/>
    <col min="20" max="20" width="22.5546875" style="89" customWidth="1"/>
    <col min="21" max="21" width="3.77734375" style="89" customWidth="1"/>
    <col min="22" max="22" width="17.21875" style="89" customWidth="1"/>
    <col min="23" max="23" width="24.88671875" style="89" customWidth="1"/>
    <col min="24" max="24" width="3.77734375" style="89" customWidth="1"/>
    <col min="25" max="25" width="19.33203125" style="89" customWidth="1"/>
    <col min="26" max="26" width="19.21875" style="89" customWidth="1"/>
    <col min="27" max="51" width="8.88671875" style="89"/>
    <col min="52" max="52" width="9.21875" style="89" customWidth="1"/>
    <col min="53" max="59" width="8.88671875" style="89"/>
    <col min="60" max="60" width="8.88671875" style="89" customWidth="1"/>
    <col min="61" max="16384" width="8.88671875" style="89"/>
  </cols>
  <sheetData>
    <row r="1" spans="1:60" ht="6" customHeight="1" x14ac:dyDescent="0.35">
      <c r="A1" s="90"/>
      <c r="B1" s="90"/>
      <c r="C1" s="90"/>
      <c r="D1" s="90"/>
      <c r="E1" s="90"/>
      <c r="F1" s="90"/>
      <c r="G1" s="90"/>
      <c r="H1" s="90"/>
      <c r="I1" s="90"/>
      <c r="J1" s="90"/>
      <c r="K1" s="90"/>
      <c r="L1" s="90"/>
      <c r="M1" s="90"/>
      <c r="N1" s="90"/>
      <c r="AZ1"/>
      <c r="BH1"/>
    </row>
    <row r="2" spans="1:60" ht="30" customHeight="1" x14ac:dyDescent="0.35">
      <c r="A2" s="90"/>
      <c r="B2" s="145" t="s">
        <v>545</v>
      </c>
      <c r="C2" s="146"/>
      <c r="D2" s="146"/>
      <c r="E2" s="146"/>
      <c r="F2" s="146"/>
      <c r="G2" s="146"/>
      <c r="H2" s="146"/>
      <c r="I2" s="146"/>
      <c r="J2" s="146"/>
      <c r="K2" s="146"/>
      <c r="L2" s="146"/>
      <c r="M2" s="146"/>
      <c r="N2" s="90"/>
    </row>
    <row r="3" spans="1:60" ht="19.95" customHeight="1" x14ac:dyDescent="0.35">
      <c r="A3" s="90"/>
      <c r="B3" s="147" t="str">
        <f>"Escenario de desafío presupuestario (Tarea 7): costos "&amp;FIXED(G55,0)&amp;" €, objetivo "&amp;FIXED(G54,0)&amp;" €."</f>
        <v>Escenario de desafío presupuestario (Tarea 7): costos 35,000 €, objetivo 100,000 €.</v>
      </c>
      <c r="C3" s="146"/>
      <c r="D3" s="146"/>
      <c r="E3" s="146"/>
      <c r="F3" s="146"/>
      <c r="G3" s="146"/>
      <c r="H3" s="146"/>
      <c r="I3" s="146"/>
      <c r="J3" s="146"/>
      <c r="K3" s="146"/>
      <c r="L3" s="146"/>
      <c r="M3" s="146"/>
      <c r="N3" s="90"/>
      <c r="P3" s="95" t="s">
        <v>511</v>
      </c>
    </row>
    <row r="4" spans="1:60" ht="25.95" customHeight="1" x14ac:dyDescent="0.35">
      <c r="A4" s="90"/>
      <c r="B4" s="212" t="s">
        <v>509</v>
      </c>
      <c r="C4" s="212"/>
      <c r="D4" s="212"/>
      <c r="E4" s="212"/>
      <c r="F4" s="212"/>
      <c r="G4" s="212"/>
      <c r="H4" s="212"/>
      <c r="I4" s="212"/>
      <c r="J4" s="212"/>
      <c r="K4" s="212"/>
      <c r="L4" s="212"/>
      <c r="M4" s="212"/>
      <c r="N4" s="90"/>
    </row>
    <row r="5" spans="1:60" ht="15" customHeight="1" x14ac:dyDescent="0.35">
      <c r="A5" s="90"/>
      <c r="B5" s="90"/>
      <c r="C5" s="90"/>
      <c r="D5" s="90"/>
      <c r="E5" s="90"/>
      <c r="F5" s="90"/>
      <c r="G5" s="90"/>
      <c r="H5" s="90"/>
      <c r="I5" s="90"/>
      <c r="J5" s="90"/>
      <c r="K5" s="90"/>
      <c r="L5" s="90"/>
      <c r="M5" s="90"/>
      <c r="N5" s="90"/>
      <c r="P5" t="s">
        <v>499</v>
      </c>
      <c r="Q5" t="s">
        <v>512</v>
      </c>
      <c r="R5"/>
      <c r="S5" s="98" t="s">
        <v>4</v>
      </c>
      <c r="T5" t="s">
        <v>514</v>
      </c>
      <c r="U5"/>
      <c r="V5" s="98" t="s">
        <v>3</v>
      </c>
      <c r="W5" t="s">
        <v>515</v>
      </c>
      <c r="X5"/>
      <c r="Y5" s="98" t="s">
        <v>421</v>
      </c>
      <c r="Z5" t="s">
        <v>516</v>
      </c>
      <c r="AA5"/>
    </row>
    <row r="6" spans="1:60" ht="15" customHeight="1" x14ac:dyDescent="0.35">
      <c r="A6" s="90"/>
      <c r="B6" s="90"/>
      <c r="C6" s="90"/>
      <c r="D6" s="90"/>
      <c r="E6" s="90"/>
      <c r="F6" s="90"/>
      <c r="G6" s="90"/>
      <c r="H6" s="90"/>
      <c r="I6" s="90"/>
      <c r="J6" s="90"/>
      <c r="K6" s="90"/>
      <c r="L6" s="90"/>
      <c r="M6" s="90"/>
      <c r="N6" s="90"/>
      <c r="P6" s="97">
        <v>100</v>
      </c>
      <c r="Q6" s="96">
        <v>48300</v>
      </c>
      <c r="R6"/>
      <c r="S6" t="s">
        <v>27</v>
      </c>
      <c r="T6" s="96">
        <v>9900</v>
      </c>
      <c r="U6"/>
      <c r="V6" t="s">
        <v>17</v>
      </c>
      <c r="W6" s="97">
        <v>50</v>
      </c>
      <c r="X6"/>
      <c r="Y6" s="4">
        <v>44866</v>
      </c>
      <c r="Z6" s="97">
        <v>1</v>
      </c>
      <c r="AA6"/>
    </row>
    <row r="7" spans="1:60" ht="15" customHeight="1" x14ac:dyDescent="0.35">
      <c r="A7" s="90"/>
      <c r="B7" s="90"/>
      <c r="C7" s="90"/>
      <c r="D7" s="90"/>
      <c r="E7" s="90"/>
      <c r="F7" s="90"/>
      <c r="G7" s="90"/>
      <c r="H7" s="90"/>
      <c r="I7" s="90"/>
      <c r="J7" s="90"/>
      <c r="K7" s="90"/>
      <c r="L7" s="90"/>
      <c r="M7" s="90"/>
      <c r="N7" s="90"/>
      <c r="P7"/>
      <c r="Q7"/>
      <c r="R7"/>
      <c r="S7" t="s">
        <v>12</v>
      </c>
      <c r="T7" s="96">
        <v>15300</v>
      </c>
      <c r="U7"/>
      <c r="V7" t="s">
        <v>11</v>
      </c>
      <c r="W7" s="97">
        <v>50</v>
      </c>
      <c r="X7"/>
      <c r="Y7" s="4">
        <v>44896</v>
      </c>
      <c r="Z7" s="97">
        <v>4</v>
      </c>
      <c r="AA7"/>
    </row>
    <row r="8" spans="1:60" ht="15" customHeight="1" x14ac:dyDescent="0.35">
      <c r="A8" s="90"/>
      <c r="B8" s="90"/>
      <c r="C8" s="90"/>
      <c r="D8" s="90"/>
      <c r="E8" s="90"/>
      <c r="F8" s="90"/>
      <c r="G8" s="90"/>
      <c r="H8" s="90"/>
      <c r="I8" s="90"/>
      <c r="J8" s="90"/>
      <c r="K8" s="90"/>
      <c r="L8" s="90"/>
      <c r="M8" s="90"/>
      <c r="N8" s="90"/>
      <c r="P8"/>
      <c r="Q8"/>
      <c r="R8"/>
      <c r="S8" t="s">
        <v>22</v>
      </c>
      <c r="T8" s="96">
        <v>23100</v>
      </c>
      <c r="U8"/>
      <c r="V8" t="s">
        <v>513</v>
      </c>
      <c r="W8" s="97">
        <v>100</v>
      </c>
      <c r="X8"/>
      <c r="Y8" s="4">
        <v>44927</v>
      </c>
      <c r="Z8" s="97">
        <v>3</v>
      </c>
      <c r="AA8"/>
    </row>
    <row r="9" spans="1:60" ht="15" customHeight="1" x14ac:dyDescent="0.35">
      <c r="A9" s="90"/>
      <c r="B9" s="90"/>
      <c r="C9" s="90"/>
      <c r="D9" s="90"/>
      <c r="E9" s="90"/>
      <c r="F9" s="90"/>
      <c r="G9" s="90"/>
      <c r="H9" s="90"/>
      <c r="I9" s="90"/>
      <c r="J9" s="90"/>
      <c r="K9" s="90"/>
      <c r="L9" s="90"/>
      <c r="M9" s="90"/>
      <c r="N9" s="90"/>
      <c r="P9" s="99" t="s">
        <v>517</v>
      </c>
      <c r="Q9" s="100">
        <f>ROWS(tblAttendees[Attendee ID])</f>
        <v>100</v>
      </c>
      <c r="R9"/>
      <c r="S9" t="s">
        <v>513</v>
      </c>
      <c r="T9" s="96">
        <v>48300</v>
      </c>
      <c r="U9"/>
      <c r="V9"/>
      <c r="W9"/>
      <c r="X9"/>
      <c r="Y9" s="4">
        <v>44958</v>
      </c>
      <c r="Z9" s="97">
        <v>8</v>
      </c>
      <c r="AA9"/>
    </row>
    <row r="10" spans="1:60" ht="15" customHeight="1" x14ac:dyDescent="0.35">
      <c r="A10" s="90"/>
      <c r="B10" s="90"/>
      <c r="C10" s="90"/>
      <c r="D10" s="90"/>
      <c r="E10" s="90"/>
      <c r="F10" s="90"/>
      <c r="G10" s="90"/>
      <c r="H10" s="90"/>
      <c r="I10" s="90"/>
      <c r="J10" s="90"/>
      <c r="K10" s="90"/>
      <c r="L10" s="90"/>
      <c r="M10" s="90"/>
      <c r="N10" s="90"/>
      <c r="P10"/>
      <c r="Q10"/>
      <c r="R10"/>
      <c r="S10"/>
      <c r="T10"/>
      <c r="U10"/>
      <c r="V10"/>
      <c r="W10"/>
      <c r="X10"/>
      <c r="Y10" s="4">
        <v>44986</v>
      </c>
      <c r="Z10" s="97">
        <v>1</v>
      </c>
      <c r="AA10"/>
    </row>
    <row r="11" spans="1:60" ht="15" customHeight="1" x14ac:dyDescent="0.35">
      <c r="A11" s="90"/>
      <c r="B11" s="90"/>
      <c r="C11" s="90"/>
      <c r="D11" s="90"/>
      <c r="E11" s="90"/>
      <c r="F11" s="90"/>
      <c r="G11" s="90"/>
      <c r="H11" s="90"/>
      <c r="I11" s="90"/>
      <c r="J11" s="90"/>
      <c r="K11" s="90"/>
      <c r="L11" s="90"/>
      <c r="M11" s="90"/>
      <c r="N11" s="90"/>
      <c r="P11"/>
      <c r="Q11"/>
      <c r="R11"/>
      <c r="S11"/>
      <c r="T11"/>
      <c r="U11"/>
      <c r="V11"/>
      <c r="W11"/>
      <c r="X11"/>
      <c r="Y11" s="4">
        <v>45017</v>
      </c>
      <c r="Z11" s="97">
        <v>6</v>
      </c>
      <c r="AA11"/>
    </row>
    <row r="12" spans="1:60" ht="22.05" customHeight="1" x14ac:dyDescent="0.35">
      <c r="A12" s="90"/>
      <c r="B12" s="148" t="str">
        <f>"Próximo evento: "&amp;G50&amp;" asistentes previstos (FORECAST.ETS). Para "&amp;FIXED(G54,0)&amp;" € de beneficio: precio medio "&amp;FIXED(M53,2)&amp;" € o "&amp;M54&amp;" asistentes."&amp;" Precios por sesión: filas 66 a 71."&amp;IF(M55="Rehacer"," (desactualizado: pulsar Actualizar Cuadro de Mando)","")</f>
        <v>Próximo evento: 63 asistentes previstos (FORECAST.ETS). Para 100,000 € de beneficio: precio medio 2,142.86 € o 280 asistentes. Precios por sesión: filas 66 a 71.</v>
      </c>
      <c r="C12" s="90"/>
      <c r="D12" s="90"/>
      <c r="E12" s="90"/>
      <c r="F12" s="90"/>
      <c r="G12" s="90"/>
      <c r="H12" s="90"/>
      <c r="I12" s="90"/>
      <c r="J12" s="90"/>
      <c r="K12" s="90"/>
      <c r="L12" s="90"/>
      <c r="M12" s="90"/>
      <c r="N12" s="90"/>
      <c r="P12"/>
      <c r="Q12"/>
      <c r="R12"/>
      <c r="S12"/>
      <c r="T12"/>
      <c r="U12"/>
      <c r="V12"/>
      <c r="W12"/>
      <c r="X12"/>
      <c r="Y12" s="4">
        <v>45047</v>
      </c>
      <c r="Z12" s="97">
        <v>3</v>
      </c>
      <c r="AA12"/>
    </row>
    <row r="13" spans="1:60" ht="16.05" customHeight="1" thickBot="1" x14ac:dyDescent="0.4">
      <c r="A13" s="90"/>
      <c r="B13" s="101" t="s">
        <v>518</v>
      </c>
      <c r="C13" s="90"/>
      <c r="D13" s="90"/>
      <c r="E13" s="90"/>
      <c r="F13" s="90"/>
      <c r="G13" s="90"/>
      <c r="H13" s="90"/>
      <c r="I13" s="90"/>
      <c r="J13" s="90"/>
      <c r="K13" s="90"/>
      <c r="L13" s="90"/>
      <c r="M13" s="90"/>
      <c r="N13" s="90"/>
      <c r="P13"/>
      <c r="Q13"/>
      <c r="R13"/>
      <c r="S13"/>
      <c r="T13"/>
      <c r="U13"/>
      <c r="V13"/>
      <c r="W13"/>
      <c r="X13"/>
      <c r="Y13" s="4">
        <v>45078</v>
      </c>
      <c r="Z13" s="97">
        <v>2</v>
      </c>
      <c r="AA13"/>
    </row>
    <row r="14" spans="1:60" ht="18" customHeight="1" thickTop="1" x14ac:dyDescent="0.35">
      <c r="A14" s="90"/>
      <c r="B14" s="102" t="s">
        <v>499</v>
      </c>
      <c r="C14" s="103"/>
      <c r="D14" s="103"/>
      <c r="E14" s="104" t="s">
        <v>520</v>
      </c>
      <c r="F14" s="105"/>
      <c r="G14" s="105"/>
      <c r="H14" s="104" t="s">
        <v>546</v>
      </c>
      <c r="I14" s="105"/>
      <c r="J14" s="105"/>
      <c r="K14" s="106" t="s">
        <v>524</v>
      </c>
      <c r="L14" s="107"/>
      <c r="M14" s="108"/>
      <c r="N14" s="90"/>
      <c r="P14"/>
      <c r="Q14"/>
      <c r="R14"/>
      <c r="S14"/>
      <c r="T14"/>
      <c r="U14"/>
      <c r="V14"/>
      <c r="W14"/>
      <c r="X14"/>
      <c r="Y14" s="4">
        <v>45108</v>
      </c>
      <c r="Z14" s="97">
        <v>5</v>
      </c>
      <c r="AA14"/>
    </row>
    <row r="15" spans="1:60" ht="36" customHeight="1" x14ac:dyDescent="0.35">
      <c r="A15" s="90"/>
      <c r="B15" s="213">
        <f>IFERROR(GETPIVOTDATA("Asistentes",$P$5),0)</f>
        <v>100</v>
      </c>
      <c r="C15" s="214"/>
      <c r="D15" s="214"/>
      <c r="E15" s="215">
        <f>IFERROR(GETPIVOTDATA("Ingresos (€)",$P$5),0)</f>
        <v>48300</v>
      </c>
      <c r="F15" s="216"/>
      <c r="G15" s="216"/>
      <c r="H15" s="217">
        <f>IF(B15=0,0,E15/B15)</f>
        <v>483</v>
      </c>
      <c r="I15" s="218"/>
      <c r="J15" s="218"/>
      <c r="K15" s="219">
        <f>IF($Q$9=0,0,E15-($G$52+$G$53)*B15/$Q$9)</f>
        <v>13300</v>
      </c>
      <c r="L15" s="220"/>
      <c r="M15" s="221"/>
      <c r="N15" s="90"/>
      <c r="P15"/>
      <c r="Q15"/>
      <c r="R15"/>
      <c r="S15"/>
      <c r="T15"/>
      <c r="U15"/>
      <c r="V15"/>
      <c r="W15"/>
      <c r="X15"/>
      <c r="Y15" s="4">
        <v>45139</v>
      </c>
      <c r="Z15" s="97">
        <v>3</v>
      </c>
      <c r="AA15"/>
    </row>
    <row r="16" spans="1:60" ht="16.05" customHeight="1" x14ac:dyDescent="0.35">
      <c r="A16" s="90"/>
      <c r="B16" s="222" t="s">
        <v>519</v>
      </c>
      <c r="C16" s="223"/>
      <c r="D16" s="223"/>
      <c r="E16" s="222" t="s">
        <v>521</v>
      </c>
      <c r="F16" s="223"/>
      <c r="G16" s="223"/>
      <c r="H16" s="222" t="str">
        <f>"necesario en el escenario: "&amp;FIXED(M53,2)&amp;" € (M53)"</f>
        <v>necesario en el escenario: 2,142.86 € (M53)</v>
      </c>
      <c r="I16" s="223"/>
      <c r="J16" s="223"/>
      <c r="K16" s="222" t="s">
        <v>547</v>
      </c>
      <c r="L16" s="223"/>
      <c r="M16" s="224"/>
      <c r="N16" s="90"/>
      <c r="P16"/>
      <c r="Q16"/>
      <c r="R16"/>
      <c r="S16"/>
      <c r="T16"/>
      <c r="U16"/>
      <c r="V16"/>
      <c r="W16"/>
      <c r="X16"/>
      <c r="Y16" s="4">
        <v>45170</v>
      </c>
      <c r="Z16" s="97">
        <v>3</v>
      </c>
      <c r="AA16"/>
    </row>
    <row r="17" spans="1:27" ht="12" customHeight="1" x14ac:dyDescent="0.35">
      <c r="A17" s="90"/>
      <c r="B17" s="90"/>
      <c r="C17" s="90"/>
      <c r="D17" s="90"/>
      <c r="E17" s="90"/>
      <c r="F17" s="90"/>
      <c r="G17" s="90"/>
      <c r="H17" s="90"/>
      <c r="I17" s="90"/>
      <c r="J17" s="90"/>
      <c r="K17" s="90"/>
      <c r="L17" s="90"/>
      <c r="M17" s="90"/>
      <c r="N17" s="90"/>
      <c r="P17"/>
      <c r="Q17"/>
      <c r="R17"/>
      <c r="S17"/>
      <c r="T17"/>
      <c r="U17"/>
      <c r="V17"/>
      <c r="W17"/>
      <c r="X17"/>
      <c r="Y17" s="4">
        <v>45200</v>
      </c>
      <c r="Z17" s="97">
        <v>4</v>
      </c>
      <c r="AA17"/>
    </row>
    <row r="18" spans="1:27" ht="15" customHeight="1" x14ac:dyDescent="0.35">
      <c r="A18" s="90"/>
      <c r="B18" s="90"/>
      <c r="C18" s="90"/>
      <c r="D18" s="90"/>
      <c r="E18" s="90"/>
      <c r="F18" s="90"/>
      <c r="G18" s="90"/>
      <c r="H18" s="90"/>
      <c r="I18" s="90"/>
      <c r="J18" s="90"/>
      <c r="K18" s="90"/>
      <c r="L18" s="90"/>
      <c r="M18" s="90"/>
      <c r="N18" s="90"/>
      <c r="P18"/>
      <c r="Q18"/>
      <c r="R18"/>
      <c r="S18"/>
      <c r="T18"/>
      <c r="U18"/>
      <c r="V18"/>
      <c r="W18"/>
      <c r="X18"/>
      <c r="Y18" s="4">
        <v>45231</v>
      </c>
      <c r="Z18" s="97">
        <v>2</v>
      </c>
      <c r="AA18"/>
    </row>
    <row r="19" spans="1:27" ht="15" customHeight="1" x14ac:dyDescent="0.35">
      <c r="A19" s="90"/>
      <c r="B19" s="90"/>
      <c r="C19" s="90"/>
      <c r="D19" s="90"/>
      <c r="E19" s="90"/>
      <c r="F19" s="90"/>
      <c r="G19" s="90"/>
      <c r="H19" s="90"/>
      <c r="I19" s="90"/>
      <c r="J19" s="90"/>
      <c r="K19" s="90"/>
      <c r="L19" s="90"/>
      <c r="M19" s="90"/>
      <c r="N19" s="90"/>
      <c r="P19"/>
      <c r="Q19"/>
      <c r="R19"/>
      <c r="S19"/>
      <c r="T19"/>
      <c r="U19"/>
      <c r="V19"/>
      <c r="W19"/>
      <c r="X19"/>
      <c r="Y19" s="4">
        <v>45261</v>
      </c>
      <c r="Z19" s="97">
        <v>2</v>
      </c>
      <c r="AA19"/>
    </row>
    <row r="20" spans="1:27" ht="15" customHeight="1" x14ac:dyDescent="0.35">
      <c r="A20" s="90"/>
      <c r="B20" s="90"/>
      <c r="C20" s="90"/>
      <c r="D20" s="90"/>
      <c r="E20" s="90"/>
      <c r="F20" s="90"/>
      <c r="G20" s="90"/>
      <c r="H20" s="90"/>
      <c r="I20" s="90"/>
      <c r="J20" s="90"/>
      <c r="K20" s="90"/>
      <c r="L20" s="90"/>
      <c r="M20" s="90"/>
      <c r="N20" s="90"/>
      <c r="P20"/>
      <c r="Q20"/>
      <c r="R20"/>
      <c r="S20"/>
      <c r="T20"/>
      <c r="U20"/>
      <c r="V20"/>
      <c r="W20"/>
      <c r="X20"/>
      <c r="Y20" s="4">
        <v>45292</v>
      </c>
      <c r="Z20" s="97">
        <v>7</v>
      </c>
      <c r="AA20"/>
    </row>
    <row r="21" spans="1:27" ht="15" customHeight="1" x14ac:dyDescent="0.35">
      <c r="A21" s="90"/>
      <c r="B21" s="90"/>
      <c r="C21" s="90"/>
      <c r="D21" s="90"/>
      <c r="E21" s="90"/>
      <c r="F21" s="90"/>
      <c r="G21" s="90"/>
      <c r="H21" s="90"/>
      <c r="I21" s="90"/>
      <c r="J21" s="90"/>
      <c r="K21" s="90"/>
      <c r="L21" s="90"/>
      <c r="M21" s="90"/>
      <c r="N21" s="90"/>
      <c r="P21"/>
      <c r="Q21"/>
      <c r="R21"/>
      <c r="S21"/>
      <c r="T21"/>
      <c r="U21"/>
      <c r="V21"/>
      <c r="W21"/>
      <c r="X21"/>
      <c r="Y21" s="4">
        <v>45323</v>
      </c>
      <c r="Z21" s="97">
        <v>9</v>
      </c>
      <c r="AA21"/>
    </row>
    <row r="22" spans="1:27" ht="15" customHeight="1" x14ac:dyDescent="0.35">
      <c r="A22" s="90"/>
      <c r="B22" s="90"/>
      <c r="C22" s="90"/>
      <c r="D22" s="90"/>
      <c r="E22" s="90"/>
      <c r="F22" s="90"/>
      <c r="G22" s="90"/>
      <c r="H22" s="90"/>
      <c r="I22" s="90"/>
      <c r="J22" s="90"/>
      <c r="K22" s="90"/>
      <c r="L22" s="90"/>
      <c r="M22" s="90"/>
      <c r="N22" s="90"/>
      <c r="P22"/>
      <c r="Q22"/>
      <c r="R22"/>
      <c r="S22"/>
      <c r="T22"/>
      <c r="U22"/>
      <c r="V22"/>
      <c r="W22"/>
      <c r="X22"/>
      <c r="Y22" s="4">
        <v>45352</v>
      </c>
      <c r="Z22" s="97">
        <v>5</v>
      </c>
      <c r="AA22"/>
    </row>
    <row r="23" spans="1:27" ht="15" customHeight="1" x14ac:dyDescent="0.35">
      <c r="A23" s="90"/>
      <c r="B23" s="90"/>
      <c r="C23" s="90"/>
      <c r="D23" s="90"/>
      <c r="E23" s="90"/>
      <c r="F23" s="90"/>
      <c r="G23" s="90"/>
      <c r="H23" s="90"/>
      <c r="I23" s="90"/>
      <c r="J23" s="90"/>
      <c r="K23" s="90"/>
      <c r="L23" s="90"/>
      <c r="M23" s="90"/>
      <c r="N23" s="90"/>
      <c r="Y23" s="4">
        <v>45383</v>
      </c>
      <c r="Z23" s="97">
        <v>3</v>
      </c>
    </row>
    <row r="24" spans="1:27" ht="15" customHeight="1" x14ac:dyDescent="0.35">
      <c r="A24" s="90"/>
      <c r="B24" s="90"/>
      <c r="C24" s="90"/>
      <c r="D24" s="90"/>
      <c r="E24" s="90"/>
      <c r="F24" s="90"/>
      <c r="G24" s="90"/>
      <c r="H24" s="90"/>
      <c r="I24" s="90"/>
      <c r="J24" s="90"/>
      <c r="K24" s="90"/>
      <c r="L24" s="90"/>
      <c r="M24" s="90"/>
      <c r="N24" s="90"/>
      <c r="Y24" s="4">
        <v>45413</v>
      </c>
      <c r="Z24" s="97">
        <v>3</v>
      </c>
    </row>
    <row r="25" spans="1:27" ht="15" customHeight="1" x14ac:dyDescent="0.35">
      <c r="A25" s="90"/>
      <c r="B25" s="90"/>
      <c r="C25" s="90"/>
      <c r="D25" s="90"/>
      <c r="E25" s="90"/>
      <c r="F25" s="90"/>
      <c r="G25" s="90"/>
      <c r="H25" s="90"/>
      <c r="I25" s="90"/>
      <c r="J25" s="90"/>
      <c r="K25" s="90"/>
      <c r="L25" s="90"/>
      <c r="M25" s="90"/>
      <c r="N25" s="90"/>
      <c r="Y25" s="4">
        <v>45444</v>
      </c>
      <c r="Z25" s="97">
        <v>6</v>
      </c>
    </row>
    <row r="26" spans="1:27" ht="15" customHeight="1" x14ac:dyDescent="0.35">
      <c r="A26" s="90"/>
      <c r="B26" s="90"/>
      <c r="C26" s="90"/>
      <c r="D26" s="90"/>
      <c r="E26" s="90"/>
      <c r="F26" s="90"/>
      <c r="G26" s="90"/>
      <c r="H26" s="90"/>
      <c r="I26" s="90"/>
      <c r="J26" s="90"/>
      <c r="K26" s="90"/>
      <c r="L26" s="90"/>
      <c r="M26" s="90"/>
      <c r="N26" s="90"/>
      <c r="Y26" s="4">
        <v>45474</v>
      </c>
      <c r="Z26" s="97">
        <v>3</v>
      </c>
    </row>
    <row r="27" spans="1:27" ht="15" customHeight="1" x14ac:dyDescent="0.35">
      <c r="A27" s="90"/>
      <c r="B27" s="90"/>
      <c r="C27" s="90"/>
      <c r="D27" s="90"/>
      <c r="E27" s="90"/>
      <c r="F27" s="90"/>
      <c r="G27" s="90"/>
      <c r="H27" s="90"/>
      <c r="I27" s="90"/>
      <c r="J27" s="90"/>
      <c r="K27" s="90"/>
      <c r="L27" s="90"/>
      <c r="M27" s="90"/>
      <c r="N27" s="90"/>
      <c r="Y27" s="4">
        <v>45505</v>
      </c>
      <c r="Z27" s="97">
        <v>7</v>
      </c>
    </row>
    <row r="28" spans="1:27" ht="15" customHeight="1" x14ac:dyDescent="0.35">
      <c r="A28" s="90"/>
      <c r="B28" s="90"/>
      <c r="C28" s="90"/>
      <c r="D28" s="90"/>
      <c r="E28" s="90"/>
      <c r="F28" s="90"/>
      <c r="G28" s="90"/>
      <c r="H28" s="90"/>
      <c r="I28" s="90"/>
      <c r="J28" s="90"/>
      <c r="K28" s="90"/>
      <c r="L28" s="90"/>
      <c r="M28" s="90"/>
      <c r="N28" s="90"/>
      <c r="Y28" s="4">
        <v>45536</v>
      </c>
      <c r="Z28" s="97">
        <v>2</v>
      </c>
    </row>
    <row r="29" spans="1:27" ht="15" customHeight="1" x14ac:dyDescent="0.35">
      <c r="A29" s="90"/>
      <c r="B29" s="90"/>
      <c r="C29" s="90"/>
      <c r="D29" s="90"/>
      <c r="E29" s="90"/>
      <c r="F29" s="90"/>
      <c r="G29" s="90"/>
      <c r="H29" s="90"/>
      <c r="I29" s="90"/>
      <c r="J29" s="90"/>
      <c r="K29" s="90"/>
      <c r="L29" s="90"/>
      <c r="M29" s="90"/>
      <c r="N29" s="90"/>
      <c r="Y29" s="4">
        <v>45566</v>
      </c>
      <c r="Z29" s="97">
        <v>6</v>
      </c>
    </row>
    <row r="30" spans="1:27" ht="15" customHeight="1" x14ac:dyDescent="0.35">
      <c r="A30" s="90"/>
      <c r="B30" s="90"/>
      <c r="C30" s="90"/>
      <c r="D30" s="90"/>
      <c r="E30" s="90"/>
      <c r="F30" s="90"/>
      <c r="G30" s="90"/>
      <c r="H30" s="90"/>
      <c r="I30" s="90"/>
      <c r="J30" s="90"/>
      <c r="K30" s="90"/>
      <c r="L30" s="90"/>
      <c r="M30" s="90"/>
      <c r="N30" s="90"/>
      <c r="Y30" s="4">
        <v>45597</v>
      </c>
      <c r="Z30" s="97">
        <v>2</v>
      </c>
    </row>
    <row r="31" spans="1:27" ht="15" customHeight="1" x14ac:dyDescent="0.35">
      <c r="A31" s="90"/>
      <c r="B31" s="90"/>
      <c r="C31" s="90"/>
      <c r="D31" s="90"/>
      <c r="E31" s="90"/>
      <c r="F31" s="90"/>
      <c r="G31" s="90"/>
      <c r="H31" s="90"/>
      <c r="I31" s="90"/>
      <c r="J31" s="90"/>
      <c r="K31" s="90"/>
      <c r="L31" s="90"/>
      <c r="M31" s="90"/>
      <c r="N31" s="90"/>
      <c r="Y31" s="4" t="s">
        <v>513</v>
      </c>
      <c r="Z31" s="97">
        <v>100</v>
      </c>
    </row>
    <row r="32" spans="1:27" x14ac:dyDescent="0.35">
      <c r="A32" s="90"/>
      <c r="B32" s="90"/>
      <c r="C32" s="90"/>
      <c r="D32" s="90"/>
      <c r="E32" s="90"/>
      <c r="F32" s="90"/>
      <c r="G32" s="90"/>
      <c r="H32" s="90"/>
      <c r="I32" s="90"/>
      <c r="J32" s="90"/>
      <c r="K32" s="90"/>
      <c r="L32" s="90"/>
      <c r="M32" s="90"/>
      <c r="N32" s="90"/>
      <c r="Y32"/>
      <c r="Z32"/>
    </row>
    <row r="33" spans="1:26" ht="15" customHeight="1" x14ac:dyDescent="0.35">
      <c r="A33" s="90"/>
      <c r="B33" s="90"/>
      <c r="C33" s="90"/>
      <c r="D33" s="90"/>
      <c r="E33" s="90"/>
      <c r="F33" s="90"/>
      <c r="G33" s="90"/>
      <c r="H33" s="90"/>
      <c r="I33" s="90"/>
      <c r="J33" s="90"/>
      <c r="K33" s="90"/>
      <c r="L33" s="90"/>
      <c r="M33" s="90"/>
      <c r="N33" s="90"/>
      <c r="Y33"/>
      <c r="Z33"/>
    </row>
    <row r="34" spans="1:26" ht="15" customHeight="1" x14ac:dyDescent="0.35">
      <c r="A34" s="90"/>
      <c r="B34" s="90"/>
      <c r="C34" s="90"/>
      <c r="D34" s="90"/>
      <c r="E34" s="90"/>
      <c r="F34" s="90"/>
      <c r="G34" s="90"/>
      <c r="H34" s="90"/>
      <c r="I34" s="90"/>
      <c r="J34" s="90"/>
      <c r="K34" s="90"/>
      <c r="L34" s="90"/>
      <c r="M34" s="90"/>
      <c r="N34" s="90"/>
      <c r="Y34"/>
      <c r="Z34"/>
    </row>
    <row r="35" spans="1:26" ht="15" customHeight="1" x14ac:dyDescent="0.35">
      <c r="A35" s="90"/>
      <c r="B35" s="90"/>
      <c r="C35" s="90"/>
      <c r="D35" s="90"/>
      <c r="E35" s="90"/>
      <c r="F35" s="90"/>
      <c r="G35" s="90"/>
      <c r="H35" s="90"/>
      <c r="I35" s="90"/>
      <c r="J35" s="90"/>
      <c r="K35" s="90"/>
      <c r="L35" s="90"/>
      <c r="M35" s="90"/>
      <c r="N35" s="90"/>
      <c r="Y35"/>
      <c r="Z35"/>
    </row>
    <row r="36" spans="1:26" ht="15" customHeight="1" x14ac:dyDescent="0.35">
      <c r="A36" s="90"/>
      <c r="B36" s="90"/>
      <c r="C36" s="90"/>
      <c r="D36" s="90"/>
      <c r="E36" s="90"/>
      <c r="F36" s="90"/>
      <c r="G36" s="90"/>
      <c r="H36" s="90"/>
      <c r="I36" s="90"/>
      <c r="J36" s="90"/>
      <c r="K36" s="90"/>
      <c r="L36" s="90"/>
      <c r="M36" s="90"/>
      <c r="N36" s="90"/>
    </row>
    <row r="37" spans="1:26" ht="15" customHeight="1" x14ac:dyDescent="0.35">
      <c r="A37" s="90"/>
      <c r="B37" s="90"/>
      <c r="C37" s="90"/>
      <c r="D37" s="90"/>
      <c r="E37" s="90"/>
      <c r="F37" s="90"/>
      <c r="G37" s="90"/>
      <c r="H37" s="90"/>
      <c r="I37" s="90"/>
      <c r="J37" s="90"/>
      <c r="K37" s="90"/>
      <c r="L37" s="90"/>
      <c r="M37" s="90"/>
      <c r="N37" s="90"/>
    </row>
    <row r="38" spans="1:26" ht="15" customHeight="1" x14ac:dyDescent="0.35">
      <c r="A38" s="90"/>
      <c r="B38" s="90"/>
      <c r="C38" s="90"/>
      <c r="D38" s="90"/>
      <c r="E38" s="90"/>
      <c r="F38" s="90"/>
      <c r="G38" s="90"/>
      <c r="H38" s="90"/>
      <c r="I38" s="90"/>
      <c r="J38" s="90"/>
      <c r="K38" s="90"/>
      <c r="L38" s="90"/>
      <c r="M38" s="90"/>
      <c r="N38" s="90"/>
    </row>
    <row r="39" spans="1:26" ht="15" customHeight="1" x14ac:dyDescent="0.35">
      <c r="A39" s="90"/>
      <c r="B39" s="90"/>
      <c r="C39" s="90"/>
      <c r="D39" s="90"/>
      <c r="E39" s="90"/>
      <c r="F39" s="90"/>
      <c r="G39" s="90"/>
      <c r="H39" s="90"/>
      <c r="I39" s="90"/>
      <c r="J39" s="90"/>
      <c r="K39" s="90"/>
      <c r="L39" s="90"/>
      <c r="M39" s="90"/>
      <c r="N39" s="90"/>
    </row>
    <row r="40" spans="1:26" ht="15" customHeight="1" x14ac:dyDescent="0.35">
      <c r="A40" s="90"/>
      <c r="B40" s="90"/>
      <c r="C40" s="90"/>
      <c r="D40" s="90"/>
      <c r="E40" s="90"/>
      <c r="F40" s="90"/>
      <c r="G40" s="90"/>
      <c r="H40" s="90"/>
      <c r="I40" s="90"/>
      <c r="J40" s="90"/>
      <c r="K40" s="90"/>
      <c r="L40" s="90"/>
      <c r="M40" s="90"/>
      <c r="N40" s="90"/>
    </row>
    <row r="41" spans="1:26" ht="15" customHeight="1" x14ac:dyDescent="0.35">
      <c r="A41" s="90"/>
      <c r="B41" s="90"/>
      <c r="C41" s="90"/>
      <c r="D41" s="90"/>
      <c r="E41" s="90"/>
      <c r="F41" s="90"/>
      <c r="G41" s="90"/>
      <c r="H41" s="90"/>
      <c r="I41" s="90"/>
      <c r="J41" s="90"/>
      <c r="K41" s="90"/>
      <c r="L41" s="90"/>
      <c r="M41" s="90"/>
      <c r="N41" s="90"/>
    </row>
    <row r="42" spans="1:26" ht="15" customHeight="1" x14ac:dyDescent="0.35">
      <c r="A42" s="90"/>
      <c r="B42" s="90"/>
      <c r="C42" s="90"/>
      <c r="D42" s="90"/>
      <c r="E42" s="90"/>
      <c r="F42" s="90"/>
      <c r="G42" s="90"/>
      <c r="H42" s="90"/>
      <c r="I42" s="90"/>
      <c r="J42" s="90"/>
      <c r="K42" s="90"/>
      <c r="L42" s="90"/>
      <c r="M42" s="90"/>
      <c r="N42" s="90"/>
    </row>
    <row r="43" spans="1:26" ht="15" customHeight="1" x14ac:dyDescent="0.35">
      <c r="A43" s="90"/>
      <c r="B43" s="90"/>
      <c r="C43" s="90"/>
      <c r="D43" s="90"/>
      <c r="E43" s="90"/>
      <c r="F43" s="90"/>
      <c r="G43" s="90"/>
      <c r="H43" s="90"/>
      <c r="I43" s="90"/>
      <c r="J43" s="90"/>
      <c r="K43" s="90"/>
      <c r="L43" s="90"/>
      <c r="M43" s="90"/>
      <c r="N43" s="90"/>
    </row>
    <row r="44" spans="1:26" ht="15" customHeight="1" x14ac:dyDescent="0.35">
      <c r="A44" s="90"/>
      <c r="B44" s="90"/>
      <c r="C44" s="90"/>
      <c r="D44" s="90"/>
      <c r="E44" s="90"/>
      <c r="F44" s="90"/>
      <c r="G44" s="90"/>
      <c r="H44" s="90"/>
      <c r="I44" s="90"/>
      <c r="J44" s="90"/>
      <c r="K44" s="90"/>
      <c r="L44" s="90"/>
      <c r="M44" s="90"/>
      <c r="N44" s="90"/>
    </row>
    <row r="45" spans="1:26" ht="15" customHeight="1" x14ac:dyDescent="0.35">
      <c r="A45" s="90"/>
      <c r="B45" s="90"/>
      <c r="C45" s="90"/>
      <c r="D45" s="90"/>
      <c r="E45" s="90"/>
      <c r="F45" s="90"/>
      <c r="G45" s="90"/>
      <c r="H45" s="90"/>
      <c r="I45" s="90"/>
      <c r="J45" s="90"/>
      <c r="K45" s="90"/>
      <c r="L45" s="90"/>
      <c r="M45" s="90"/>
      <c r="N45" s="90"/>
    </row>
    <row r="46" spans="1:26" ht="15" customHeight="1" x14ac:dyDescent="0.35">
      <c r="A46" s="90"/>
      <c r="B46" s="90"/>
      <c r="C46" s="90"/>
      <c r="D46" s="90"/>
      <c r="E46" s="90"/>
      <c r="F46" s="90"/>
      <c r="G46" s="90"/>
      <c r="H46" s="90"/>
      <c r="I46" s="90"/>
      <c r="J46" s="90"/>
      <c r="K46" s="90"/>
      <c r="L46" s="90"/>
      <c r="M46" s="90"/>
      <c r="N46" s="90"/>
    </row>
    <row r="47" spans="1:26" ht="12" customHeight="1" x14ac:dyDescent="0.35">
      <c r="A47" s="90"/>
      <c r="B47" s="90"/>
      <c r="C47" s="90"/>
      <c r="D47" s="90"/>
      <c r="E47" s="90"/>
      <c r="F47" s="90"/>
      <c r="G47" s="90"/>
      <c r="H47" s="90"/>
      <c r="I47" s="90"/>
      <c r="J47" s="90"/>
      <c r="K47" s="90"/>
      <c r="L47" s="90"/>
      <c r="M47" s="90"/>
      <c r="N47" s="90"/>
    </row>
    <row r="48" spans="1:26" ht="19.95" customHeight="1" x14ac:dyDescent="0.35">
      <c r="A48" s="90"/>
      <c r="B48" s="112" t="s">
        <v>526</v>
      </c>
      <c r="C48" s="113"/>
      <c r="D48" s="113"/>
      <c r="E48" s="113"/>
      <c r="F48" s="113"/>
      <c r="G48" s="113"/>
      <c r="H48" s="113"/>
      <c r="I48" s="113"/>
      <c r="J48" s="113"/>
      <c r="K48" s="113"/>
      <c r="L48" s="113"/>
      <c r="M48" s="114"/>
      <c r="N48" s="90"/>
    </row>
    <row r="49" spans="1:14" ht="16.05" customHeight="1" x14ac:dyDescent="0.35">
      <c r="A49" s="90"/>
      <c r="B49" s="110" t="s">
        <v>467</v>
      </c>
      <c r="C49" s="109"/>
      <c r="D49" s="109"/>
      <c r="E49" s="109"/>
      <c r="F49" s="109"/>
      <c r="G49" s="109"/>
      <c r="H49" s="110" t="s">
        <v>527</v>
      </c>
      <c r="I49" s="109"/>
      <c r="J49" s="109"/>
      <c r="K49" s="109"/>
      <c r="L49" s="109"/>
      <c r="M49" s="115"/>
      <c r="N49" s="90"/>
    </row>
    <row r="50" spans="1:14" ht="16.95" customHeight="1" x14ac:dyDescent="0.35">
      <c r="A50" s="90"/>
      <c r="B50" s="118" t="s">
        <v>528</v>
      </c>
      <c r="C50" s="119"/>
      <c r="D50" s="119"/>
      <c r="E50" s="119"/>
      <c r="F50" s="119"/>
      <c r="G50" s="120">
        <f>AttendanceForecast</f>
        <v>63</v>
      </c>
      <c r="H50" s="118" t="s">
        <v>534</v>
      </c>
      <c r="I50" s="119"/>
      <c r="J50" s="119"/>
      <c r="K50" s="119"/>
      <c r="L50" s="119"/>
      <c r="M50" s="121">
        <f>G50*G51</f>
        <v>30429</v>
      </c>
      <c r="N50" s="90"/>
    </row>
    <row r="51" spans="1:14" ht="16.95" customHeight="1" x14ac:dyDescent="0.35">
      <c r="A51" s="90"/>
      <c r="B51" s="122" t="s">
        <v>529</v>
      </c>
      <c r="C51" s="123"/>
      <c r="D51" s="123"/>
      <c r="E51" s="123"/>
      <c r="F51" s="123"/>
      <c r="G51" s="152">
        <f>AvgTicketPrice</f>
        <v>483</v>
      </c>
      <c r="H51" s="122" t="s">
        <v>535</v>
      </c>
      <c r="I51" s="123"/>
      <c r="J51" s="123"/>
      <c r="K51" s="123"/>
      <c r="L51" s="123"/>
      <c r="M51" s="125">
        <f>M50-G55</f>
        <v>-4571</v>
      </c>
      <c r="N51" s="90"/>
    </row>
    <row r="52" spans="1:14" ht="16.95" customHeight="1" x14ac:dyDescent="0.35">
      <c r="A52" s="90"/>
      <c r="B52" s="122" t="s">
        <v>530</v>
      </c>
      <c r="C52" s="123"/>
      <c r="D52" s="123"/>
      <c r="E52" s="123"/>
      <c r="F52" s="123"/>
      <c r="G52" s="154">
        <v>10000</v>
      </c>
      <c r="H52" s="151" t="s">
        <v>477</v>
      </c>
      <c r="I52" s="123"/>
      <c r="J52" s="123"/>
      <c r="K52" s="123"/>
      <c r="L52" s="123"/>
      <c r="M52" s="125">
        <f>G54-M51</f>
        <v>104571</v>
      </c>
      <c r="N52" s="90"/>
    </row>
    <row r="53" spans="1:14" ht="19.95" customHeight="1" x14ac:dyDescent="0.35">
      <c r="A53" s="90"/>
      <c r="B53" s="122" t="s">
        <v>531</v>
      </c>
      <c r="C53" s="123"/>
      <c r="D53" s="123"/>
      <c r="E53" s="123"/>
      <c r="F53" s="123"/>
      <c r="G53" s="154">
        <v>25000</v>
      </c>
      <c r="H53" s="151" t="s">
        <v>536</v>
      </c>
      <c r="I53" s="123"/>
      <c r="J53" s="123"/>
      <c r="K53" s="123"/>
      <c r="L53" s="123"/>
      <c r="M53" s="149">
        <f>G58</f>
        <v>2142.8571428571431</v>
      </c>
      <c r="N53" s="90"/>
    </row>
    <row r="54" spans="1:14" ht="19.95" customHeight="1" x14ac:dyDescent="0.35">
      <c r="A54" s="90"/>
      <c r="B54" s="122" t="s">
        <v>532</v>
      </c>
      <c r="C54" s="123"/>
      <c r="D54" s="123"/>
      <c r="E54" s="123"/>
      <c r="F54" s="123"/>
      <c r="G54" s="153">
        <v>100000</v>
      </c>
      <c r="H54" s="151" t="s">
        <v>537</v>
      </c>
      <c r="I54" s="123"/>
      <c r="J54" s="123"/>
      <c r="K54" s="123"/>
      <c r="L54" s="123"/>
      <c r="M54" s="150">
        <f>ROUNDUP(M58,0)</f>
        <v>280</v>
      </c>
      <c r="N54" s="90"/>
    </row>
    <row r="55" spans="1:14" ht="16.95" customHeight="1" x14ac:dyDescent="0.35">
      <c r="A55" s="90"/>
      <c r="B55" s="129" t="s">
        <v>533</v>
      </c>
      <c r="C55" s="130"/>
      <c r="D55" s="130"/>
      <c r="E55" s="130"/>
      <c r="F55" s="130"/>
      <c r="G55" s="155">
        <f>G52+G53</f>
        <v>35000</v>
      </c>
      <c r="H55" s="129" t="s">
        <v>494</v>
      </c>
      <c r="I55" s="130"/>
      <c r="J55" s="130"/>
      <c r="K55" s="130"/>
      <c r="L55" s="130"/>
      <c r="M55" s="132" t="str">
        <f>IF(AND(ABS(G61)&lt;0.01,ABS(M61)&lt;0.001),"Vigente","Rehacer")</f>
        <v>Vigente</v>
      </c>
      <c r="N55" s="90"/>
    </row>
    <row r="56" spans="1:14" ht="40.049999999999997" customHeight="1" x14ac:dyDescent="0.35">
      <c r="A56" s="90"/>
      <c r="B56" s="205" t="str">
        <f>"Beneficio objetivo: la consigna indica «100.00 euros»; se interpreta como "&amp;FIXED(100000,0)&amp;" € (cien mil euros), porque con costos de "&amp;FIXED(G55,0)&amp;" € y entradas de cientos de euros un objetivo de 100 € no tendría sentido. "&amp;"Los gráficos se conservan sin cambios porque muestran inscripciones históricas, que el escenario no modifica. "&amp;"Lectura: el objetivo exige un precio medio "&amp;FIXED(G58/G51,1)&amp;" veces el actual o "&amp;FIXED(M54/G50,1)&amp;" veces la asistencia prevista; en la práctica habría que combinar ambas palancas. "&amp;"El objetivo vigente del escenario está en G54."</f>
        <v>Beneficio objetivo: la consigna indica «100.00 euros»; se interpreta como 100,000 € (cien mil euros), porque con costos de 35,000 € y entradas de cientos de euros un objetivo de 100 € no tendría sentido. Los gráficos se conservan sin cambios porque muestran inscripciones históricas, que el escenario no modifica. Lectura: el objetivo exige un precio medio 4.4 veces el actual o 4.4 veces la asistencia prevista; en la práctica habría que combinar ambas palancas. El objetivo vigente del escenario está en G54.</v>
      </c>
      <c r="C56" s="206"/>
      <c r="D56" s="206"/>
      <c r="E56" s="206"/>
      <c r="F56" s="206"/>
      <c r="G56" s="206"/>
      <c r="H56" s="206"/>
      <c r="I56" s="206"/>
      <c r="J56" s="206"/>
      <c r="K56" s="206"/>
      <c r="L56" s="206"/>
      <c r="M56" s="207"/>
      <c r="N56" s="90"/>
    </row>
    <row r="57" spans="1:14" ht="18" customHeight="1" x14ac:dyDescent="0.35">
      <c r="A57" s="90"/>
      <c r="B57" s="156" t="s">
        <v>548</v>
      </c>
      <c r="C57" s="113"/>
      <c r="D57" s="113"/>
      <c r="E57" s="113"/>
      <c r="F57" s="113"/>
      <c r="G57" s="113"/>
      <c r="H57" s="117"/>
      <c r="I57" s="113"/>
      <c r="J57" s="113"/>
      <c r="K57" s="113"/>
      <c r="L57" s="113"/>
      <c r="M57" s="114"/>
      <c r="N57" s="90"/>
    </row>
    <row r="58" spans="1:14" ht="16.95" customHeight="1" x14ac:dyDescent="0.35">
      <c r="A58" s="90"/>
      <c r="B58" s="133" t="s">
        <v>549</v>
      </c>
      <c r="C58" s="134"/>
      <c r="D58" s="134"/>
      <c r="E58" s="134"/>
      <c r="F58" s="134"/>
      <c r="G58" s="157">
        <v>2142.8571428571431</v>
      </c>
      <c r="H58" s="133" t="s">
        <v>551</v>
      </c>
      <c r="I58" s="134"/>
      <c r="J58" s="134"/>
      <c r="K58" s="134"/>
      <c r="L58" s="134"/>
      <c r="M58" s="158">
        <v>279.50310559006215</v>
      </c>
      <c r="N58" s="90"/>
    </row>
    <row r="59" spans="1:14" ht="16.95" customHeight="1" x14ac:dyDescent="0.35">
      <c r="A59" s="90"/>
      <c r="B59" s="122" t="s">
        <v>550</v>
      </c>
      <c r="C59" s="123"/>
      <c r="D59" s="123"/>
      <c r="E59" s="123"/>
      <c r="F59" s="123"/>
      <c r="G59" s="126">
        <f>G58*G50-G55</f>
        <v>100000.00000000003</v>
      </c>
      <c r="H59" s="122" t="s">
        <v>552</v>
      </c>
      <c r="I59" s="123"/>
      <c r="J59" s="123"/>
      <c r="K59" s="123"/>
      <c r="L59" s="123"/>
      <c r="M59" s="125">
        <f>M58*G51-G55</f>
        <v>100000.00000000003</v>
      </c>
      <c r="N59" s="90"/>
    </row>
    <row r="60" spans="1:14" ht="16.95" customHeight="1" x14ac:dyDescent="0.35">
      <c r="A60" s="90"/>
      <c r="B60" s="122" t="s">
        <v>541</v>
      </c>
      <c r="C60" s="123"/>
      <c r="D60" s="123"/>
      <c r="E60" s="123"/>
      <c r="F60" s="123"/>
      <c r="G60" s="124">
        <f>(G54+G55)/G50</f>
        <v>2142.8571428571427</v>
      </c>
      <c r="H60" s="122" t="s">
        <v>544</v>
      </c>
      <c r="I60" s="123"/>
      <c r="J60" s="123"/>
      <c r="K60" s="123"/>
      <c r="L60" s="123"/>
      <c r="M60" s="137">
        <f>(G54+G55)/G51</f>
        <v>279.50310559006209</v>
      </c>
      <c r="N60" s="90"/>
    </row>
    <row r="61" spans="1:14" ht="16.95" customHeight="1" x14ac:dyDescent="0.35">
      <c r="A61" s="90"/>
      <c r="B61" s="122" t="s">
        <v>484</v>
      </c>
      <c r="C61" s="123"/>
      <c r="D61" s="123"/>
      <c r="E61" s="123"/>
      <c r="F61" s="123"/>
      <c r="G61" s="138">
        <f>G58-G60</f>
        <v>0</v>
      </c>
      <c r="H61" s="122" t="s">
        <v>484</v>
      </c>
      <c r="I61" s="123"/>
      <c r="J61" s="123"/>
      <c r="K61" s="123"/>
      <c r="L61" s="123"/>
      <c r="M61" s="139">
        <f>M58-M60</f>
        <v>0</v>
      </c>
      <c r="N61" s="90"/>
    </row>
    <row r="62" spans="1:14" ht="16.95" customHeight="1" x14ac:dyDescent="0.35">
      <c r="A62" s="90"/>
      <c r="B62" s="140" t="s">
        <v>485</v>
      </c>
      <c r="C62" s="141"/>
      <c r="D62" s="141"/>
      <c r="E62" s="141"/>
      <c r="F62" s="141"/>
      <c r="G62" s="142">
        <f>G58/G51-1</f>
        <v>3.4365572315882877</v>
      </c>
      <c r="H62" s="140" t="s">
        <v>493</v>
      </c>
      <c r="I62" s="141"/>
      <c r="J62" s="141"/>
      <c r="K62" s="141"/>
      <c r="L62" s="141"/>
      <c r="M62" s="143">
        <f>M54/G50-1</f>
        <v>3.4444444444444446</v>
      </c>
      <c r="N62" s="90"/>
    </row>
    <row r="63" spans="1:14" ht="10.050000000000001" customHeight="1" x14ac:dyDescent="0.35">
      <c r="A63" s="90"/>
      <c r="B63" s="90"/>
      <c r="C63" s="90"/>
      <c r="D63" s="90"/>
      <c r="E63" s="90"/>
      <c r="F63" s="90"/>
      <c r="G63" s="90"/>
      <c r="H63" s="90"/>
      <c r="I63" s="90"/>
      <c r="J63" s="90"/>
      <c r="K63" s="90"/>
      <c r="L63" s="90"/>
      <c r="M63" s="90"/>
      <c r="N63" s="90"/>
    </row>
    <row r="64" spans="1:14" ht="18" customHeight="1" x14ac:dyDescent="0.35">
      <c r="A64" s="90"/>
      <c r="B64" s="94" t="s">
        <v>510</v>
      </c>
      <c r="C64" s="90"/>
      <c r="D64" s="90"/>
      <c r="E64" s="90"/>
      <c r="F64" s="204">
        <v>46311.896701388891</v>
      </c>
      <c r="G64" s="204"/>
      <c r="H64" s="90"/>
      <c r="I64" s="90"/>
      <c r="J64" s="90"/>
      <c r="K64" s="90"/>
      <c r="L64" s="90"/>
      <c r="M64" s="90"/>
      <c r="N64" s="90"/>
    </row>
    <row r="65" spans="1:14" ht="10.050000000000001" customHeight="1" x14ac:dyDescent="0.35">
      <c r="A65" s="90"/>
      <c r="B65" s="90"/>
      <c r="C65" s="90"/>
      <c r="D65" s="90"/>
      <c r="E65" s="90"/>
      <c r="F65" s="90"/>
      <c r="G65" s="90"/>
      <c r="H65" s="90"/>
      <c r="I65" s="90"/>
      <c r="J65" s="90"/>
      <c r="K65" s="90"/>
      <c r="L65" s="90"/>
      <c r="M65" s="90"/>
      <c r="N65" s="90"/>
    </row>
    <row r="66" spans="1:14" ht="19.95" customHeight="1" x14ac:dyDescent="0.35">
      <c r="A66" s="90"/>
      <c r="B66" s="112" t="s">
        <v>553</v>
      </c>
      <c r="C66" s="113"/>
      <c r="D66" s="113"/>
      <c r="E66" s="113"/>
      <c r="F66" s="113"/>
      <c r="G66" s="113"/>
      <c r="H66" s="113"/>
      <c r="I66" s="113"/>
      <c r="J66" s="113"/>
      <c r="K66" s="113"/>
      <c r="L66" s="113"/>
      <c r="M66" s="114"/>
      <c r="N66" s="90"/>
    </row>
    <row r="67" spans="1:14" ht="30" customHeight="1" x14ac:dyDescent="0.35">
      <c r="A67" s="90"/>
      <c r="B67" s="160" t="s">
        <v>554</v>
      </c>
      <c r="C67" s="109"/>
      <c r="D67" s="109"/>
      <c r="E67" s="159" t="s">
        <v>555</v>
      </c>
      <c r="F67" s="159" t="s">
        <v>556</v>
      </c>
      <c r="G67" s="159" t="s">
        <v>557</v>
      </c>
      <c r="H67" s="109"/>
      <c r="I67" s="109"/>
      <c r="J67" s="109"/>
      <c r="K67" s="109"/>
      <c r="L67" s="109"/>
      <c r="M67" s="115"/>
      <c r="N67" s="90"/>
    </row>
    <row r="68" spans="1:14" ht="16.95" customHeight="1" x14ac:dyDescent="0.35">
      <c r="A68" s="90"/>
      <c r="B68" s="166" t="str">
        <f>INDEX(tblTicketPrices[Session Preference],1)</f>
        <v>Cybersecurity</v>
      </c>
      <c r="C68" s="167"/>
      <c r="D68" s="167"/>
      <c r="E68" s="168">
        <f>COUNTIFS(tblAttendees[Session Preference],B68)</f>
        <v>33</v>
      </c>
      <c r="F68" s="169">
        <f>INDEX(tblTicketPrices[Ticket Price (€)],1)</f>
        <v>300</v>
      </c>
      <c r="G68" s="170">
        <f>INDEX(tblTicketPrices[Ticket Price (€)],1)*$G$58/$G$51</f>
        <v>1330.9671694764866</v>
      </c>
      <c r="H68" s="109"/>
      <c r="I68" s="208" t="str">
        <f>"Cada precio actual se multiplica por G58 / G51 = "&amp;FIXED(G58/G51,4)&amp;". Con las inscripciones actuales, el promedio ponderado de los precios alineados (fila 71) es el precio medio necesario (G58)."</f>
        <v>Cada precio actual se multiplica por G58 / G51 = 4.4366. Con las inscripciones actuales, el promedio ponderado de los precios alineados (fila 71) es el precio medio necesario (G58).</v>
      </c>
      <c r="J68" s="208"/>
      <c r="K68" s="208"/>
      <c r="L68" s="208"/>
      <c r="M68" s="209"/>
      <c r="N68" s="90"/>
    </row>
    <row r="69" spans="1:14" ht="16.95" customHeight="1" x14ac:dyDescent="0.35">
      <c r="A69" s="90"/>
      <c r="B69" s="171" t="str">
        <f>INDEX(tblTicketPrices[Session Preference],2)</f>
        <v>Data Analytics</v>
      </c>
      <c r="C69" s="172"/>
      <c r="D69" s="172"/>
      <c r="E69" s="173">
        <f>COUNTIFS(tblAttendees[Session Preference],B69)</f>
        <v>34</v>
      </c>
      <c r="F69" s="174">
        <f>INDEX(tblTicketPrices[Ticket Price (€)],2)</f>
        <v>450</v>
      </c>
      <c r="G69" s="175">
        <f>INDEX(tblTicketPrices[Ticket Price (€)],2)*$G$58/$G$51</f>
        <v>1996.4507542147296</v>
      </c>
      <c r="H69" s="109"/>
      <c r="I69" s="208"/>
      <c r="J69" s="208"/>
      <c r="K69" s="208"/>
      <c r="L69" s="208"/>
      <c r="M69" s="209"/>
      <c r="N69" s="90"/>
    </row>
    <row r="70" spans="1:14" ht="16.95" customHeight="1" x14ac:dyDescent="0.35">
      <c r="A70" s="90"/>
      <c r="B70" s="176" t="str">
        <f>INDEX(tblTicketPrices[Session Preference],3)</f>
        <v>Artificial Intelligence</v>
      </c>
      <c r="C70" s="177"/>
      <c r="D70" s="177"/>
      <c r="E70" s="178">
        <f>COUNTIFS(tblAttendees[Session Preference],B70)</f>
        <v>33</v>
      </c>
      <c r="F70" s="179">
        <f>INDEX(tblTicketPrices[Ticket Price (€)],3)</f>
        <v>700</v>
      </c>
      <c r="G70" s="180">
        <f>INDEX(tblTicketPrices[Ticket Price (€)],3)*$G$58/$G$51</f>
        <v>3105.5900621118017</v>
      </c>
      <c r="H70" s="109"/>
      <c r="I70" s="208"/>
      <c r="J70" s="208"/>
      <c r="K70" s="208"/>
      <c r="L70" s="208"/>
      <c r="M70" s="209"/>
      <c r="N70" s="90"/>
    </row>
    <row r="71" spans="1:14" ht="16.95" customHeight="1" x14ac:dyDescent="0.35">
      <c r="A71" s="90"/>
      <c r="B71" s="161" t="s">
        <v>558</v>
      </c>
      <c r="C71" s="162"/>
      <c r="D71" s="162"/>
      <c r="E71" s="163">
        <f>SUM(E68:E70)</f>
        <v>100</v>
      </c>
      <c r="F71" s="164">
        <f>SUMPRODUCT(E68:E70,F68:F70)/E71</f>
        <v>483</v>
      </c>
      <c r="G71" s="164">
        <f>SUMPRODUCT(E68:E70,G68:G70)/E71</f>
        <v>2142.8571428571431</v>
      </c>
      <c r="H71" s="165"/>
      <c r="I71" s="210"/>
      <c r="J71" s="210"/>
      <c r="K71" s="210"/>
      <c r="L71" s="210"/>
      <c r="M71" s="211"/>
      <c r="N71" s="90"/>
    </row>
    <row r="72" spans="1:14" ht="10.050000000000001" customHeight="1" x14ac:dyDescent="0.35">
      <c r="A72" s="90"/>
      <c r="B72" s="90"/>
      <c r="C72" s="90"/>
      <c r="D72" s="90"/>
      <c r="E72" s="90"/>
      <c r="F72" s="90"/>
      <c r="G72" s="90"/>
      <c r="H72" s="90"/>
      <c r="I72" s="90"/>
      <c r="J72" s="90"/>
      <c r="K72" s="90"/>
      <c r="L72" s="90"/>
      <c r="M72" s="90"/>
      <c r="N72" s="90"/>
    </row>
    <row r="73" spans="1:14" x14ac:dyDescent="0.35">
      <c r="A73" s="90"/>
      <c r="B73" s="90"/>
      <c r="C73" s="90"/>
      <c r="D73" s="90"/>
      <c r="E73" s="90"/>
      <c r="F73" s="90"/>
      <c r="G73" s="90"/>
      <c r="H73" s="90"/>
      <c r="I73" s="90"/>
      <c r="J73" s="90"/>
      <c r="K73" s="90"/>
      <c r="L73" s="90"/>
      <c r="M73" s="90"/>
      <c r="N73" s="90"/>
    </row>
  </sheetData>
  <mergeCells count="12">
    <mergeCell ref="F64:G64"/>
    <mergeCell ref="B56:M56"/>
    <mergeCell ref="I68:M71"/>
    <mergeCell ref="B4:M4"/>
    <mergeCell ref="B15:D15"/>
    <mergeCell ref="E15:G15"/>
    <mergeCell ref="H15:J15"/>
    <mergeCell ref="K15:M15"/>
    <mergeCell ref="B16:D16"/>
    <mergeCell ref="E16:G16"/>
    <mergeCell ref="H16:J16"/>
    <mergeCell ref="K16:M16"/>
  </mergeCells>
  <conditionalFormatting sqref="K15:M15">
    <cfRule type="cellIs" dxfId="3" priority="1" stopIfTrue="1" operator="lessThan">
      <formula>0</formula>
    </cfRule>
  </conditionalFormatting>
  <conditionalFormatting sqref="M51">
    <cfRule type="cellIs" dxfId="2" priority="2" stopIfTrue="1" operator="lessThan">
      <formula>0</formula>
    </cfRule>
  </conditionalFormatting>
  <conditionalFormatting sqref="M55">
    <cfRule type="expression" dxfId="1" priority="3" stopIfTrue="1">
      <formula>$M$55="Vigente"</formula>
    </cfRule>
    <cfRule type="expression" dxfId="0" priority="4" stopIfTrue="1">
      <formula>$M$55="Rehacer"</formula>
    </cfRule>
  </conditionalFormatting>
  <dataValidations count="1">
    <dataValidation type="decimal" operator="greaterThanOrEqual" showInputMessage="1" showErrorMessage="1" errorTitle="Valor no válido" error="Escribir un número mayor o igual a 0." promptTitle="Supuesto del escenario" prompt="Valor editable de esta hoja. Para rehacer el Goal Seek, pulsar Actualizar Cuadro de Mando." sqref="G52:G54" xr:uid="{71570F8A-C60A-4CAA-BEB2-7CFC016CCAE1}">
      <formula1>0</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btnRefreshDashboard">
              <controlPr defaultSize="0" print="0" autoFill="0" autoPict="0" macro="RefreshDashboard" altText="Actualizar Cuadro de Mando">
                <anchor>
                  <from>
                    <xdr:col>10</xdr:col>
                    <xdr:colOff>502920</xdr:colOff>
                    <xdr:row>1</xdr:row>
                    <xdr:rowOff>99060</xdr:rowOff>
                  </from>
                  <to>
                    <xdr:col>12</xdr:col>
                    <xdr:colOff>868680</xdr:colOff>
                    <xdr:row>2</xdr:row>
                    <xdr:rowOff>152400</xdr:rowOff>
                  </to>
                </anchor>
              </controlPr>
            </control>
          </mc:Choice>
        </mc:AlternateContent>
        <mc:AlternateContent xmlns:mc="http://schemas.openxmlformats.org/markup-compatibility/2006">
          <mc:Choice Requires="x14">
            <control shapeId="4098" r:id="rId8" name="btnOpenAttendeeForm">
              <controlPr defaultSize="0" print="0" autoFill="0" autoPict="0" macro="ShowAttendeeForm" altText="Registrar o editar asistente">
                <anchor>
                  <from>
                    <xdr:col>8</xdr:col>
                    <xdr:colOff>396240</xdr:colOff>
                    <xdr:row>1</xdr:row>
                    <xdr:rowOff>99060</xdr:rowOff>
                  </from>
                  <to>
                    <xdr:col>10</xdr:col>
                    <xdr:colOff>381000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88DC3-9F27-40A2-B0FB-C93FB1792C1D}">
  <sheetPr codeName="Sheet7">
    <tabColor rgb="FF64748B"/>
  </sheetPr>
  <dimension ref="A1:B1070"/>
  <sheetViews>
    <sheetView showGridLines="0" showRowColHeaders="0" zoomScaleNormal="100" workbookViewId="0"/>
  </sheetViews>
  <sheetFormatPr defaultRowHeight="15" x14ac:dyDescent="0.35"/>
  <cols>
    <col min="1" max="1" width="2.77734375" style="89" customWidth="1"/>
    <col min="2" max="2" width="140.77734375" style="181" customWidth="1"/>
    <col min="3" max="16384" width="8.88671875" style="89"/>
  </cols>
  <sheetData>
    <row r="1" spans="1:2" ht="25.95" customHeight="1" x14ac:dyDescent="0.35">
      <c r="A1" s="182" t="s">
        <v>559</v>
      </c>
    </row>
    <row r="2" spans="1:2" ht="18" customHeight="1" x14ac:dyDescent="0.35">
      <c r="A2" s="183" t="s">
        <v>560</v>
      </c>
    </row>
    <row r="3" spans="1:2" ht="7.95" customHeight="1" x14ac:dyDescent="0.35"/>
    <row r="4" spans="1:2" ht="19.95" customHeight="1" x14ac:dyDescent="0.35">
      <c r="B4" s="184" t="s">
        <v>561</v>
      </c>
    </row>
    <row r="5" spans="1:2" ht="12.45" customHeight="1" x14ac:dyDescent="0.35">
      <c r="B5" s="185" t="s">
        <v>562</v>
      </c>
    </row>
    <row r="6" spans="1:2" ht="12.45" customHeight="1" x14ac:dyDescent="0.35">
      <c r="B6" s="185" t="s">
        <v>563</v>
      </c>
    </row>
    <row r="7" spans="1:2" ht="12.45" customHeight="1" x14ac:dyDescent="0.35">
      <c r="B7" s="186" t="s">
        <v>564</v>
      </c>
    </row>
    <row r="8" spans="1:2" ht="12.45" customHeight="1" x14ac:dyDescent="0.35">
      <c r="B8" s="186" t="s">
        <v>565</v>
      </c>
    </row>
    <row r="9" spans="1:2" ht="12.45" customHeight="1" x14ac:dyDescent="0.35">
      <c r="B9" s="186" t="s">
        <v>566</v>
      </c>
    </row>
    <row r="10" spans="1:2" ht="12.45" customHeight="1" x14ac:dyDescent="0.35">
      <c r="B10" s="186" t="s">
        <v>567</v>
      </c>
    </row>
    <row r="11" spans="1:2" ht="12.45" customHeight="1" x14ac:dyDescent="0.35">
      <c r="B11" s="186" t="s">
        <v>568</v>
      </c>
    </row>
    <row r="12" spans="1:2" ht="12.45" customHeight="1" x14ac:dyDescent="0.35">
      <c r="B12" s="186" t="s">
        <v>569</v>
      </c>
    </row>
    <row r="13" spans="1:2" ht="12.45" customHeight="1" x14ac:dyDescent="0.35">
      <c r="B13" s="186" t="s">
        <v>570</v>
      </c>
    </row>
    <row r="14" spans="1:2" ht="12.45" customHeight="1" x14ac:dyDescent="0.35">
      <c r="B14" s="186" t="s">
        <v>571</v>
      </c>
    </row>
    <row r="15" spans="1:2" ht="12.45" customHeight="1" x14ac:dyDescent="0.35">
      <c r="B15" s="186" t="s">
        <v>572</v>
      </c>
    </row>
    <row r="16" spans="1:2" ht="12.45" customHeight="1" x14ac:dyDescent="0.35">
      <c r="B16" s="186" t="s">
        <v>573</v>
      </c>
    </row>
    <row r="17" spans="2:2" ht="12.45" customHeight="1" x14ac:dyDescent="0.35">
      <c r="B17" s="186" t="s">
        <v>574</v>
      </c>
    </row>
    <row r="18" spans="2:2" ht="12.45" customHeight="1" x14ac:dyDescent="0.35">
      <c r="B18" s="186" t="s">
        <v>575</v>
      </c>
    </row>
    <row r="19" spans="2:2" ht="12.45" customHeight="1" x14ac:dyDescent="0.35">
      <c r="B19" s="186" t="s">
        <v>564</v>
      </c>
    </row>
    <row r="20" spans="2:2" ht="12.45" customHeight="1" x14ac:dyDescent="0.35">
      <c r="B20" s="185" t="s">
        <v>563</v>
      </c>
    </row>
    <row r="21" spans="2:2" ht="12.45" customHeight="1" x14ac:dyDescent="0.35">
      <c r="B21" s="186" t="s">
        <v>576</v>
      </c>
    </row>
    <row r="22" spans="2:2" ht="12.45" customHeight="1" x14ac:dyDescent="0.35">
      <c r="B22" s="185" t="s">
        <v>577</v>
      </c>
    </row>
    <row r="23" spans="2:2" ht="12.45" customHeight="1" x14ac:dyDescent="0.35">
      <c r="B23" s="185" t="s">
        <v>578</v>
      </c>
    </row>
    <row r="24" spans="2:2" ht="12.45" customHeight="1" x14ac:dyDescent="0.35">
      <c r="B24" s="185" t="s">
        <v>579</v>
      </c>
    </row>
    <row r="25" spans="2:2" ht="12.45" customHeight="1" x14ac:dyDescent="0.35">
      <c r="B25" s="185" t="s">
        <v>580</v>
      </c>
    </row>
    <row r="26" spans="2:2" ht="12.45" customHeight="1" x14ac:dyDescent="0.35">
      <c r="B26" s="185" t="s">
        <v>581</v>
      </c>
    </row>
    <row r="27" spans="2:2" ht="12.45" customHeight="1" x14ac:dyDescent="0.35">
      <c r="B27" s="185" t="s">
        <v>582</v>
      </c>
    </row>
    <row r="28" spans="2:2" ht="12.45" customHeight="1" x14ac:dyDescent="0.35">
      <c r="B28" s="185" t="s">
        <v>563</v>
      </c>
    </row>
    <row r="29" spans="2:2" ht="12.45" customHeight="1" x14ac:dyDescent="0.35">
      <c r="B29" s="185" t="s">
        <v>583</v>
      </c>
    </row>
    <row r="30" spans="2:2" ht="12.45" customHeight="1" x14ac:dyDescent="0.35">
      <c r="B30" s="185" t="s">
        <v>584</v>
      </c>
    </row>
    <row r="31" spans="2:2" ht="12.45" customHeight="1" x14ac:dyDescent="0.35">
      <c r="B31" s="185" t="s">
        <v>585</v>
      </c>
    </row>
    <row r="32" spans="2:2" ht="12.45" customHeight="1" x14ac:dyDescent="0.35">
      <c r="B32" s="185" t="s">
        <v>586</v>
      </c>
    </row>
    <row r="33" spans="2:2" ht="12.45" customHeight="1" x14ac:dyDescent="0.35">
      <c r="B33" s="185" t="s">
        <v>587</v>
      </c>
    </row>
    <row r="34" spans="2:2" ht="12.45" customHeight="1" x14ac:dyDescent="0.35">
      <c r="B34" s="185" t="s">
        <v>588</v>
      </c>
    </row>
    <row r="35" spans="2:2" ht="12.45" customHeight="1" x14ac:dyDescent="0.35">
      <c r="B35" s="185" t="s">
        <v>589</v>
      </c>
    </row>
    <row r="36" spans="2:2" ht="12.45" customHeight="1" x14ac:dyDescent="0.35">
      <c r="B36" s="185" t="s">
        <v>590</v>
      </c>
    </row>
    <row r="37" spans="2:2" ht="12.45" customHeight="1" x14ac:dyDescent="0.35">
      <c r="B37" s="185" t="s">
        <v>563</v>
      </c>
    </row>
    <row r="38" spans="2:2" ht="12.45" customHeight="1" x14ac:dyDescent="0.35">
      <c r="B38" s="186" t="s">
        <v>591</v>
      </c>
    </row>
    <row r="39" spans="2:2" ht="12.45" customHeight="1" x14ac:dyDescent="0.35">
      <c r="B39" s="185" t="s">
        <v>592</v>
      </c>
    </row>
    <row r="40" spans="2:2" ht="12.45" customHeight="1" x14ac:dyDescent="0.35">
      <c r="B40" s="185" t="s">
        <v>593</v>
      </c>
    </row>
    <row r="41" spans="2:2" ht="12.45" customHeight="1" x14ac:dyDescent="0.35">
      <c r="B41" s="185" t="s">
        <v>594</v>
      </c>
    </row>
    <row r="42" spans="2:2" ht="12.45" customHeight="1" x14ac:dyDescent="0.35">
      <c r="B42" s="185" t="s">
        <v>595</v>
      </c>
    </row>
    <row r="43" spans="2:2" ht="12.45" customHeight="1" x14ac:dyDescent="0.35">
      <c r="B43" s="185" t="s">
        <v>563</v>
      </c>
    </row>
    <row r="44" spans="2:2" ht="12.45" customHeight="1" x14ac:dyDescent="0.35">
      <c r="B44" s="186" t="s">
        <v>596</v>
      </c>
    </row>
    <row r="45" spans="2:2" ht="12.45" customHeight="1" x14ac:dyDescent="0.35">
      <c r="B45" s="185" t="s">
        <v>597</v>
      </c>
    </row>
    <row r="46" spans="2:2" ht="12.45" customHeight="1" x14ac:dyDescent="0.35">
      <c r="B46" s="185" t="s">
        <v>598</v>
      </c>
    </row>
    <row r="47" spans="2:2" ht="12.45" customHeight="1" x14ac:dyDescent="0.35">
      <c r="B47" s="185" t="s">
        <v>599</v>
      </c>
    </row>
    <row r="48" spans="2:2" ht="12.45" customHeight="1" x14ac:dyDescent="0.35">
      <c r="B48" s="185" t="s">
        <v>563</v>
      </c>
    </row>
    <row r="49" spans="2:2" ht="12.45" customHeight="1" x14ac:dyDescent="0.35">
      <c r="B49" s="186" t="s">
        <v>600</v>
      </c>
    </row>
    <row r="50" spans="2:2" ht="12.45" customHeight="1" x14ac:dyDescent="0.35">
      <c r="B50" s="185" t="s">
        <v>601</v>
      </c>
    </row>
    <row r="51" spans="2:2" ht="12.45" customHeight="1" x14ac:dyDescent="0.35">
      <c r="B51" s="185" t="s">
        <v>602</v>
      </c>
    </row>
    <row r="52" spans="2:2" ht="12.45" customHeight="1" x14ac:dyDescent="0.35">
      <c r="B52" s="185" t="s">
        <v>563</v>
      </c>
    </row>
    <row r="53" spans="2:2" ht="12.45" customHeight="1" x14ac:dyDescent="0.35">
      <c r="B53" s="186" t="s">
        <v>603</v>
      </c>
    </row>
    <row r="54" spans="2:2" ht="12.45" customHeight="1" x14ac:dyDescent="0.35">
      <c r="B54" s="185" t="s">
        <v>604</v>
      </c>
    </row>
    <row r="55" spans="2:2" ht="12.45" customHeight="1" x14ac:dyDescent="0.35">
      <c r="B55" s="185" t="s">
        <v>605</v>
      </c>
    </row>
    <row r="56" spans="2:2" ht="12.45" customHeight="1" x14ac:dyDescent="0.35">
      <c r="B56" s="185" t="s">
        <v>606</v>
      </c>
    </row>
    <row r="57" spans="2:2" ht="12.45" customHeight="1" x14ac:dyDescent="0.35">
      <c r="B57" s="185" t="s">
        <v>607</v>
      </c>
    </row>
    <row r="58" spans="2:2" ht="12.45" customHeight="1" x14ac:dyDescent="0.35">
      <c r="B58" s="185" t="s">
        <v>608</v>
      </c>
    </row>
    <row r="59" spans="2:2" ht="12.45" customHeight="1" x14ac:dyDescent="0.35">
      <c r="B59" s="185" t="s">
        <v>609</v>
      </c>
    </row>
    <row r="60" spans="2:2" ht="12.45" customHeight="1" x14ac:dyDescent="0.35">
      <c r="B60" s="185" t="s">
        <v>610</v>
      </c>
    </row>
    <row r="61" spans="2:2" ht="12.45" customHeight="1" x14ac:dyDescent="0.35">
      <c r="B61" s="185" t="s">
        <v>611</v>
      </c>
    </row>
    <row r="62" spans="2:2" ht="12.45" customHeight="1" x14ac:dyDescent="0.35">
      <c r="B62" s="185" t="s">
        <v>612</v>
      </c>
    </row>
    <row r="63" spans="2:2" ht="12.45" customHeight="1" x14ac:dyDescent="0.35">
      <c r="B63" s="185" t="s">
        <v>613</v>
      </c>
    </row>
    <row r="64" spans="2:2" ht="12.45" customHeight="1" x14ac:dyDescent="0.35">
      <c r="B64" s="185" t="s">
        <v>614</v>
      </c>
    </row>
    <row r="65" spans="2:2" ht="12.45" customHeight="1" x14ac:dyDescent="0.35">
      <c r="B65" s="185" t="s">
        <v>563</v>
      </c>
    </row>
    <row r="66" spans="2:2" ht="12.45" customHeight="1" x14ac:dyDescent="0.35">
      <c r="B66" s="186" t="s">
        <v>564</v>
      </c>
    </row>
    <row r="67" spans="2:2" ht="12.45" customHeight="1" x14ac:dyDescent="0.35">
      <c r="B67" s="186" t="s">
        <v>615</v>
      </c>
    </row>
    <row r="68" spans="2:2" ht="12.45" customHeight="1" x14ac:dyDescent="0.35">
      <c r="B68" s="186" t="s">
        <v>564</v>
      </c>
    </row>
    <row r="69" spans="2:2" ht="12.45" customHeight="1" x14ac:dyDescent="0.35">
      <c r="B69" s="185" t="s">
        <v>563</v>
      </c>
    </row>
    <row r="70" spans="2:2" ht="12.45" customHeight="1" x14ac:dyDescent="0.35">
      <c r="B70" s="185" t="s">
        <v>616</v>
      </c>
    </row>
    <row r="71" spans="2:2" ht="12.45" customHeight="1" x14ac:dyDescent="0.35">
      <c r="B71" s="185" t="s">
        <v>617</v>
      </c>
    </row>
    <row r="72" spans="2:2" ht="12.45" customHeight="1" x14ac:dyDescent="0.35">
      <c r="B72" s="185" t="s">
        <v>618</v>
      </c>
    </row>
    <row r="73" spans="2:2" ht="12.45" customHeight="1" x14ac:dyDescent="0.35">
      <c r="B73" s="185" t="s">
        <v>619</v>
      </c>
    </row>
    <row r="74" spans="2:2" ht="12.45" customHeight="1" x14ac:dyDescent="0.35">
      <c r="B74" s="185" t="s">
        <v>620</v>
      </c>
    </row>
    <row r="75" spans="2:2" ht="12.45" customHeight="1" x14ac:dyDescent="0.35">
      <c r="B75" s="185" t="s">
        <v>563</v>
      </c>
    </row>
    <row r="76" spans="2:2" ht="12.45" customHeight="1" x14ac:dyDescent="0.35">
      <c r="B76" s="185" t="s">
        <v>621</v>
      </c>
    </row>
    <row r="77" spans="2:2" ht="12.45" customHeight="1" x14ac:dyDescent="0.35">
      <c r="B77" s="185" t="s">
        <v>622</v>
      </c>
    </row>
    <row r="78" spans="2:2" ht="12.45" customHeight="1" x14ac:dyDescent="0.35">
      <c r="B78" s="185" t="s">
        <v>623</v>
      </c>
    </row>
    <row r="79" spans="2:2" ht="12.45" customHeight="1" x14ac:dyDescent="0.35">
      <c r="B79" s="185" t="s">
        <v>624</v>
      </c>
    </row>
    <row r="80" spans="2:2" ht="12.45" customHeight="1" x14ac:dyDescent="0.35">
      <c r="B80" s="185" t="s">
        <v>625</v>
      </c>
    </row>
    <row r="81" spans="2:2" ht="12.45" customHeight="1" x14ac:dyDescent="0.35">
      <c r="B81" s="185" t="s">
        <v>563</v>
      </c>
    </row>
    <row r="82" spans="2:2" ht="12.45" customHeight="1" x14ac:dyDescent="0.35">
      <c r="B82" s="185" t="s">
        <v>626</v>
      </c>
    </row>
    <row r="83" spans="2:2" ht="12.45" customHeight="1" x14ac:dyDescent="0.35">
      <c r="B83" s="185" t="s">
        <v>627</v>
      </c>
    </row>
    <row r="84" spans="2:2" ht="12.45" customHeight="1" x14ac:dyDescent="0.35">
      <c r="B84" s="185" t="s">
        <v>628</v>
      </c>
    </row>
    <row r="85" spans="2:2" ht="12.45" customHeight="1" x14ac:dyDescent="0.35">
      <c r="B85" s="185" t="s">
        <v>629</v>
      </c>
    </row>
    <row r="86" spans="2:2" ht="12.45" customHeight="1" x14ac:dyDescent="0.35">
      <c r="B86" s="185" t="s">
        <v>630</v>
      </c>
    </row>
    <row r="87" spans="2:2" ht="12.45" customHeight="1" x14ac:dyDescent="0.35">
      <c r="B87" s="185" t="s">
        <v>631</v>
      </c>
    </row>
    <row r="88" spans="2:2" ht="12.45" customHeight="1" x14ac:dyDescent="0.35">
      <c r="B88" s="185" t="s">
        <v>620</v>
      </c>
    </row>
    <row r="89" spans="2:2" ht="12.45" customHeight="1" x14ac:dyDescent="0.35">
      <c r="B89" s="185" t="s">
        <v>563</v>
      </c>
    </row>
    <row r="90" spans="2:2" ht="12.45" customHeight="1" x14ac:dyDescent="0.35">
      <c r="B90" s="185" t="s">
        <v>632</v>
      </c>
    </row>
    <row r="91" spans="2:2" ht="12.45" customHeight="1" x14ac:dyDescent="0.35">
      <c r="B91" s="185" t="s">
        <v>633</v>
      </c>
    </row>
    <row r="92" spans="2:2" ht="12.45" customHeight="1" x14ac:dyDescent="0.35">
      <c r="B92" s="185" t="s">
        <v>634</v>
      </c>
    </row>
    <row r="93" spans="2:2" ht="12.45" customHeight="1" x14ac:dyDescent="0.35">
      <c r="B93" s="185" t="s">
        <v>635</v>
      </c>
    </row>
    <row r="94" spans="2:2" ht="12.45" customHeight="1" x14ac:dyDescent="0.35">
      <c r="B94" s="185" t="s">
        <v>636</v>
      </c>
    </row>
    <row r="95" spans="2:2" ht="12.45" customHeight="1" x14ac:dyDescent="0.35">
      <c r="B95" s="185" t="s">
        <v>637</v>
      </c>
    </row>
    <row r="96" spans="2:2" ht="12.45" customHeight="1" x14ac:dyDescent="0.35">
      <c r="B96" s="185" t="s">
        <v>563</v>
      </c>
    </row>
    <row r="97" spans="2:2" ht="12.45" customHeight="1" x14ac:dyDescent="0.35">
      <c r="B97" s="185" t="s">
        <v>638</v>
      </c>
    </row>
    <row r="98" spans="2:2" ht="12.45" customHeight="1" x14ac:dyDescent="0.35">
      <c r="B98" s="185" t="s">
        <v>639</v>
      </c>
    </row>
    <row r="99" spans="2:2" ht="12.45" customHeight="1" x14ac:dyDescent="0.35">
      <c r="B99" s="185" t="s">
        <v>640</v>
      </c>
    </row>
    <row r="100" spans="2:2" ht="12.45" customHeight="1" x14ac:dyDescent="0.35">
      <c r="B100" s="185" t="s">
        <v>620</v>
      </c>
    </row>
    <row r="101" spans="2:2" ht="12.45" customHeight="1" x14ac:dyDescent="0.35">
      <c r="B101" s="185" t="s">
        <v>563</v>
      </c>
    </row>
    <row r="102" spans="2:2" ht="12.45" customHeight="1" x14ac:dyDescent="0.35">
      <c r="B102" s="186" t="s">
        <v>564</v>
      </c>
    </row>
    <row r="103" spans="2:2" ht="12.45" customHeight="1" x14ac:dyDescent="0.35">
      <c r="B103" s="186" t="s">
        <v>641</v>
      </c>
    </row>
    <row r="104" spans="2:2" ht="12.45" customHeight="1" x14ac:dyDescent="0.35">
      <c r="B104" s="186" t="s">
        <v>564</v>
      </c>
    </row>
    <row r="105" spans="2:2" ht="12.45" customHeight="1" x14ac:dyDescent="0.35">
      <c r="B105" s="185" t="s">
        <v>563</v>
      </c>
    </row>
    <row r="106" spans="2:2" ht="12.45" customHeight="1" x14ac:dyDescent="0.35">
      <c r="B106" s="185" t="s">
        <v>642</v>
      </c>
    </row>
    <row r="107" spans="2:2" ht="12.45" customHeight="1" x14ac:dyDescent="0.35">
      <c r="B107" s="185" t="s">
        <v>643</v>
      </c>
    </row>
    <row r="108" spans="2:2" ht="12.45" customHeight="1" x14ac:dyDescent="0.35">
      <c r="B108" s="185" t="s">
        <v>644</v>
      </c>
    </row>
    <row r="109" spans="2:2" ht="12.45" customHeight="1" x14ac:dyDescent="0.35">
      <c r="B109" s="185" t="s">
        <v>645</v>
      </c>
    </row>
    <row r="110" spans="2:2" ht="12.45" customHeight="1" x14ac:dyDescent="0.35">
      <c r="B110" s="185" t="s">
        <v>563</v>
      </c>
    </row>
    <row r="111" spans="2:2" ht="12.45" customHeight="1" x14ac:dyDescent="0.35">
      <c r="B111" s="185" t="s">
        <v>646</v>
      </c>
    </row>
    <row r="112" spans="2:2" ht="12.45" customHeight="1" x14ac:dyDescent="0.35">
      <c r="B112" s="185" t="s">
        <v>647</v>
      </c>
    </row>
    <row r="113" spans="2:2" ht="12.45" customHeight="1" x14ac:dyDescent="0.35">
      <c r="B113" s="185" t="s">
        <v>648</v>
      </c>
    </row>
    <row r="114" spans="2:2" ht="12.45" customHeight="1" x14ac:dyDescent="0.35">
      <c r="B114" s="185" t="s">
        <v>649</v>
      </c>
    </row>
    <row r="115" spans="2:2" ht="12.45" customHeight="1" x14ac:dyDescent="0.35">
      <c r="B115" s="185" t="s">
        <v>645</v>
      </c>
    </row>
    <row r="116" spans="2:2" ht="12.45" customHeight="1" x14ac:dyDescent="0.35">
      <c r="B116" s="185" t="s">
        <v>563</v>
      </c>
    </row>
    <row r="117" spans="2:2" ht="12.45" customHeight="1" x14ac:dyDescent="0.35">
      <c r="B117" s="185" t="s">
        <v>650</v>
      </c>
    </row>
    <row r="118" spans="2:2" ht="12.45" customHeight="1" x14ac:dyDescent="0.35">
      <c r="B118" s="185" t="s">
        <v>651</v>
      </c>
    </row>
    <row r="119" spans="2:2" ht="12.45" customHeight="1" x14ac:dyDescent="0.35">
      <c r="B119" s="185" t="s">
        <v>652</v>
      </c>
    </row>
    <row r="120" spans="2:2" ht="12.45" customHeight="1" x14ac:dyDescent="0.35">
      <c r="B120" s="185" t="s">
        <v>653</v>
      </c>
    </row>
    <row r="121" spans="2:2" ht="12.45" customHeight="1" x14ac:dyDescent="0.35">
      <c r="B121" s="185" t="s">
        <v>645</v>
      </c>
    </row>
    <row r="122" spans="2:2" ht="12.45" customHeight="1" x14ac:dyDescent="0.35">
      <c r="B122" s="185" t="s">
        <v>563</v>
      </c>
    </row>
    <row r="123" spans="2:2" ht="12.45" customHeight="1" x14ac:dyDescent="0.35">
      <c r="B123" s="185" t="s">
        <v>654</v>
      </c>
    </row>
    <row r="124" spans="2:2" ht="12.45" customHeight="1" x14ac:dyDescent="0.35">
      <c r="B124" s="185" t="s">
        <v>655</v>
      </c>
    </row>
    <row r="125" spans="2:2" ht="12.45" customHeight="1" x14ac:dyDescent="0.35">
      <c r="B125" s="185" t="s">
        <v>656</v>
      </c>
    </row>
    <row r="126" spans="2:2" ht="12.45" customHeight="1" x14ac:dyDescent="0.35">
      <c r="B126" s="185" t="s">
        <v>657</v>
      </c>
    </row>
    <row r="127" spans="2:2" ht="12.45" customHeight="1" x14ac:dyDescent="0.35">
      <c r="B127" s="185" t="s">
        <v>658</v>
      </c>
    </row>
    <row r="128" spans="2:2" ht="12.45" customHeight="1" x14ac:dyDescent="0.35">
      <c r="B128" s="185" t="s">
        <v>563</v>
      </c>
    </row>
    <row r="129" spans="2:2" ht="12.45" customHeight="1" x14ac:dyDescent="0.35">
      <c r="B129" s="185" t="s">
        <v>659</v>
      </c>
    </row>
    <row r="130" spans="2:2" ht="12.45" customHeight="1" x14ac:dyDescent="0.35">
      <c r="B130" s="185" t="s">
        <v>660</v>
      </c>
    </row>
    <row r="131" spans="2:2" ht="12.45" customHeight="1" x14ac:dyDescent="0.35">
      <c r="B131" s="185" t="s">
        <v>661</v>
      </c>
    </row>
    <row r="132" spans="2:2" ht="12.45" customHeight="1" x14ac:dyDescent="0.35">
      <c r="B132" s="185" t="s">
        <v>662</v>
      </c>
    </row>
    <row r="133" spans="2:2" ht="12.45" customHeight="1" x14ac:dyDescent="0.35">
      <c r="B133" s="185" t="s">
        <v>663</v>
      </c>
    </row>
    <row r="134" spans="2:2" ht="12.45" customHeight="1" x14ac:dyDescent="0.35">
      <c r="B134" s="185" t="s">
        <v>664</v>
      </c>
    </row>
    <row r="135" spans="2:2" ht="12.45" customHeight="1" x14ac:dyDescent="0.35">
      <c r="B135" s="185" t="s">
        <v>665</v>
      </c>
    </row>
    <row r="136" spans="2:2" ht="12.45" customHeight="1" x14ac:dyDescent="0.35">
      <c r="B136" s="185" t="s">
        <v>666</v>
      </c>
    </row>
    <row r="137" spans="2:2" ht="12.45" customHeight="1" x14ac:dyDescent="0.35">
      <c r="B137" s="185" t="s">
        <v>645</v>
      </c>
    </row>
    <row r="138" spans="2:2" ht="12.45" customHeight="1" x14ac:dyDescent="0.35">
      <c r="B138" s="185" t="s">
        <v>563</v>
      </c>
    </row>
    <row r="139" spans="2:2" ht="12.45" customHeight="1" x14ac:dyDescent="0.35">
      <c r="B139" s="185" t="s">
        <v>667</v>
      </c>
    </row>
    <row r="140" spans="2:2" ht="12.45" customHeight="1" x14ac:dyDescent="0.35">
      <c r="B140" s="185" t="s">
        <v>668</v>
      </c>
    </row>
    <row r="141" spans="2:2" ht="12.45" customHeight="1" x14ac:dyDescent="0.35">
      <c r="B141" s="185" t="s">
        <v>669</v>
      </c>
    </row>
    <row r="142" spans="2:2" ht="12.45" customHeight="1" x14ac:dyDescent="0.35">
      <c r="B142" s="185" t="s">
        <v>645</v>
      </c>
    </row>
    <row r="143" spans="2:2" ht="12.45" customHeight="1" x14ac:dyDescent="0.35">
      <c r="B143" s="185" t="s">
        <v>563</v>
      </c>
    </row>
    <row r="144" spans="2:2" ht="12.45" customHeight="1" x14ac:dyDescent="0.35">
      <c r="B144" s="185" t="s">
        <v>670</v>
      </c>
    </row>
    <row r="145" spans="2:2" ht="12.45" customHeight="1" x14ac:dyDescent="0.35">
      <c r="B145" s="185" t="s">
        <v>671</v>
      </c>
    </row>
    <row r="146" spans="2:2" ht="12.45" customHeight="1" x14ac:dyDescent="0.35">
      <c r="B146" s="185" t="s">
        <v>672</v>
      </c>
    </row>
    <row r="147" spans="2:2" ht="12.45" customHeight="1" x14ac:dyDescent="0.35">
      <c r="B147" s="185" t="s">
        <v>673</v>
      </c>
    </row>
    <row r="148" spans="2:2" ht="12.45" customHeight="1" x14ac:dyDescent="0.35">
      <c r="B148" s="185" t="s">
        <v>645</v>
      </c>
    </row>
    <row r="149" spans="2:2" ht="12.45" customHeight="1" x14ac:dyDescent="0.35">
      <c r="B149" s="185" t="s">
        <v>563</v>
      </c>
    </row>
    <row r="150" spans="2:2" ht="12.45" customHeight="1" x14ac:dyDescent="0.35">
      <c r="B150" s="185" t="s">
        <v>674</v>
      </c>
    </row>
    <row r="151" spans="2:2" ht="12.45" customHeight="1" x14ac:dyDescent="0.35">
      <c r="B151" s="185" t="s">
        <v>675</v>
      </c>
    </row>
    <row r="152" spans="2:2" ht="12.45" customHeight="1" x14ac:dyDescent="0.35">
      <c r="B152" s="185" t="s">
        <v>676</v>
      </c>
    </row>
    <row r="153" spans="2:2" ht="12.45" customHeight="1" x14ac:dyDescent="0.35">
      <c r="B153" s="185" t="s">
        <v>677</v>
      </c>
    </row>
    <row r="154" spans="2:2" ht="12.45" customHeight="1" x14ac:dyDescent="0.35">
      <c r="B154" s="185" t="s">
        <v>645</v>
      </c>
    </row>
    <row r="155" spans="2:2" ht="12.45" customHeight="1" x14ac:dyDescent="0.35">
      <c r="B155" s="185" t="s">
        <v>563</v>
      </c>
    </row>
    <row r="156" spans="2:2" ht="12.45" customHeight="1" x14ac:dyDescent="0.35">
      <c r="B156" s="185" t="s">
        <v>678</v>
      </c>
    </row>
    <row r="157" spans="2:2" ht="12.45" customHeight="1" x14ac:dyDescent="0.35">
      <c r="B157" s="185" t="s">
        <v>679</v>
      </c>
    </row>
    <row r="158" spans="2:2" ht="12.45" customHeight="1" x14ac:dyDescent="0.35">
      <c r="B158" s="185" t="s">
        <v>676</v>
      </c>
    </row>
    <row r="159" spans="2:2" ht="12.45" customHeight="1" x14ac:dyDescent="0.35">
      <c r="B159" s="185" t="s">
        <v>680</v>
      </c>
    </row>
    <row r="160" spans="2:2" ht="12.45" customHeight="1" x14ac:dyDescent="0.35">
      <c r="B160" s="185" t="s">
        <v>681</v>
      </c>
    </row>
    <row r="161" spans="2:2" ht="12.45" customHeight="1" x14ac:dyDescent="0.35">
      <c r="B161" s="185" t="s">
        <v>682</v>
      </c>
    </row>
    <row r="162" spans="2:2" ht="12.45" customHeight="1" x14ac:dyDescent="0.35">
      <c r="B162" s="185" t="s">
        <v>683</v>
      </c>
    </row>
    <row r="163" spans="2:2" ht="12.45" customHeight="1" x14ac:dyDescent="0.35">
      <c r="B163" s="185" t="s">
        <v>684</v>
      </c>
    </row>
    <row r="164" spans="2:2" ht="12.45" customHeight="1" x14ac:dyDescent="0.35">
      <c r="B164" s="185" t="s">
        <v>685</v>
      </c>
    </row>
    <row r="165" spans="2:2" ht="12.45" customHeight="1" x14ac:dyDescent="0.35">
      <c r="B165" s="185" t="s">
        <v>666</v>
      </c>
    </row>
    <row r="166" spans="2:2" ht="12.45" customHeight="1" x14ac:dyDescent="0.35">
      <c r="B166" s="185" t="s">
        <v>645</v>
      </c>
    </row>
    <row r="167" spans="2:2" ht="12.45" customHeight="1" x14ac:dyDescent="0.35">
      <c r="B167" s="185" t="s">
        <v>563</v>
      </c>
    </row>
    <row r="168" spans="2:2" ht="12.45" customHeight="1" x14ac:dyDescent="0.35">
      <c r="B168" s="185" t="s">
        <v>686</v>
      </c>
    </row>
    <row r="169" spans="2:2" ht="12.45" customHeight="1" x14ac:dyDescent="0.35">
      <c r="B169" s="185" t="s">
        <v>687</v>
      </c>
    </row>
    <row r="170" spans="2:2" ht="12.45" customHeight="1" x14ac:dyDescent="0.35">
      <c r="B170" s="185" t="s">
        <v>688</v>
      </c>
    </row>
    <row r="171" spans="2:2" ht="12.45" customHeight="1" x14ac:dyDescent="0.35">
      <c r="B171" s="185" t="s">
        <v>645</v>
      </c>
    </row>
    <row r="172" spans="2:2" ht="12.45" customHeight="1" x14ac:dyDescent="0.35">
      <c r="B172" s="185" t="s">
        <v>563</v>
      </c>
    </row>
    <row r="173" spans="2:2" ht="12.45" customHeight="1" x14ac:dyDescent="0.35">
      <c r="B173" s="185" t="s">
        <v>689</v>
      </c>
    </row>
    <row r="174" spans="2:2" ht="12.45" customHeight="1" x14ac:dyDescent="0.35">
      <c r="B174" s="185" t="s">
        <v>690</v>
      </c>
    </row>
    <row r="175" spans="2:2" ht="12.45" customHeight="1" x14ac:dyDescent="0.35">
      <c r="B175" s="185" t="s">
        <v>691</v>
      </c>
    </row>
    <row r="176" spans="2:2" ht="12.45" customHeight="1" x14ac:dyDescent="0.35">
      <c r="B176" s="185" t="s">
        <v>645</v>
      </c>
    </row>
    <row r="177" spans="2:2" ht="12.45" customHeight="1" x14ac:dyDescent="0.35">
      <c r="B177" s="185" t="s">
        <v>563</v>
      </c>
    </row>
    <row r="178" spans="2:2" ht="12.45" customHeight="1" x14ac:dyDescent="0.35">
      <c r="B178" s="185" t="s">
        <v>692</v>
      </c>
    </row>
    <row r="179" spans="2:2" ht="12.45" customHeight="1" x14ac:dyDescent="0.35">
      <c r="B179" s="185" t="s">
        <v>693</v>
      </c>
    </row>
    <row r="180" spans="2:2" ht="12.45" customHeight="1" x14ac:dyDescent="0.35">
      <c r="B180" s="185" t="s">
        <v>694</v>
      </c>
    </row>
    <row r="181" spans="2:2" ht="12.45" customHeight="1" x14ac:dyDescent="0.35">
      <c r="B181" s="185" t="s">
        <v>563</v>
      </c>
    </row>
    <row r="182" spans="2:2" ht="12.45" customHeight="1" x14ac:dyDescent="0.35">
      <c r="B182" s="185" t="s">
        <v>695</v>
      </c>
    </row>
    <row r="183" spans="2:2" ht="12.45" customHeight="1" x14ac:dyDescent="0.35">
      <c r="B183" s="185" t="s">
        <v>696</v>
      </c>
    </row>
    <row r="184" spans="2:2" ht="12.45" customHeight="1" x14ac:dyDescent="0.35">
      <c r="B184" s="185" t="s">
        <v>697</v>
      </c>
    </row>
    <row r="185" spans="2:2" ht="12.45" customHeight="1" x14ac:dyDescent="0.35">
      <c r="B185" s="185" t="s">
        <v>698</v>
      </c>
    </row>
    <row r="186" spans="2:2" ht="12.45" customHeight="1" x14ac:dyDescent="0.35">
      <c r="B186" s="185" t="s">
        <v>699</v>
      </c>
    </row>
    <row r="187" spans="2:2" ht="12.45" customHeight="1" x14ac:dyDescent="0.35">
      <c r="B187" s="185" t="s">
        <v>645</v>
      </c>
    </row>
    <row r="188" spans="2:2" ht="12.45" customHeight="1" x14ac:dyDescent="0.35">
      <c r="B188" s="185" t="s">
        <v>563</v>
      </c>
    </row>
    <row r="189" spans="2:2" ht="12.45" customHeight="1" x14ac:dyDescent="0.35">
      <c r="B189" s="185" t="s">
        <v>700</v>
      </c>
    </row>
    <row r="190" spans="2:2" ht="12.45" customHeight="1" x14ac:dyDescent="0.35">
      <c r="B190" s="185" t="s">
        <v>701</v>
      </c>
    </row>
    <row r="191" spans="2:2" ht="12.45" customHeight="1" x14ac:dyDescent="0.35">
      <c r="B191" s="185" t="s">
        <v>694</v>
      </c>
    </row>
    <row r="192" spans="2:2" ht="12.45" customHeight="1" x14ac:dyDescent="0.35">
      <c r="B192" s="185" t="s">
        <v>563</v>
      </c>
    </row>
    <row r="193" spans="2:2" ht="12.45" customHeight="1" x14ac:dyDescent="0.35">
      <c r="B193" s="185" t="s">
        <v>695</v>
      </c>
    </row>
    <row r="194" spans="2:2" ht="12.45" customHeight="1" x14ac:dyDescent="0.35">
      <c r="B194" s="185" t="s">
        <v>696</v>
      </c>
    </row>
    <row r="195" spans="2:2" ht="12.45" customHeight="1" x14ac:dyDescent="0.35">
      <c r="B195" s="185" t="s">
        <v>697</v>
      </c>
    </row>
    <row r="196" spans="2:2" ht="12.45" customHeight="1" x14ac:dyDescent="0.35">
      <c r="B196" s="185" t="s">
        <v>702</v>
      </c>
    </row>
    <row r="197" spans="2:2" ht="12.45" customHeight="1" x14ac:dyDescent="0.35">
      <c r="B197" s="185" t="s">
        <v>703</v>
      </c>
    </row>
    <row r="198" spans="2:2" ht="12.45" customHeight="1" x14ac:dyDescent="0.35">
      <c r="B198" s="185" t="s">
        <v>645</v>
      </c>
    </row>
    <row r="199" spans="2:2" ht="12.45" customHeight="1" x14ac:dyDescent="0.35">
      <c r="B199" s="185" t="s">
        <v>563</v>
      </c>
    </row>
    <row r="200" spans="2:2" ht="12.45" customHeight="1" x14ac:dyDescent="0.35">
      <c r="B200" s="186" t="s">
        <v>564</v>
      </c>
    </row>
    <row r="201" spans="2:2" ht="12.45" customHeight="1" x14ac:dyDescent="0.35">
      <c r="B201" s="186" t="s">
        <v>704</v>
      </c>
    </row>
    <row r="202" spans="2:2" ht="12.45" customHeight="1" x14ac:dyDescent="0.35">
      <c r="B202" s="186" t="s">
        <v>564</v>
      </c>
    </row>
    <row r="203" spans="2:2" ht="12.45" customHeight="1" x14ac:dyDescent="0.35">
      <c r="B203" s="185" t="s">
        <v>563</v>
      </c>
    </row>
    <row r="204" spans="2:2" ht="12.45" customHeight="1" x14ac:dyDescent="0.35">
      <c r="B204" s="185" t="s">
        <v>705</v>
      </c>
    </row>
    <row r="205" spans="2:2" ht="12.45" customHeight="1" x14ac:dyDescent="0.35">
      <c r="B205" s="185" t="s">
        <v>706</v>
      </c>
    </row>
    <row r="206" spans="2:2" ht="12.45" customHeight="1" x14ac:dyDescent="0.35">
      <c r="B206" s="185" t="s">
        <v>707</v>
      </c>
    </row>
    <row r="207" spans="2:2" ht="12.45" customHeight="1" x14ac:dyDescent="0.35">
      <c r="B207" s="185" t="s">
        <v>708</v>
      </c>
    </row>
    <row r="208" spans="2:2" ht="12.45" customHeight="1" x14ac:dyDescent="0.35">
      <c r="B208" s="185" t="s">
        <v>709</v>
      </c>
    </row>
    <row r="209" spans="2:2" ht="12.45" customHeight="1" x14ac:dyDescent="0.35">
      <c r="B209" s="185" t="s">
        <v>710</v>
      </c>
    </row>
    <row r="210" spans="2:2" ht="12.45" customHeight="1" x14ac:dyDescent="0.35">
      <c r="B210" s="185" t="s">
        <v>711</v>
      </c>
    </row>
    <row r="211" spans="2:2" ht="12.45" customHeight="1" x14ac:dyDescent="0.35">
      <c r="B211" s="185" t="s">
        <v>563</v>
      </c>
    </row>
    <row r="212" spans="2:2" ht="12.45" customHeight="1" x14ac:dyDescent="0.35">
      <c r="B212" s="185" t="s">
        <v>712</v>
      </c>
    </row>
    <row r="213" spans="2:2" ht="12.45" customHeight="1" x14ac:dyDescent="0.35">
      <c r="B213" s="185" t="s">
        <v>713</v>
      </c>
    </row>
    <row r="214" spans="2:2" ht="12.45" customHeight="1" x14ac:dyDescent="0.35">
      <c r="B214" s="185" t="s">
        <v>714</v>
      </c>
    </row>
    <row r="215" spans="2:2" ht="12.45" customHeight="1" x14ac:dyDescent="0.35">
      <c r="B215" s="185" t="s">
        <v>715</v>
      </c>
    </row>
    <row r="216" spans="2:2" ht="12.45" customHeight="1" x14ac:dyDescent="0.35">
      <c r="B216" s="185" t="s">
        <v>716</v>
      </c>
    </row>
    <row r="217" spans="2:2" ht="12.45" customHeight="1" x14ac:dyDescent="0.35">
      <c r="B217" s="185" t="s">
        <v>717</v>
      </c>
    </row>
    <row r="218" spans="2:2" ht="12.45" customHeight="1" x14ac:dyDescent="0.35">
      <c r="B218" s="185" t="s">
        <v>718</v>
      </c>
    </row>
    <row r="219" spans="2:2" ht="12.45" customHeight="1" x14ac:dyDescent="0.35">
      <c r="B219" s="185" t="s">
        <v>719</v>
      </c>
    </row>
    <row r="220" spans="2:2" ht="12.45" customHeight="1" x14ac:dyDescent="0.35">
      <c r="B220" s="185" t="s">
        <v>720</v>
      </c>
    </row>
    <row r="221" spans="2:2" ht="12.45" customHeight="1" x14ac:dyDescent="0.35">
      <c r="B221" s="185" t="s">
        <v>721</v>
      </c>
    </row>
    <row r="222" spans="2:2" ht="12.45" customHeight="1" x14ac:dyDescent="0.35">
      <c r="B222" s="185" t="s">
        <v>645</v>
      </c>
    </row>
    <row r="223" spans="2:2" ht="12.45" customHeight="1" x14ac:dyDescent="0.35">
      <c r="B223" s="185" t="s">
        <v>563</v>
      </c>
    </row>
    <row r="224" spans="2:2" ht="12.45" customHeight="1" x14ac:dyDescent="0.35">
      <c r="B224" s="185" t="s">
        <v>722</v>
      </c>
    </row>
    <row r="225" spans="2:2" ht="12.45" customHeight="1" x14ac:dyDescent="0.35">
      <c r="B225" s="185" t="s">
        <v>723</v>
      </c>
    </row>
    <row r="226" spans="2:2" ht="12.45" customHeight="1" x14ac:dyDescent="0.35">
      <c r="B226" s="185" t="s">
        <v>724</v>
      </c>
    </row>
    <row r="227" spans="2:2" ht="12.45" customHeight="1" x14ac:dyDescent="0.35">
      <c r="B227" s="185" t="s">
        <v>725</v>
      </c>
    </row>
    <row r="228" spans="2:2" ht="12.45" customHeight="1" x14ac:dyDescent="0.35">
      <c r="B228" s="185" t="s">
        <v>711</v>
      </c>
    </row>
    <row r="229" spans="2:2" ht="12.45" customHeight="1" x14ac:dyDescent="0.35">
      <c r="B229" s="185" t="s">
        <v>563</v>
      </c>
    </row>
    <row r="230" spans="2:2" ht="12.45" customHeight="1" x14ac:dyDescent="0.35">
      <c r="B230" s="185" t="s">
        <v>726</v>
      </c>
    </row>
    <row r="231" spans="2:2" ht="12.45" customHeight="1" x14ac:dyDescent="0.35">
      <c r="B231" s="185" t="s">
        <v>727</v>
      </c>
    </row>
    <row r="232" spans="2:2" ht="12.45" customHeight="1" x14ac:dyDescent="0.35">
      <c r="B232" s="185" t="s">
        <v>728</v>
      </c>
    </row>
    <row r="233" spans="2:2" ht="12.45" customHeight="1" x14ac:dyDescent="0.35">
      <c r="B233" s="185" t="s">
        <v>729</v>
      </c>
    </row>
    <row r="234" spans="2:2" ht="12.45" customHeight="1" x14ac:dyDescent="0.35">
      <c r="B234" s="185" t="s">
        <v>730</v>
      </c>
    </row>
    <row r="235" spans="2:2" ht="12.45" customHeight="1" x14ac:dyDescent="0.35">
      <c r="B235" s="185" t="s">
        <v>731</v>
      </c>
    </row>
    <row r="236" spans="2:2" ht="12.45" customHeight="1" x14ac:dyDescent="0.35">
      <c r="B236" s="185" t="s">
        <v>732</v>
      </c>
    </row>
    <row r="237" spans="2:2" ht="12.45" customHeight="1" x14ac:dyDescent="0.35">
      <c r="B237" s="185" t="s">
        <v>733</v>
      </c>
    </row>
    <row r="238" spans="2:2" ht="12.45" customHeight="1" x14ac:dyDescent="0.35">
      <c r="B238" s="185" t="s">
        <v>734</v>
      </c>
    </row>
    <row r="239" spans="2:2" ht="12.45" customHeight="1" x14ac:dyDescent="0.35">
      <c r="B239" s="185" t="s">
        <v>720</v>
      </c>
    </row>
    <row r="240" spans="2:2" ht="12.45" customHeight="1" x14ac:dyDescent="0.35">
      <c r="B240" s="185" t="s">
        <v>721</v>
      </c>
    </row>
    <row r="241" spans="2:2" ht="12.45" customHeight="1" x14ac:dyDescent="0.35">
      <c r="B241" s="185" t="s">
        <v>645</v>
      </c>
    </row>
    <row r="242" spans="2:2" ht="12.45" customHeight="1" x14ac:dyDescent="0.35">
      <c r="B242" s="185" t="s">
        <v>563</v>
      </c>
    </row>
    <row r="243" spans="2:2" ht="12.45" customHeight="1" x14ac:dyDescent="0.35">
      <c r="B243" s="185" t="s">
        <v>735</v>
      </c>
    </row>
    <row r="244" spans="2:2" ht="12.45" customHeight="1" x14ac:dyDescent="0.35">
      <c r="B244" s="185" t="s">
        <v>736</v>
      </c>
    </row>
    <row r="245" spans="2:2" ht="12.45" customHeight="1" x14ac:dyDescent="0.35">
      <c r="B245" s="185" t="s">
        <v>737</v>
      </c>
    </row>
    <row r="246" spans="2:2" ht="12.45" customHeight="1" x14ac:dyDescent="0.35">
      <c r="B246" s="185" t="s">
        <v>709</v>
      </c>
    </row>
    <row r="247" spans="2:2" ht="12.45" customHeight="1" x14ac:dyDescent="0.35">
      <c r="B247" s="185" t="s">
        <v>738</v>
      </c>
    </row>
    <row r="248" spans="2:2" ht="12.45" customHeight="1" x14ac:dyDescent="0.35">
      <c r="B248" s="185" t="s">
        <v>739</v>
      </c>
    </row>
    <row r="249" spans="2:2" ht="12.45" customHeight="1" x14ac:dyDescent="0.35">
      <c r="B249" s="185" t="s">
        <v>711</v>
      </c>
    </row>
    <row r="250" spans="2:2" ht="12.45" customHeight="1" x14ac:dyDescent="0.35">
      <c r="B250" s="185" t="s">
        <v>563</v>
      </c>
    </row>
    <row r="251" spans="2:2" ht="12.45" customHeight="1" x14ac:dyDescent="0.35">
      <c r="B251" s="185" t="s">
        <v>714</v>
      </c>
    </row>
    <row r="252" spans="2:2" ht="12.45" customHeight="1" x14ac:dyDescent="0.35">
      <c r="B252" s="185" t="s">
        <v>740</v>
      </c>
    </row>
    <row r="253" spans="2:2" ht="12.45" customHeight="1" x14ac:dyDescent="0.35">
      <c r="B253" s="185" t="s">
        <v>741</v>
      </c>
    </row>
    <row r="254" spans="2:2" ht="12.45" customHeight="1" x14ac:dyDescent="0.35">
      <c r="B254" s="185" t="s">
        <v>742</v>
      </c>
    </row>
    <row r="255" spans="2:2" ht="12.45" customHeight="1" x14ac:dyDescent="0.35">
      <c r="B255" s="185" t="s">
        <v>743</v>
      </c>
    </row>
    <row r="256" spans="2:2" ht="12.45" customHeight="1" x14ac:dyDescent="0.35">
      <c r="B256" s="185" t="s">
        <v>744</v>
      </c>
    </row>
    <row r="257" spans="2:2" ht="12.45" customHeight="1" x14ac:dyDescent="0.35">
      <c r="B257" s="185" t="s">
        <v>666</v>
      </c>
    </row>
    <row r="258" spans="2:2" ht="12.45" customHeight="1" x14ac:dyDescent="0.35">
      <c r="B258" s="185" t="s">
        <v>745</v>
      </c>
    </row>
    <row r="259" spans="2:2" ht="12.45" customHeight="1" x14ac:dyDescent="0.35">
      <c r="B259" s="185" t="s">
        <v>645</v>
      </c>
    </row>
    <row r="260" spans="2:2" ht="12.45" customHeight="1" x14ac:dyDescent="0.35">
      <c r="B260" s="185" t="s">
        <v>563</v>
      </c>
    </row>
    <row r="261" spans="2:2" ht="12.45" customHeight="1" x14ac:dyDescent="0.35">
      <c r="B261" s="185" t="s">
        <v>746</v>
      </c>
    </row>
    <row r="262" spans="2:2" ht="12.45" customHeight="1" x14ac:dyDescent="0.35">
      <c r="B262" s="185" t="s">
        <v>747</v>
      </c>
    </row>
    <row r="263" spans="2:2" ht="12.45" customHeight="1" x14ac:dyDescent="0.35">
      <c r="B263" s="185" t="s">
        <v>748</v>
      </c>
    </row>
    <row r="264" spans="2:2" ht="12.45" customHeight="1" x14ac:dyDescent="0.35">
      <c r="B264" s="185" t="s">
        <v>657</v>
      </c>
    </row>
    <row r="265" spans="2:2" ht="12.45" customHeight="1" x14ac:dyDescent="0.35">
      <c r="B265" s="185" t="s">
        <v>711</v>
      </c>
    </row>
    <row r="266" spans="2:2" ht="12.45" customHeight="1" x14ac:dyDescent="0.35">
      <c r="B266" s="185" t="s">
        <v>563</v>
      </c>
    </row>
    <row r="267" spans="2:2" ht="12.45" customHeight="1" x14ac:dyDescent="0.35">
      <c r="B267" s="185" t="s">
        <v>749</v>
      </c>
    </row>
    <row r="268" spans="2:2" ht="12.45" customHeight="1" x14ac:dyDescent="0.35">
      <c r="B268" s="185" t="s">
        <v>750</v>
      </c>
    </row>
    <row r="269" spans="2:2" ht="12.45" customHeight="1" x14ac:dyDescent="0.35">
      <c r="B269" s="185" t="s">
        <v>751</v>
      </c>
    </row>
    <row r="270" spans="2:2" ht="12.45" customHeight="1" x14ac:dyDescent="0.35">
      <c r="B270" s="185" t="s">
        <v>660</v>
      </c>
    </row>
    <row r="271" spans="2:2" ht="12.45" customHeight="1" x14ac:dyDescent="0.35">
      <c r="B271" s="185" t="s">
        <v>752</v>
      </c>
    </row>
    <row r="272" spans="2:2" ht="12.45" customHeight="1" x14ac:dyDescent="0.35">
      <c r="B272" s="185" t="s">
        <v>753</v>
      </c>
    </row>
    <row r="273" spans="2:2" ht="12.45" customHeight="1" x14ac:dyDescent="0.35">
      <c r="B273" s="185" t="s">
        <v>754</v>
      </c>
    </row>
    <row r="274" spans="2:2" ht="12.45" customHeight="1" x14ac:dyDescent="0.35">
      <c r="B274" s="185" t="s">
        <v>719</v>
      </c>
    </row>
    <row r="275" spans="2:2" ht="12.45" customHeight="1" x14ac:dyDescent="0.35">
      <c r="B275" s="185" t="s">
        <v>720</v>
      </c>
    </row>
    <row r="276" spans="2:2" ht="12.45" customHeight="1" x14ac:dyDescent="0.35">
      <c r="B276" s="185" t="s">
        <v>721</v>
      </c>
    </row>
    <row r="277" spans="2:2" ht="12.45" customHeight="1" x14ac:dyDescent="0.35">
      <c r="B277" s="185" t="s">
        <v>645</v>
      </c>
    </row>
    <row r="278" spans="2:2" ht="12.45" customHeight="1" x14ac:dyDescent="0.35">
      <c r="B278" s="185" t="s">
        <v>563</v>
      </c>
    </row>
    <row r="279" spans="2:2" ht="12.45" customHeight="1" x14ac:dyDescent="0.35">
      <c r="B279" s="185" t="s">
        <v>755</v>
      </c>
    </row>
    <row r="280" spans="2:2" ht="12.45" customHeight="1" x14ac:dyDescent="0.35">
      <c r="B280" s="185" t="s">
        <v>756</v>
      </c>
    </row>
    <row r="281" spans="2:2" ht="12.45" customHeight="1" x14ac:dyDescent="0.35">
      <c r="B281" s="185" t="s">
        <v>757</v>
      </c>
    </row>
    <row r="282" spans="2:2" ht="12.45" customHeight="1" x14ac:dyDescent="0.35">
      <c r="B282" s="185" t="s">
        <v>758</v>
      </c>
    </row>
    <row r="283" spans="2:2" ht="12.45" customHeight="1" x14ac:dyDescent="0.35">
      <c r="B283" s="185" t="s">
        <v>563</v>
      </c>
    </row>
    <row r="284" spans="2:2" ht="12.45" customHeight="1" x14ac:dyDescent="0.35">
      <c r="B284" s="185" t="s">
        <v>759</v>
      </c>
    </row>
    <row r="285" spans="2:2" ht="12.45" customHeight="1" x14ac:dyDescent="0.35">
      <c r="B285" s="185" t="s">
        <v>760</v>
      </c>
    </row>
    <row r="286" spans="2:2" ht="12.45" customHeight="1" x14ac:dyDescent="0.35">
      <c r="B286" s="185" t="s">
        <v>645</v>
      </c>
    </row>
    <row r="287" spans="2:2" ht="12.45" customHeight="1" x14ac:dyDescent="0.35">
      <c r="B287" s="185" t="s">
        <v>563</v>
      </c>
    </row>
    <row r="288" spans="2:2" ht="12.45" customHeight="1" x14ac:dyDescent="0.35">
      <c r="B288" s="185" t="s">
        <v>761</v>
      </c>
    </row>
    <row r="289" spans="2:2" ht="12.45" customHeight="1" x14ac:dyDescent="0.35">
      <c r="B289" s="185" t="s">
        <v>762</v>
      </c>
    </row>
    <row r="290" spans="2:2" ht="12.45" customHeight="1" x14ac:dyDescent="0.35">
      <c r="B290" s="185" t="s">
        <v>763</v>
      </c>
    </row>
    <row r="291" spans="2:2" ht="12.45" customHeight="1" x14ac:dyDescent="0.35">
      <c r="B291" s="185" t="s">
        <v>764</v>
      </c>
    </row>
    <row r="292" spans="2:2" ht="12.45" customHeight="1" x14ac:dyDescent="0.35">
      <c r="B292" s="185" t="s">
        <v>758</v>
      </c>
    </row>
    <row r="293" spans="2:2" ht="12.45" customHeight="1" x14ac:dyDescent="0.35">
      <c r="B293" s="185" t="s">
        <v>563</v>
      </c>
    </row>
    <row r="294" spans="2:2" ht="12.45" customHeight="1" x14ac:dyDescent="0.35">
      <c r="B294" s="185" t="s">
        <v>765</v>
      </c>
    </row>
    <row r="295" spans="2:2" ht="12.45" customHeight="1" x14ac:dyDescent="0.35">
      <c r="B295" s="185" t="s">
        <v>766</v>
      </c>
    </row>
    <row r="296" spans="2:2" ht="12.45" customHeight="1" x14ac:dyDescent="0.35">
      <c r="B296" s="185" t="s">
        <v>767</v>
      </c>
    </row>
    <row r="297" spans="2:2" ht="12.45" customHeight="1" x14ac:dyDescent="0.35">
      <c r="B297" s="185" t="s">
        <v>768</v>
      </c>
    </row>
    <row r="298" spans="2:2" ht="12.45" customHeight="1" x14ac:dyDescent="0.35">
      <c r="B298" s="185" t="s">
        <v>769</v>
      </c>
    </row>
    <row r="299" spans="2:2" ht="12.45" customHeight="1" x14ac:dyDescent="0.35">
      <c r="B299" s="185" t="s">
        <v>645</v>
      </c>
    </row>
    <row r="300" spans="2:2" ht="12.45" customHeight="1" x14ac:dyDescent="0.35">
      <c r="B300" s="185" t="s">
        <v>563</v>
      </c>
    </row>
    <row r="301" spans="2:2" ht="12.45" customHeight="1" x14ac:dyDescent="0.35">
      <c r="B301" s="186" t="s">
        <v>564</v>
      </c>
    </row>
    <row r="302" spans="2:2" ht="12.45" customHeight="1" x14ac:dyDescent="0.35">
      <c r="B302" s="186" t="s">
        <v>770</v>
      </c>
    </row>
    <row r="303" spans="2:2" ht="12.45" customHeight="1" x14ac:dyDescent="0.35">
      <c r="B303" s="186" t="s">
        <v>564</v>
      </c>
    </row>
    <row r="304" spans="2:2" ht="12.45" customHeight="1" x14ac:dyDescent="0.35">
      <c r="B304" s="185" t="s">
        <v>563</v>
      </c>
    </row>
    <row r="305" spans="2:2" ht="12.45" customHeight="1" x14ac:dyDescent="0.35">
      <c r="B305" s="185" t="s">
        <v>771</v>
      </c>
    </row>
    <row r="306" spans="2:2" ht="12.45" customHeight="1" x14ac:dyDescent="0.35">
      <c r="B306" s="185" t="s">
        <v>772</v>
      </c>
    </row>
    <row r="307" spans="2:2" ht="12.45" customHeight="1" x14ac:dyDescent="0.35">
      <c r="B307" s="185" t="s">
        <v>726</v>
      </c>
    </row>
    <row r="308" spans="2:2" ht="12.45" customHeight="1" x14ac:dyDescent="0.35">
      <c r="B308" s="185" t="s">
        <v>773</v>
      </c>
    </row>
    <row r="309" spans="2:2" ht="12.45" customHeight="1" x14ac:dyDescent="0.35">
      <c r="B309" s="185" t="s">
        <v>774</v>
      </c>
    </row>
    <row r="310" spans="2:2" ht="12.45" customHeight="1" x14ac:dyDescent="0.35">
      <c r="B310" s="185" t="s">
        <v>775</v>
      </c>
    </row>
    <row r="311" spans="2:2" ht="12.45" customHeight="1" x14ac:dyDescent="0.35">
      <c r="B311" s="185" t="s">
        <v>776</v>
      </c>
    </row>
    <row r="312" spans="2:2" ht="12.45" customHeight="1" x14ac:dyDescent="0.35">
      <c r="B312" s="185" t="s">
        <v>777</v>
      </c>
    </row>
    <row r="313" spans="2:2" ht="12.45" customHeight="1" x14ac:dyDescent="0.35">
      <c r="B313" s="185" t="s">
        <v>778</v>
      </c>
    </row>
    <row r="314" spans="2:2" ht="12.45" customHeight="1" x14ac:dyDescent="0.35">
      <c r="B314" s="185" t="s">
        <v>645</v>
      </c>
    </row>
    <row r="315" spans="2:2" ht="12.45" customHeight="1" x14ac:dyDescent="0.35">
      <c r="B315" s="185" t="s">
        <v>563</v>
      </c>
    </row>
    <row r="316" spans="2:2" ht="12.45" customHeight="1" x14ac:dyDescent="0.35">
      <c r="B316" s="185" t="s">
        <v>779</v>
      </c>
    </row>
    <row r="317" spans="2:2" ht="12.45" customHeight="1" x14ac:dyDescent="0.35">
      <c r="B317" s="185" t="s">
        <v>780</v>
      </c>
    </row>
    <row r="318" spans="2:2" ht="12.45" customHeight="1" x14ac:dyDescent="0.35">
      <c r="B318" s="185" t="s">
        <v>711</v>
      </c>
    </row>
    <row r="319" spans="2:2" ht="12.45" customHeight="1" x14ac:dyDescent="0.35">
      <c r="B319" s="185" t="s">
        <v>781</v>
      </c>
    </row>
    <row r="320" spans="2:2" ht="12.45" customHeight="1" x14ac:dyDescent="0.35">
      <c r="B320" s="185" t="s">
        <v>782</v>
      </c>
    </row>
    <row r="321" spans="2:2" ht="12.45" customHeight="1" x14ac:dyDescent="0.35">
      <c r="B321" s="185" t="s">
        <v>563</v>
      </c>
    </row>
    <row r="322" spans="2:2" ht="12.45" customHeight="1" x14ac:dyDescent="0.35">
      <c r="B322" s="185" t="s">
        <v>783</v>
      </c>
    </row>
    <row r="323" spans="2:2" ht="12.45" customHeight="1" x14ac:dyDescent="0.35">
      <c r="B323" s="185" t="s">
        <v>784</v>
      </c>
    </row>
    <row r="324" spans="2:2" ht="12.45" customHeight="1" x14ac:dyDescent="0.35">
      <c r="B324" s="185" t="s">
        <v>785</v>
      </c>
    </row>
    <row r="325" spans="2:2" ht="12.45" customHeight="1" x14ac:dyDescent="0.35">
      <c r="B325" s="185" t="s">
        <v>786</v>
      </c>
    </row>
    <row r="326" spans="2:2" ht="12.45" customHeight="1" x14ac:dyDescent="0.35">
      <c r="B326" s="185" t="s">
        <v>787</v>
      </c>
    </row>
    <row r="327" spans="2:2" ht="12.45" customHeight="1" x14ac:dyDescent="0.35">
      <c r="B327" s="185" t="s">
        <v>788</v>
      </c>
    </row>
    <row r="328" spans="2:2" ht="12.45" customHeight="1" x14ac:dyDescent="0.35">
      <c r="B328" s="185" t="s">
        <v>789</v>
      </c>
    </row>
    <row r="329" spans="2:2" ht="12.45" customHeight="1" x14ac:dyDescent="0.35">
      <c r="B329" s="185" t="s">
        <v>790</v>
      </c>
    </row>
    <row r="330" spans="2:2" ht="12.45" customHeight="1" x14ac:dyDescent="0.35">
      <c r="B330" s="185" t="s">
        <v>720</v>
      </c>
    </row>
    <row r="331" spans="2:2" ht="12.45" customHeight="1" x14ac:dyDescent="0.35">
      <c r="B331" s="185" t="s">
        <v>721</v>
      </c>
    </row>
    <row r="332" spans="2:2" ht="12.45" customHeight="1" x14ac:dyDescent="0.35">
      <c r="B332" s="185" t="s">
        <v>791</v>
      </c>
    </row>
    <row r="333" spans="2:2" ht="12.45" customHeight="1" x14ac:dyDescent="0.35">
      <c r="B333" s="185" t="s">
        <v>645</v>
      </c>
    </row>
    <row r="334" spans="2:2" ht="12.45" customHeight="1" x14ac:dyDescent="0.35">
      <c r="B334" s="185" t="s">
        <v>563</v>
      </c>
    </row>
    <row r="335" spans="2:2" ht="12.45" customHeight="1" x14ac:dyDescent="0.35">
      <c r="B335" s="185" t="s">
        <v>792</v>
      </c>
    </row>
    <row r="336" spans="2:2" ht="12.45" customHeight="1" x14ac:dyDescent="0.35">
      <c r="B336" s="185" t="s">
        <v>793</v>
      </c>
    </row>
    <row r="337" spans="2:2" ht="12.45" customHeight="1" x14ac:dyDescent="0.35">
      <c r="B337" s="185" t="s">
        <v>794</v>
      </c>
    </row>
    <row r="338" spans="2:2" ht="12.45" customHeight="1" x14ac:dyDescent="0.35">
      <c r="B338" s="185" t="s">
        <v>795</v>
      </c>
    </row>
    <row r="339" spans="2:2" ht="12.45" customHeight="1" x14ac:dyDescent="0.35">
      <c r="B339" s="185" t="s">
        <v>796</v>
      </c>
    </row>
    <row r="340" spans="2:2" ht="12.45" customHeight="1" x14ac:dyDescent="0.35">
      <c r="B340" s="185" t="s">
        <v>797</v>
      </c>
    </row>
    <row r="341" spans="2:2" ht="12.45" customHeight="1" x14ac:dyDescent="0.35">
      <c r="B341" s="185" t="s">
        <v>798</v>
      </c>
    </row>
    <row r="342" spans="2:2" ht="12.45" customHeight="1" x14ac:dyDescent="0.35">
      <c r="B342" s="185" t="s">
        <v>799</v>
      </c>
    </row>
    <row r="343" spans="2:2" ht="12.45" customHeight="1" x14ac:dyDescent="0.35">
      <c r="B343" s="185" t="s">
        <v>563</v>
      </c>
    </row>
    <row r="344" spans="2:2" ht="12.45" customHeight="1" x14ac:dyDescent="0.35">
      <c r="B344" s="185" t="s">
        <v>800</v>
      </c>
    </row>
    <row r="345" spans="2:2" ht="12.45" customHeight="1" x14ac:dyDescent="0.35">
      <c r="B345" s="185" t="s">
        <v>801</v>
      </c>
    </row>
    <row r="346" spans="2:2" ht="12.45" customHeight="1" x14ac:dyDescent="0.35">
      <c r="B346" s="185" t="s">
        <v>802</v>
      </c>
    </row>
    <row r="347" spans="2:2" ht="12.45" customHeight="1" x14ac:dyDescent="0.35">
      <c r="B347" s="185" t="s">
        <v>803</v>
      </c>
    </row>
    <row r="348" spans="2:2" ht="12.45" customHeight="1" x14ac:dyDescent="0.35">
      <c r="B348" s="185" t="s">
        <v>804</v>
      </c>
    </row>
    <row r="349" spans="2:2" ht="12.45" customHeight="1" x14ac:dyDescent="0.35">
      <c r="B349" s="185" t="s">
        <v>805</v>
      </c>
    </row>
    <row r="350" spans="2:2" ht="12.45" customHeight="1" x14ac:dyDescent="0.35">
      <c r="B350" s="185" t="s">
        <v>806</v>
      </c>
    </row>
    <row r="351" spans="2:2" ht="12.45" customHeight="1" x14ac:dyDescent="0.35">
      <c r="B351" s="185" t="s">
        <v>807</v>
      </c>
    </row>
    <row r="352" spans="2:2" ht="12.45" customHeight="1" x14ac:dyDescent="0.35">
      <c r="B352" s="185" t="s">
        <v>808</v>
      </c>
    </row>
    <row r="353" spans="2:2" ht="12.45" customHeight="1" x14ac:dyDescent="0.35">
      <c r="B353" s="185" t="s">
        <v>809</v>
      </c>
    </row>
    <row r="354" spans="2:2" ht="12.45" customHeight="1" x14ac:dyDescent="0.35">
      <c r="B354" s="185" t="s">
        <v>810</v>
      </c>
    </row>
    <row r="355" spans="2:2" ht="12.45" customHeight="1" x14ac:dyDescent="0.35">
      <c r="B355" s="185" t="s">
        <v>811</v>
      </c>
    </row>
    <row r="356" spans="2:2" ht="12.45" customHeight="1" x14ac:dyDescent="0.35">
      <c r="B356" s="185" t="s">
        <v>812</v>
      </c>
    </row>
    <row r="357" spans="2:2" ht="12.45" customHeight="1" x14ac:dyDescent="0.35">
      <c r="B357" s="185" t="s">
        <v>645</v>
      </c>
    </row>
    <row r="358" spans="2:2" ht="12.45" customHeight="1" x14ac:dyDescent="0.35">
      <c r="B358" s="185" t="s">
        <v>563</v>
      </c>
    </row>
    <row r="359" spans="2:2" ht="12.45" customHeight="1" x14ac:dyDescent="0.35">
      <c r="B359" s="186" t="s">
        <v>564</v>
      </c>
    </row>
    <row r="360" spans="2:2" ht="12.45" customHeight="1" x14ac:dyDescent="0.35">
      <c r="B360" s="186" t="s">
        <v>813</v>
      </c>
    </row>
    <row r="361" spans="2:2" ht="12.45" customHeight="1" x14ac:dyDescent="0.35">
      <c r="B361" s="186" t="s">
        <v>564</v>
      </c>
    </row>
    <row r="362" spans="2:2" ht="12.45" customHeight="1" x14ac:dyDescent="0.35">
      <c r="B362" s="185" t="s">
        <v>563</v>
      </c>
    </row>
    <row r="363" spans="2:2" ht="12.45" customHeight="1" x14ac:dyDescent="0.35">
      <c r="B363" s="185" t="s">
        <v>814</v>
      </c>
    </row>
    <row r="364" spans="2:2" ht="12.45" customHeight="1" x14ac:dyDescent="0.35">
      <c r="B364" s="185" t="s">
        <v>815</v>
      </c>
    </row>
    <row r="365" spans="2:2" ht="12.45" customHeight="1" x14ac:dyDescent="0.35">
      <c r="B365" s="185" t="s">
        <v>816</v>
      </c>
    </row>
    <row r="366" spans="2:2" ht="12.45" customHeight="1" x14ac:dyDescent="0.35">
      <c r="B366" s="185" t="s">
        <v>817</v>
      </c>
    </row>
    <row r="367" spans="2:2" ht="12.45" customHeight="1" x14ac:dyDescent="0.35">
      <c r="B367" s="185" t="s">
        <v>818</v>
      </c>
    </row>
    <row r="368" spans="2:2" ht="12.45" customHeight="1" x14ac:dyDescent="0.35">
      <c r="B368" s="185" t="s">
        <v>819</v>
      </c>
    </row>
    <row r="369" spans="2:2" ht="12.45" customHeight="1" x14ac:dyDescent="0.35">
      <c r="B369" s="185" t="s">
        <v>820</v>
      </c>
    </row>
    <row r="370" spans="2:2" ht="12.45" customHeight="1" x14ac:dyDescent="0.35">
      <c r="B370" s="185" t="s">
        <v>821</v>
      </c>
    </row>
    <row r="371" spans="2:2" ht="12.45" customHeight="1" x14ac:dyDescent="0.35">
      <c r="B371" s="185" t="s">
        <v>822</v>
      </c>
    </row>
    <row r="372" spans="2:2" ht="12.45" customHeight="1" x14ac:dyDescent="0.35">
      <c r="B372" s="185" t="s">
        <v>823</v>
      </c>
    </row>
    <row r="373" spans="2:2" ht="12.45" customHeight="1" x14ac:dyDescent="0.35">
      <c r="B373" s="185" t="s">
        <v>824</v>
      </c>
    </row>
    <row r="374" spans="2:2" ht="12.45" customHeight="1" x14ac:dyDescent="0.35">
      <c r="B374" s="185" t="s">
        <v>825</v>
      </c>
    </row>
    <row r="375" spans="2:2" ht="12.45" customHeight="1" x14ac:dyDescent="0.35">
      <c r="B375" s="185" t="s">
        <v>826</v>
      </c>
    </row>
    <row r="376" spans="2:2" ht="12.45" customHeight="1" x14ac:dyDescent="0.35">
      <c r="B376" s="185" t="s">
        <v>827</v>
      </c>
    </row>
    <row r="377" spans="2:2" ht="12.45" customHeight="1" x14ac:dyDescent="0.35">
      <c r="B377" s="185" t="s">
        <v>828</v>
      </c>
    </row>
    <row r="378" spans="2:2" ht="12.45" customHeight="1" x14ac:dyDescent="0.35">
      <c r="B378" s="185" t="s">
        <v>666</v>
      </c>
    </row>
    <row r="379" spans="2:2" ht="12.45" customHeight="1" x14ac:dyDescent="0.35">
      <c r="B379" s="185" t="s">
        <v>645</v>
      </c>
    </row>
    <row r="380" spans="2:2" ht="12.45" customHeight="1" x14ac:dyDescent="0.35">
      <c r="B380" s="185" t="s">
        <v>563</v>
      </c>
    </row>
    <row r="381" spans="2:2" ht="12.45" customHeight="1" x14ac:dyDescent="0.35">
      <c r="B381" s="185" t="s">
        <v>829</v>
      </c>
    </row>
    <row r="382" spans="2:2" ht="12.45" customHeight="1" x14ac:dyDescent="0.35">
      <c r="B382" s="185" t="s">
        <v>830</v>
      </c>
    </row>
    <row r="383" spans="2:2" ht="12.45" customHeight="1" x14ac:dyDescent="0.35">
      <c r="B383" s="185" t="s">
        <v>831</v>
      </c>
    </row>
    <row r="384" spans="2:2" ht="12.45" customHeight="1" x14ac:dyDescent="0.35">
      <c r="B384" s="185" t="s">
        <v>832</v>
      </c>
    </row>
    <row r="385" spans="2:2" ht="12.45" customHeight="1" x14ac:dyDescent="0.35">
      <c r="B385" s="185" t="s">
        <v>833</v>
      </c>
    </row>
    <row r="386" spans="2:2" ht="12.45" customHeight="1" x14ac:dyDescent="0.35">
      <c r="B386" s="185" t="s">
        <v>834</v>
      </c>
    </row>
    <row r="387" spans="2:2" ht="12.45" customHeight="1" x14ac:dyDescent="0.35">
      <c r="B387" s="185" t="s">
        <v>835</v>
      </c>
    </row>
    <row r="388" spans="2:2" ht="12.45" customHeight="1" x14ac:dyDescent="0.35">
      <c r="B388" s="185" t="s">
        <v>836</v>
      </c>
    </row>
    <row r="389" spans="2:2" ht="12.45" customHeight="1" x14ac:dyDescent="0.35">
      <c r="B389" s="185" t="s">
        <v>563</v>
      </c>
    </row>
    <row r="390" spans="2:2" ht="12.45" customHeight="1" x14ac:dyDescent="0.35">
      <c r="B390" s="185" t="s">
        <v>635</v>
      </c>
    </row>
    <row r="391" spans="2:2" ht="12.45" customHeight="1" x14ac:dyDescent="0.35">
      <c r="B391" s="185" t="s">
        <v>837</v>
      </c>
    </row>
    <row r="392" spans="2:2" ht="12.45" customHeight="1" x14ac:dyDescent="0.35">
      <c r="B392" s="185" t="s">
        <v>838</v>
      </c>
    </row>
    <row r="393" spans="2:2" ht="12.45" customHeight="1" x14ac:dyDescent="0.35">
      <c r="B393" s="185" t="s">
        <v>563</v>
      </c>
    </row>
    <row r="394" spans="2:2" ht="12.45" customHeight="1" x14ac:dyDescent="0.35">
      <c r="B394" s="185" t="s">
        <v>839</v>
      </c>
    </row>
    <row r="395" spans="2:2" ht="12.45" customHeight="1" x14ac:dyDescent="0.35">
      <c r="B395" s="185" t="s">
        <v>840</v>
      </c>
    </row>
    <row r="396" spans="2:2" ht="12.45" customHeight="1" x14ac:dyDescent="0.35">
      <c r="B396" s="185" t="s">
        <v>841</v>
      </c>
    </row>
    <row r="397" spans="2:2" ht="12.45" customHeight="1" x14ac:dyDescent="0.35">
      <c r="B397" s="185" t="s">
        <v>842</v>
      </c>
    </row>
    <row r="398" spans="2:2" ht="12.45" customHeight="1" x14ac:dyDescent="0.35">
      <c r="B398" s="185" t="s">
        <v>843</v>
      </c>
    </row>
    <row r="399" spans="2:2" ht="12.45" customHeight="1" x14ac:dyDescent="0.35">
      <c r="B399" s="185" t="s">
        <v>844</v>
      </c>
    </row>
    <row r="400" spans="2:2" ht="12.45" customHeight="1" x14ac:dyDescent="0.35">
      <c r="B400" s="185" t="s">
        <v>845</v>
      </c>
    </row>
    <row r="401" spans="2:2" ht="12.45" customHeight="1" x14ac:dyDescent="0.35">
      <c r="B401" s="185" t="s">
        <v>846</v>
      </c>
    </row>
    <row r="402" spans="2:2" ht="12.45" customHeight="1" x14ac:dyDescent="0.35">
      <c r="B402" s="185" t="s">
        <v>847</v>
      </c>
    </row>
    <row r="403" spans="2:2" ht="12.45" customHeight="1" x14ac:dyDescent="0.35">
      <c r="B403" s="185" t="s">
        <v>848</v>
      </c>
    </row>
    <row r="404" spans="2:2" ht="12.45" customHeight="1" x14ac:dyDescent="0.35">
      <c r="B404" s="185" t="s">
        <v>849</v>
      </c>
    </row>
    <row r="405" spans="2:2" ht="12.45" customHeight="1" x14ac:dyDescent="0.35">
      <c r="B405" s="185" t="s">
        <v>666</v>
      </c>
    </row>
    <row r="406" spans="2:2" ht="12.45" customHeight="1" x14ac:dyDescent="0.35">
      <c r="B406" s="185" t="s">
        <v>850</v>
      </c>
    </row>
    <row r="407" spans="2:2" ht="12.45" customHeight="1" x14ac:dyDescent="0.35">
      <c r="B407" s="185" t="s">
        <v>563</v>
      </c>
    </row>
    <row r="408" spans="2:2" ht="12.45" customHeight="1" x14ac:dyDescent="0.35">
      <c r="B408" s="185" t="s">
        <v>638</v>
      </c>
    </row>
    <row r="409" spans="2:2" ht="12.45" customHeight="1" x14ac:dyDescent="0.35">
      <c r="B409" s="185" t="s">
        <v>851</v>
      </c>
    </row>
    <row r="410" spans="2:2" ht="12.45" customHeight="1" x14ac:dyDescent="0.35">
      <c r="B410" s="185" t="s">
        <v>645</v>
      </c>
    </row>
    <row r="411" spans="2:2" ht="12.45" customHeight="1" x14ac:dyDescent="0.35">
      <c r="B411" s="185" t="s">
        <v>563</v>
      </c>
    </row>
    <row r="412" spans="2:2" ht="12.45" customHeight="1" x14ac:dyDescent="0.35">
      <c r="B412" s="185" t="s">
        <v>852</v>
      </c>
    </row>
    <row r="413" spans="2:2" ht="12.45" customHeight="1" x14ac:dyDescent="0.35">
      <c r="B413" s="185" t="s">
        <v>853</v>
      </c>
    </row>
    <row r="414" spans="2:2" ht="12.45" customHeight="1" x14ac:dyDescent="0.35">
      <c r="B414" s="185" t="s">
        <v>854</v>
      </c>
    </row>
    <row r="415" spans="2:2" ht="12.45" customHeight="1" x14ac:dyDescent="0.35">
      <c r="B415" s="185" t="s">
        <v>855</v>
      </c>
    </row>
    <row r="416" spans="2:2" ht="12.45" customHeight="1" x14ac:dyDescent="0.35">
      <c r="B416" s="185" t="s">
        <v>856</v>
      </c>
    </row>
    <row r="417" spans="2:2" ht="12.45" customHeight="1" x14ac:dyDescent="0.35">
      <c r="B417" s="185" t="s">
        <v>857</v>
      </c>
    </row>
    <row r="418" spans="2:2" ht="12.45" customHeight="1" x14ac:dyDescent="0.35">
      <c r="B418" s="185" t="s">
        <v>858</v>
      </c>
    </row>
    <row r="419" spans="2:2" ht="12.45" customHeight="1" x14ac:dyDescent="0.35">
      <c r="B419" s="185" t="s">
        <v>666</v>
      </c>
    </row>
    <row r="420" spans="2:2" ht="12.45" customHeight="1" x14ac:dyDescent="0.35">
      <c r="B420" s="185" t="s">
        <v>645</v>
      </c>
    </row>
    <row r="421" spans="2:2" ht="12.45" customHeight="1" x14ac:dyDescent="0.35">
      <c r="B421" s="185" t="s">
        <v>563</v>
      </c>
    </row>
    <row r="422" spans="2:2" ht="12.45" customHeight="1" x14ac:dyDescent="0.35">
      <c r="B422" s="185" t="s">
        <v>859</v>
      </c>
    </row>
    <row r="423" spans="2:2" ht="12.45" customHeight="1" x14ac:dyDescent="0.35">
      <c r="B423" s="185" t="s">
        <v>860</v>
      </c>
    </row>
    <row r="424" spans="2:2" ht="12.45" customHeight="1" x14ac:dyDescent="0.35">
      <c r="B424" s="185" t="s">
        <v>861</v>
      </c>
    </row>
    <row r="425" spans="2:2" ht="12.45" customHeight="1" x14ac:dyDescent="0.35">
      <c r="B425" s="185" t="s">
        <v>862</v>
      </c>
    </row>
    <row r="426" spans="2:2" ht="12.45" customHeight="1" x14ac:dyDescent="0.35">
      <c r="B426" s="185" t="s">
        <v>863</v>
      </c>
    </row>
    <row r="427" spans="2:2" ht="12.45" customHeight="1" x14ac:dyDescent="0.35">
      <c r="B427" s="185" t="s">
        <v>864</v>
      </c>
    </row>
    <row r="428" spans="2:2" ht="12.45" customHeight="1" x14ac:dyDescent="0.35">
      <c r="B428" s="185" t="s">
        <v>865</v>
      </c>
    </row>
    <row r="429" spans="2:2" ht="12.45" customHeight="1" x14ac:dyDescent="0.35">
      <c r="B429" s="185" t="s">
        <v>866</v>
      </c>
    </row>
    <row r="430" spans="2:2" ht="12.45" customHeight="1" x14ac:dyDescent="0.35">
      <c r="B430" s="185" t="s">
        <v>867</v>
      </c>
    </row>
    <row r="431" spans="2:2" ht="12.45" customHeight="1" x14ac:dyDescent="0.35">
      <c r="B431" s="185" t="s">
        <v>868</v>
      </c>
    </row>
    <row r="432" spans="2:2" ht="12.45" customHeight="1" x14ac:dyDescent="0.35">
      <c r="B432" s="185" t="s">
        <v>869</v>
      </c>
    </row>
    <row r="433" spans="2:2" ht="12.45" customHeight="1" x14ac:dyDescent="0.35">
      <c r="B433" s="185" t="s">
        <v>870</v>
      </c>
    </row>
    <row r="434" spans="2:2" ht="12.45" customHeight="1" x14ac:dyDescent="0.35">
      <c r="B434" s="185" t="s">
        <v>871</v>
      </c>
    </row>
    <row r="435" spans="2:2" ht="12.45" customHeight="1" x14ac:dyDescent="0.35">
      <c r="B435" s="185" t="s">
        <v>872</v>
      </c>
    </row>
    <row r="436" spans="2:2" ht="12.45" customHeight="1" x14ac:dyDescent="0.35">
      <c r="B436" s="185" t="s">
        <v>645</v>
      </c>
    </row>
    <row r="437" spans="2:2" ht="12.45" customHeight="1" x14ac:dyDescent="0.35">
      <c r="B437" s="185" t="s">
        <v>563</v>
      </c>
    </row>
    <row r="438" spans="2:2" ht="12.45" customHeight="1" x14ac:dyDescent="0.35">
      <c r="B438" s="185" t="s">
        <v>873</v>
      </c>
    </row>
    <row r="439" spans="2:2" ht="12.45" customHeight="1" x14ac:dyDescent="0.35">
      <c r="B439" s="185" t="s">
        <v>874</v>
      </c>
    </row>
    <row r="440" spans="2:2" ht="12.45" customHeight="1" x14ac:dyDescent="0.35">
      <c r="B440" s="185" t="s">
        <v>875</v>
      </c>
    </row>
    <row r="441" spans="2:2" ht="12.45" customHeight="1" x14ac:dyDescent="0.35">
      <c r="B441" s="185" t="s">
        <v>876</v>
      </c>
    </row>
    <row r="442" spans="2:2" ht="12.45" customHeight="1" x14ac:dyDescent="0.35">
      <c r="B442" s="185" t="s">
        <v>877</v>
      </c>
    </row>
    <row r="443" spans="2:2" ht="12.45" customHeight="1" x14ac:dyDescent="0.35">
      <c r="B443" s="185" t="s">
        <v>620</v>
      </c>
    </row>
    <row r="444" spans="2:2" ht="12.45" customHeight="1" x14ac:dyDescent="0.35">
      <c r="B444" s="185" t="s">
        <v>563</v>
      </c>
    </row>
    <row r="445" spans="2:2" ht="12.45" customHeight="1" x14ac:dyDescent="0.35">
      <c r="B445" s="185" t="s">
        <v>878</v>
      </c>
    </row>
    <row r="446" spans="2:2" ht="12.45" customHeight="1" x14ac:dyDescent="0.35">
      <c r="B446" s="185" t="s">
        <v>879</v>
      </c>
    </row>
    <row r="447" spans="2:2" ht="12.45" customHeight="1" x14ac:dyDescent="0.35">
      <c r="B447" s="185" t="s">
        <v>880</v>
      </c>
    </row>
    <row r="448" spans="2:2" ht="12.45" customHeight="1" x14ac:dyDescent="0.35">
      <c r="B448" s="185" t="s">
        <v>881</v>
      </c>
    </row>
    <row r="449" spans="2:2" ht="12.45" customHeight="1" x14ac:dyDescent="0.35">
      <c r="B449" s="185" t="s">
        <v>882</v>
      </c>
    </row>
    <row r="450" spans="2:2" ht="12.45" customHeight="1" x14ac:dyDescent="0.35">
      <c r="B450" s="185" t="s">
        <v>883</v>
      </c>
    </row>
    <row r="451" spans="2:2" ht="12.45" customHeight="1" x14ac:dyDescent="0.35">
      <c r="B451" s="185" t="s">
        <v>884</v>
      </c>
    </row>
    <row r="452" spans="2:2" ht="12.45" customHeight="1" x14ac:dyDescent="0.35">
      <c r="B452" s="185" t="s">
        <v>885</v>
      </c>
    </row>
    <row r="453" spans="2:2" ht="12.45" customHeight="1" x14ac:dyDescent="0.35">
      <c r="B453" s="185" t="s">
        <v>886</v>
      </c>
    </row>
    <row r="454" spans="2:2" ht="12.45" customHeight="1" x14ac:dyDescent="0.35">
      <c r="B454" s="185" t="s">
        <v>887</v>
      </c>
    </row>
    <row r="455" spans="2:2" ht="12.45" customHeight="1" x14ac:dyDescent="0.35">
      <c r="B455" s="185" t="s">
        <v>719</v>
      </c>
    </row>
    <row r="456" spans="2:2" ht="12.45" customHeight="1" x14ac:dyDescent="0.35">
      <c r="B456" s="185" t="s">
        <v>720</v>
      </c>
    </row>
    <row r="457" spans="2:2" ht="12.45" customHeight="1" x14ac:dyDescent="0.35">
      <c r="B457" s="185" t="s">
        <v>666</v>
      </c>
    </row>
    <row r="458" spans="2:2" ht="12.45" customHeight="1" x14ac:dyDescent="0.35">
      <c r="B458" s="185" t="s">
        <v>888</v>
      </c>
    </row>
    <row r="459" spans="2:2" ht="12.45" customHeight="1" x14ac:dyDescent="0.35">
      <c r="B459" s="185" t="s">
        <v>889</v>
      </c>
    </row>
    <row r="460" spans="2:2" ht="12.45" customHeight="1" x14ac:dyDescent="0.35">
      <c r="B460" s="185" t="s">
        <v>645</v>
      </c>
    </row>
    <row r="461" spans="2:2" ht="12.45" customHeight="1" x14ac:dyDescent="0.35">
      <c r="B461" s="185" t="s">
        <v>563</v>
      </c>
    </row>
    <row r="462" spans="2:2" ht="12.45" customHeight="1" x14ac:dyDescent="0.35">
      <c r="B462" s="185" t="s">
        <v>890</v>
      </c>
    </row>
    <row r="463" spans="2:2" ht="12.45" customHeight="1" x14ac:dyDescent="0.35">
      <c r="B463" s="185" t="s">
        <v>891</v>
      </c>
    </row>
    <row r="464" spans="2:2" ht="12.45" customHeight="1" x14ac:dyDescent="0.35">
      <c r="B464" s="185" t="s">
        <v>892</v>
      </c>
    </row>
    <row r="465" spans="2:2" ht="12.45" customHeight="1" x14ac:dyDescent="0.35">
      <c r="B465" s="185" t="s">
        <v>893</v>
      </c>
    </row>
    <row r="466" spans="2:2" ht="12.45" customHeight="1" x14ac:dyDescent="0.35">
      <c r="B466" s="185" t="s">
        <v>894</v>
      </c>
    </row>
    <row r="467" spans="2:2" ht="12.45" customHeight="1" x14ac:dyDescent="0.35">
      <c r="B467" s="185" t="s">
        <v>895</v>
      </c>
    </row>
    <row r="468" spans="2:2" ht="12.45" customHeight="1" x14ac:dyDescent="0.35">
      <c r="B468" s="185" t="s">
        <v>896</v>
      </c>
    </row>
    <row r="469" spans="2:2" ht="12.45" customHeight="1" x14ac:dyDescent="0.35">
      <c r="B469" s="185" t="s">
        <v>897</v>
      </c>
    </row>
    <row r="470" spans="2:2" ht="12.45" customHeight="1" x14ac:dyDescent="0.35">
      <c r="B470" s="185" t="s">
        <v>898</v>
      </c>
    </row>
    <row r="471" spans="2:2" ht="12.45" customHeight="1" x14ac:dyDescent="0.35">
      <c r="B471" s="185" t="s">
        <v>899</v>
      </c>
    </row>
    <row r="472" spans="2:2" ht="12.45" customHeight="1" x14ac:dyDescent="0.35">
      <c r="B472" s="185" t="s">
        <v>900</v>
      </c>
    </row>
    <row r="473" spans="2:2" ht="12.45" customHeight="1" x14ac:dyDescent="0.35">
      <c r="B473" s="185" t="s">
        <v>901</v>
      </c>
    </row>
    <row r="474" spans="2:2" ht="12.45" customHeight="1" x14ac:dyDescent="0.35">
      <c r="B474" s="185" t="s">
        <v>902</v>
      </c>
    </row>
    <row r="475" spans="2:2" ht="12.45" customHeight="1" x14ac:dyDescent="0.35">
      <c r="B475" s="185" t="s">
        <v>903</v>
      </c>
    </row>
    <row r="476" spans="2:2" ht="12.45" customHeight="1" x14ac:dyDescent="0.35">
      <c r="B476" s="185" t="s">
        <v>904</v>
      </c>
    </row>
    <row r="477" spans="2:2" ht="12.45" customHeight="1" x14ac:dyDescent="0.35">
      <c r="B477" s="185" t="s">
        <v>905</v>
      </c>
    </row>
    <row r="478" spans="2:2" ht="12.45" customHeight="1" x14ac:dyDescent="0.35">
      <c r="B478" s="185" t="s">
        <v>906</v>
      </c>
    </row>
    <row r="479" spans="2:2" ht="12.45" customHeight="1" x14ac:dyDescent="0.35">
      <c r="B479" s="185" t="s">
        <v>620</v>
      </c>
    </row>
    <row r="480" spans="2:2" ht="12.45" customHeight="1" x14ac:dyDescent="0.35">
      <c r="B480" s="185" t="s">
        <v>563</v>
      </c>
    </row>
    <row r="481" spans="2:2" ht="12.45" customHeight="1" x14ac:dyDescent="0.35">
      <c r="B481" s="185" t="s">
        <v>907</v>
      </c>
    </row>
    <row r="482" spans="2:2" ht="12.45" customHeight="1" x14ac:dyDescent="0.35">
      <c r="B482" s="185" t="s">
        <v>908</v>
      </c>
    </row>
    <row r="483" spans="2:2" ht="12.45" customHeight="1" x14ac:dyDescent="0.35">
      <c r="B483" s="185" t="s">
        <v>909</v>
      </c>
    </row>
    <row r="484" spans="2:2" ht="12.45" customHeight="1" x14ac:dyDescent="0.35">
      <c r="B484" s="185" t="s">
        <v>910</v>
      </c>
    </row>
    <row r="485" spans="2:2" ht="12.45" customHeight="1" x14ac:dyDescent="0.35">
      <c r="B485" s="185" t="s">
        <v>911</v>
      </c>
    </row>
    <row r="486" spans="2:2" ht="12.45" customHeight="1" x14ac:dyDescent="0.35">
      <c r="B486" s="185" t="s">
        <v>912</v>
      </c>
    </row>
    <row r="487" spans="2:2" ht="12.45" customHeight="1" x14ac:dyDescent="0.35">
      <c r="B487" s="185" t="s">
        <v>913</v>
      </c>
    </row>
    <row r="488" spans="2:2" ht="12.45" customHeight="1" x14ac:dyDescent="0.35">
      <c r="B488" s="185" t="s">
        <v>914</v>
      </c>
    </row>
    <row r="489" spans="2:2" ht="12.45" customHeight="1" x14ac:dyDescent="0.35">
      <c r="B489" s="185" t="s">
        <v>915</v>
      </c>
    </row>
    <row r="490" spans="2:2" ht="12.45" customHeight="1" x14ac:dyDescent="0.35">
      <c r="B490" s="185" t="s">
        <v>916</v>
      </c>
    </row>
    <row r="491" spans="2:2" ht="12.45" customHeight="1" x14ac:dyDescent="0.35">
      <c r="B491" s="185" t="s">
        <v>917</v>
      </c>
    </row>
    <row r="492" spans="2:2" ht="12.45" customHeight="1" x14ac:dyDescent="0.35">
      <c r="B492" s="185" t="s">
        <v>918</v>
      </c>
    </row>
    <row r="493" spans="2:2" ht="12.45" customHeight="1" x14ac:dyDescent="0.35">
      <c r="B493" s="185" t="s">
        <v>563</v>
      </c>
    </row>
    <row r="494" spans="2:2" ht="12.45" customHeight="1" x14ac:dyDescent="0.35">
      <c r="B494" s="185" t="s">
        <v>635</v>
      </c>
    </row>
    <row r="495" spans="2:2" ht="12.45" customHeight="1" x14ac:dyDescent="0.35">
      <c r="B495" s="185" t="s">
        <v>919</v>
      </c>
    </row>
    <row r="496" spans="2:2" ht="12.45" customHeight="1" x14ac:dyDescent="0.35">
      <c r="B496" s="185" t="s">
        <v>920</v>
      </c>
    </row>
    <row r="497" spans="2:2" ht="12.45" customHeight="1" x14ac:dyDescent="0.35">
      <c r="B497" s="185" t="s">
        <v>921</v>
      </c>
    </row>
    <row r="498" spans="2:2" ht="12.45" customHeight="1" x14ac:dyDescent="0.35">
      <c r="B498" s="185" t="s">
        <v>922</v>
      </c>
    </row>
    <row r="499" spans="2:2" ht="12.45" customHeight="1" x14ac:dyDescent="0.35">
      <c r="B499" s="185" t="s">
        <v>666</v>
      </c>
    </row>
    <row r="500" spans="2:2" ht="12.45" customHeight="1" x14ac:dyDescent="0.35">
      <c r="B500" s="185" t="s">
        <v>563</v>
      </c>
    </row>
    <row r="501" spans="2:2" ht="12.45" customHeight="1" x14ac:dyDescent="0.35">
      <c r="B501" s="185" t="s">
        <v>923</v>
      </c>
    </row>
    <row r="502" spans="2:2" ht="12.45" customHeight="1" x14ac:dyDescent="0.35">
      <c r="B502" s="185" t="s">
        <v>924</v>
      </c>
    </row>
    <row r="503" spans="2:2" ht="12.45" customHeight="1" x14ac:dyDescent="0.35">
      <c r="B503" s="185" t="s">
        <v>925</v>
      </c>
    </row>
    <row r="504" spans="2:2" ht="12.45" customHeight="1" x14ac:dyDescent="0.35">
      <c r="B504" s="185" t="s">
        <v>922</v>
      </c>
    </row>
    <row r="505" spans="2:2" ht="12.45" customHeight="1" x14ac:dyDescent="0.35">
      <c r="B505" s="185" t="s">
        <v>666</v>
      </c>
    </row>
    <row r="506" spans="2:2" ht="12.45" customHeight="1" x14ac:dyDescent="0.35">
      <c r="B506" s="185" t="s">
        <v>926</v>
      </c>
    </row>
    <row r="507" spans="2:2" ht="12.45" customHeight="1" x14ac:dyDescent="0.35">
      <c r="B507" s="185" t="s">
        <v>927</v>
      </c>
    </row>
    <row r="508" spans="2:2" ht="12.45" customHeight="1" x14ac:dyDescent="0.35">
      <c r="B508" s="185" t="s">
        <v>922</v>
      </c>
    </row>
    <row r="509" spans="2:2" ht="12.45" customHeight="1" x14ac:dyDescent="0.35">
      <c r="B509" s="185" t="s">
        <v>666</v>
      </c>
    </row>
    <row r="510" spans="2:2" ht="12.45" customHeight="1" x14ac:dyDescent="0.35">
      <c r="B510" s="185" t="s">
        <v>563</v>
      </c>
    </row>
    <row r="511" spans="2:2" ht="12.45" customHeight="1" x14ac:dyDescent="0.35">
      <c r="B511" s="185" t="s">
        <v>928</v>
      </c>
    </row>
    <row r="512" spans="2:2" ht="12.45" customHeight="1" x14ac:dyDescent="0.35">
      <c r="B512" s="185" t="s">
        <v>929</v>
      </c>
    </row>
    <row r="513" spans="2:2" ht="12.45" customHeight="1" x14ac:dyDescent="0.35">
      <c r="B513" s="185" t="s">
        <v>930</v>
      </c>
    </row>
    <row r="514" spans="2:2" ht="12.45" customHeight="1" x14ac:dyDescent="0.35">
      <c r="B514" s="185" t="s">
        <v>850</v>
      </c>
    </row>
    <row r="515" spans="2:2" ht="12.45" customHeight="1" x14ac:dyDescent="0.35">
      <c r="B515" s="185" t="s">
        <v>563</v>
      </c>
    </row>
    <row r="516" spans="2:2" ht="12.45" customHeight="1" x14ac:dyDescent="0.35">
      <c r="B516" s="185" t="s">
        <v>638</v>
      </c>
    </row>
    <row r="517" spans="2:2" ht="12.45" customHeight="1" x14ac:dyDescent="0.35">
      <c r="B517" s="185" t="s">
        <v>931</v>
      </c>
    </row>
    <row r="518" spans="2:2" ht="12.45" customHeight="1" x14ac:dyDescent="0.35">
      <c r="B518" s="185" t="s">
        <v>932</v>
      </c>
    </row>
    <row r="519" spans="2:2" ht="12.45" customHeight="1" x14ac:dyDescent="0.35">
      <c r="B519" s="185" t="s">
        <v>933</v>
      </c>
    </row>
    <row r="520" spans="2:2" ht="12.45" customHeight="1" x14ac:dyDescent="0.35">
      <c r="B520" s="185" t="s">
        <v>934</v>
      </c>
    </row>
    <row r="521" spans="2:2" ht="12.45" customHeight="1" x14ac:dyDescent="0.35">
      <c r="B521" s="185" t="s">
        <v>935</v>
      </c>
    </row>
    <row r="522" spans="2:2" ht="12.45" customHeight="1" x14ac:dyDescent="0.35">
      <c r="B522" s="185" t="s">
        <v>936</v>
      </c>
    </row>
    <row r="523" spans="2:2" ht="12.45" customHeight="1" x14ac:dyDescent="0.35">
      <c r="B523" s="185" t="s">
        <v>645</v>
      </c>
    </row>
    <row r="524" spans="2:2" ht="12.45" customHeight="1" x14ac:dyDescent="0.35">
      <c r="B524" s="185" t="s">
        <v>563</v>
      </c>
    </row>
    <row r="525" spans="2:2" ht="12.45" customHeight="1" x14ac:dyDescent="0.35">
      <c r="B525" s="185" t="s">
        <v>937</v>
      </c>
    </row>
    <row r="526" spans="2:2" ht="12.45" customHeight="1" x14ac:dyDescent="0.35">
      <c r="B526" s="185" t="s">
        <v>860</v>
      </c>
    </row>
    <row r="527" spans="2:2" ht="12.45" customHeight="1" x14ac:dyDescent="0.35">
      <c r="B527" s="185" t="s">
        <v>938</v>
      </c>
    </row>
    <row r="528" spans="2:2" ht="12.45" customHeight="1" x14ac:dyDescent="0.35">
      <c r="B528" s="185" t="s">
        <v>939</v>
      </c>
    </row>
    <row r="529" spans="2:2" ht="12.45" customHeight="1" x14ac:dyDescent="0.35">
      <c r="B529" s="185" t="s">
        <v>940</v>
      </c>
    </row>
    <row r="530" spans="2:2" ht="12.45" customHeight="1" x14ac:dyDescent="0.35">
      <c r="B530" s="185" t="s">
        <v>941</v>
      </c>
    </row>
    <row r="531" spans="2:2" ht="12.45" customHeight="1" x14ac:dyDescent="0.35">
      <c r="B531" s="185" t="s">
        <v>914</v>
      </c>
    </row>
    <row r="532" spans="2:2" ht="12.45" customHeight="1" x14ac:dyDescent="0.35">
      <c r="B532" s="185" t="s">
        <v>916</v>
      </c>
    </row>
    <row r="533" spans="2:2" ht="12.45" customHeight="1" x14ac:dyDescent="0.35">
      <c r="B533" s="185" t="s">
        <v>917</v>
      </c>
    </row>
    <row r="534" spans="2:2" ht="12.45" customHeight="1" x14ac:dyDescent="0.35">
      <c r="B534" s="185" t="s">
        <v>758</v>
      </c>
    </row>
    <row r="535" spans="2:2" ht="12.45" customHeight="1" x14ac:dyDescent="0.35">
      <c r="B535" s="185" t="s">
        <v>563</v>
      </c>
    </row>
    <row r="536" spans="2:2" ht="12.45" customHeight="1" x14ac:dyDescent="0.35">
      <c r="B536" s="185" t="s">
        <v>635</v>
      </c>
    </row>
    <row r="537" spans="2:2" ht="12.45" customHeight="1" x14ac:dyDescent="0.35">
      <c r="B537" s="185" t="s">
        <v>919</v>
      </c>
    </row>
    <row r="538" spans="2:2" ht="12.45" customHeight="1" x14ac:dyDescent="0.35">
      <c r="B538" s="185" t="s">
        <v>920</v>
      </c>
    </row>
    <row r="539" spans="2:2" ht="12.45" customHeight="1" x14ac:dyDescent="0.35">
      <c r="B539" s="185" t="s">
        <v>942</v>
      </c>
    </row>
    <row r="540" spans="2:2" ht="12.45" customHeight="1" x14ac:dyDescent="0.35">
      <c r="B540" s="185" t="s">
        <v>922</v>
      </c>
    </row>
    <row r="541" spans="2:2" ht="12.45" customHeight="1" x14ac:dyDescent="0.35">
      <c r="B541" s="185" t="s">
        <v>666</v>
      </c>
    </row>
    <row r="542" spans="2:2" ht="12.45" customHeight="1" x14ac:dyDescent="0.35">
      <c r="B542" s="185" t="s">
        <v>563</v>
      </c>
    </row>
    <row r="543" spans="2:2" ht="12.45" customHeight="1" x14ac:dyDescent="0.35">
      <c r="B543" s="185" t="s">
        <v>923</v>
      </c>
    </row>
    <row r="544" spans="2:2" ht="12.45" customHeight="1" x14ac:dyDescent="0.35">
      <c r="B544" s="185" t="s">
        <v>943</v>
      </c>
    </row>
    <row r="545" spans="2:2" ht="12.45" customHeight="1" x14ac:dyDescent="0.35">
      <c r="B545" s="185" t="s">
        <v>944</v>
      </c>
    </row>
    <row r="546" spans="2:2" ht="12.45" customHeight="1" x14ac:dyDescent="0.35">
      <c r="B546" s="185" t="s">
        <v>945</v>
      </c>
    </row>
    <row r="547" spans="2:2" ht="12.45" customHeight="1" x14ac:dyDescent="0.35">
      <c r="B547" s="185" t="s">
        <v>922</v>
      </c>
    </row>
    <row r="548" spans="2:2" ht="12.45" customHeight="1" x14ac:dyDescent="0.35">
      <c r="B548" s="185" t="s">
        <v>666</v>
      </c>
    </row>
    <row r="549" spans="2:2" ht="12.45" customHeight="1" x14ac:dyDescent="0.35">
      <c r="B549" s="185" t="s">
        <v>946</v>
      </c>
    </row>
    <row r="550" spans="2:2" ht="12.45" customHeight="1" x14ac:dyDescent="0.35">
      <c r="B550" s="185" t="s">
        <v>947</v>
      </c>
    </row>
    <row r="551" spans="2:2" ht="12.45" customHeight="1" x14ac:dyDescent="0.35">
      <c r="B551" s="185" t="s">
        <v>922</v>
      </c>
    </row>
    <row r="552" spans="2:2" ht="12.45" customHeight="1" x14ac:dyDescent="0.35">
      <c r="B552" s="185" t="s">
        <v>666</v>
      </c>
    </row>
    <row r="553" spans="2:2" ht="12.45" customHeight="1" x14ac:dyDescent="0.35">
      <c r="B553" s="185" t="s">
        <v>563</v>
      </c>
    </row>
    <row r="554" spans="2:2" ht="12.45" customHeight="1" x14ac:dyDescent="0.35">
      <c r="B554" s="185" t="s">
        <v>928</v>
      </c>
    </row>
    <row r="555" spans="2:2" ht="12.45" customHeight="1" x14ac:dyDescent="0.35">
      <c r="B555" s="185" t="s">
        <v>948</v>
      </c>
    </row>
    <row r="556" spans="2:2" ht="12.45" customHeight="1" x14ac:dyDescent="0.35">
      <c r="B556" s="185" t="s">
        <v>850</v>
      </c>
    </row>
    <row r="557" spans="2:2" ht="12.45" customHeight="1" x14ac:dyDescent="0.35">
      <c r="B557" s="185" t="s">
        <v>563</v>
      </c>
    </row>
    <row r="558" spans="2:2" ht="12.45" customHeight="1" x14ac:dyDescent="0.35">
      <c r="B558" s="185" t="s">
        <v>638</v>
      </c>
    </row>
    <row r="559" spans="2:2" ht="12.45" customHeight="1" x14ac:dyDescent="0.35">
      <c r="B559" s="185" t="s">
        <v>949</v>
      </c>
    </row>
    <row r="560" spans="2:2" ht="12.45" customHeight="1" x14ac:dyDescent="0.35">
      <c r="B560" s="185" t="s">
        <v>645</v>
      </c>
    </row>
    <row r="561" spans="2:2" ht="12.45" customHeight="1" x14ac:dyDescent="0.35">
      <c r="B561" s="185" t="s">
        <v>563</v>
      </c>
    </row>
    <row r="562" spans="2:2" ht="12.45" customHeight="1" x14ac:dyDescent="0.35">
      <c r="B562" s="185" t="s">
        <v>950</v>
      </c>
    </row>
    <row r="563" spans="2:2" ht="12.45" customHeight="1" x14ac:dyDescent="0.35">
      <c r="B563" s="185" t="s">
        <v>951</v>
      </c>
    </row>
    <row r="564" spans="2:2" ht="12.45" customHeight="1" x14ac:dyDescent="0.35">
      <c r="B564" s="185" t="s">
        <v>952</v>
      </c>
    </row>
    <row r="565" spans="2:2" ht="12.45" customHeight="1" x14ac:dyDescent="0.35">
      <c r="B565" s="185" t="s">
        <v>953</v>
      </c>
    </row>
    <row r="566" spans="2:2" ht="12.45" customHeight="1" x14ac:dyDescent="0.35">
      <c r="B566" s="185" t="s">
        <v>954</v>
      </c>
    </row>
    <row r="567" spans="2:2" ht="12.45" customHeight="1" x14ac:dyDescent="0.35">
      <c r="B567" s="185" t="s">
        <v>914</v>
      </c>
    </row>
    <row r="568" spans="2:2" ht="12.45" customHeight="1" x14ac:dyDescent="0.35">
      <c r="B568" s="185" t="s">
        <v>915</v>
      </c>
    </row>
    <row r="569" spans="2:2" ht="12.45" customHeight="1" x14ac:dyDescent="0.35">
      <c r="B569" s="185" t="s">
        <v>758</v>
      </c>
    </row>
    <row r="570" spans="2:2" ht="12.45" customHeight="1" x14ac:dyDescent="0.35">
      <c r="B570" s="185" t="s">
        <v>955</v>
      </c>
    </row>
    <row r="571" spans="2:2" ht="12.45" customHeight="1" x14ac:dyDescent="0.35">
      <c r="B571" s="185" t="s">
        <v>563</v>
      </c>
    </row>
    <row r="572" spans="2:2" ht="12.45" customHeight="1" x14ac:dyDescent="0.35">
      <c r="B572" s="185" t="s">
        <v>956</v>
      </c>
    </row>
    <row r="573" spans="2:2" ht="12.45" customHeight="1" x14ac:dyDescent="0.35">
      <c r="B573" s="185" t="s">
        <v>767</v>
      </c>
    </row>
    <row r="574" spans="2:2" ht="12.45" customHeight="1" x14ac:dyDescent="0.35">
      <c r="B574" s="185" t="s">
        <v>928</v>
      </c>
    </row>
    <row r="575" spans="2:2" ht="12.45" customHeight="1" x14ac:dyDescent="0.35">
      <c r="B575" s="185" t="s">
        <v>957</v>
      </c>
    </row>
    <row r="576" spans="2:2" ht="12.45" customHeight="1" x14ac:dyDescent="0.35">
      <c r="B576" s="185" t="s">
        <v>958</v>
      </c>
    </row>
    <row r="577" spans="2:2" ht="12.45" customHeight="1" x14ac:dyDescent="0.35">
      <c r="B577" s="185" t="s">
        <v>959</v>
      </c>
    </row>
    <row r="578" spans="2:2" ht="12.45" customHeight="1" x14ac:dyDescent="0.35">
      <c r="B578" s="185" t="s">
        <v>960</v>
      </c>
    </row>
    <row r="579" spans="2:2" ht="12.45" customHeight="1" x14ac:dyDescent="0.35">
      <c r="B579" s="185" t="s">
        <v>961</v>
      </c>
    </row>
    <row r="580" spans="2:2" ht="12.45" customHeight="1" x14ac:dyDescent="0.35">
      <c r="B580" s="185" t="s">
        <v>962</v>
      </c>
    </row>
    <row r="581" spans="2:2" ht="12.45" customHeight="1" x14ac:dyDescent="0.35">
      <c r="B581" s="185" t="s">
        <v>963</v>
      </c>
    </row>
    <row r="582" spans="2:2" ht="12.45" customHeight="1" x14ac:dyDescent="0.35">
      <c r="B582" s="185" t="s">
        <v>964</v>
      </c>
    </row>
    <row r="583" spans="2:2" ht="12.45" customHeight="1" x14ac:dyDescent="0.35">
      <c r="B583" s="185" t="s">
        <v>965</v>
      </c>
    </row>
    <row r="584" spans="2:2" ht="12.45" customHeight="1" x14ac:dyDescent="0.35">
      <c r="B584" s="185" t="s">
        <v>966</v>
      </c>
    </row>
    <row r="585" spans="2:2" ht="12.45" customHeight="1" x14ac:dyDescent="0.35">
      <c r="B585" s="185" t="s">
        <v>967</v>
      </c>
    </row>
    <row r="586" spans="2:2" ht="12.45" customHeight="1" x14ac:dyDescent="0.35">
      <c r="B586" s="185" t="s">
        <v>645</v>
      </c>
    </row>
    <row r="587" spans="2:2" ht="10.050000000000001" customHeight="1" x14ac:dyDescent="0.35"/>
    <row r="588" spans="2:2" ht="19.95" customHeight="1" x14ac:dyDescent="0.35">
      <c r="B588" s="184" t="s">
        <v>968</v>
      </c>
    </row>
    <row r="589" spans="2:2" ht="12.45" customHeight="1" x14ac:dyDescent="0.35">
      <c r="B589" s="185" t="s">
        <v>562</v>
      </c>
    </row>
    <row r="590" spans="2:2" ht="12.45" customHeight="1" x14ac:dyDescent="0.35">
      <c r="B590" s="185" t="s">
        <v>563</v>
      </c>
    </row>
    <row r="591" spans="2:2" ht="12.45" customHeight="1" x14ac:dyDescent="0.35">
      <c r="B591" s="186" t="s">
        <v>564</v>
      </c>
    </row>
    <row r="592" spans="2:2" ht="12.45" customHeight="1" x14ac:dyDescent="0.35">
      <c r="B592" s="186" t="s">
        <v>969</v>
      </c>
    </row>
    <row r="593" spans="2:2" ht="12.45" customHeight="1" x14ac:dyDescent="0.35">
      <c r="B593" s="186" t="s">
        <v>970</v>
      </c>
    </row>
    <row r="594" spans="2:2" ht="12.45" customHeight="1" x14ac:dyDescent="0.35">
      <c r="B594" s="186" t="s">
        <v>971</v>
      </c>
    </row>
    <row r="595" spans="2:2" ht="12.45" customHeight="1" x14ac:dyDescent="0.35">
      <c r="B595" s="186" t="s">
        <v>972</v>
      </c>
    </row>
    <row r="596" spans="2:2" ht="12.45" customHeight="1" x14ac:dyDescent="0.35">
      <c r="B596" s="186" t="s">
        <v>973</v>
      </c>
    </row>
    <row r="597" spans="2:2" ht="12.45" customHeight="1" x14ac:dyDescent="0.35">
      <c r="B597" s="186" t="s">
        <v>974</v>
      </c>
    </row>
    <row r="598" spans="2:2" ht="12.45" customHeight="1" x14ac:dyDescent="0.35">
      <c r="B598" s="186" t="s">
        <v>975</v>
      </c>
    </row>
    <row r="599" spans="2:2" ht="12.45" customHeight="1" x14ac:dyDescent="0.35">
      <c r="B599" s="186" t="s">
        <v>976</v>
      </c>
    </row>
    <row r="600" spans="2:2" ht="12.45" customHeight="1" x14ac:dyDescent="0.35">
      <c r="B600" s="186" t="s">
        <v>977</v>
      </c>
    </row>
    <row r="601" spans="2:2" ht="12.45" customHeight="1" x14ac:dyDescent="0.35">
      <c r="B601" s="186" t="s">
        <v>564</v>
      </c>
    </row>
    <row r="602" spans="2:2" ht="12.45" customHeight="1" x14ac:dyDescent="0.35">
      <c r="B602" s="185" t="s">
        <v>563</v>
      </c>
    </row>
    <row r="603" spans="2:2" ht="12.45" customHeight="1" x14ac:dyDescent="0.35">
      <c r="B603" s="185" t="s">
        <v>978</v>
      </c>
    </row>
    <row r="604" spans="2:2" ht="12.45" customHeight="1" x14ac:dyDescent="0.35">
      <c r="B604" s="185" t="s">
        <v>979</v>
      </c>
    </row>
    <row r="605" spans="2:2" ht="12.45" customHeight="1" x14ac:dyDescent="0.35">
      <c r="B605" s="185" t="s">
        <v>563</v>
      </c>
    </row>
    <row r="606" spans="2:2" ht="12.45" customHeight="1" x14ac:dyDescent="0.35">
      <c r="B606" s="185" t="s">
        <v>980</v>
      </c>
    </row>
    <row r="607" spans="2:2" ht="12.45" customHeight="1" x14ac:dyDescent="0.35">
      <c r="B607" s="185" t="s">
        <v>981</v>
      </c>
    </row>
    <row r="608" spans="2:2" ht="12.45" customHeight="1" x14ac:dyDescent="0.35">
      <c r="B608" s="185" t="s">
        <v>982</v>
      </c>
    </row>
    <row r="609" spans="2:2" ht="12.45" customHeight="1" x14ac:dyDescent="0.35">
      <c r="B609" s="185" t="s">
        <v>983</v>
      </c>
    </row>
    <row r="610" spans="2:2" ht="12.45" customHeight="1" x14ac:dyDescent="0.35">
      <c r="B610" s="185" t="s">
        <v>984</v>
      </c>
    </row>
    <row r="611" spans="2:2" ht="12.45" customHeight="1" x14ac:dyDescent="0.35">
      <c r="B611" s="185" t="s">
        <v>985</v>
      </c>
    </row>
    <row r="612" spans="2:2" ht="12.45" customHeight="1" x14ac:dyDescent="0.35">
      <c r="B612" s="185" t="s">
        <v>986</v>
      </c>
    </row>
    <row r="613" spans="2:2" ht="12.45" customHeight="1" x14ac:dyDescent="0.35">
      <c r="B613" s="185" t="s">
        <v>917</v>
      </c>
    </row>
    <row r="614" spans="2:2" ht="12.45" customHeight="1" x14ac:dyDescent="0.35">
      <c r="B614" s="185" t="s">
        <v>711</v>
      </c>
    </row>
    <row r="615" spans="2:2" ht="12.45" customHeight="1" x14ac:dyDescent="0.35">
      <c r="B615" s="185" t="s">
        <v>563</v>
      </c>
    </row>
    <row r="616" spans="2:2" ht="12.45" customHeight="1" x14ac:dyDescent="0.35">
      <c r="B616" s="185" t="s">
        <v>635</v>
      </c>
    </row>
    <row r="617" spans="2:2" ht="12.45" customHeight="1" x14ac:dyDescent="0.35">
      <c r="B617" s="185" t="s">
        <v>987</v>
      </c>
    </row>
    <row r="618" spans="2:2" ht="12.45" customHeight="1" x14ac:dyDescent="0.35">
      <c r="B618" s="185" t="s">
        <v>988</v>
      </c>
    </row>
    <row r="619" spans="2:2" ht="12.45" customHeight="1" x14ac:dyDescent="0.35">
      <c r="B619" s="185" t="s">
        <v>563</v>
      </c>
    </row>
    <row r="620" spans="2:2" ht="12.45" customHeight="1" x14ac:dyDescent="0.35">
      <c r="B620" s="185" t="s">
        <v>989</v>
      </c>
    </row>
    <row r="621" spans="2:2" ht="12.45" customHeight="1" x14ac:dyDescent="0.35">
      <c r="B621" s="185" t="s">
        <v>563</v>
      </c>
    </row>
    <row r="622" spans="2:2" ht="12.45" customHeight="1" x14ac:dyDescent="0.35">
      <c r="B622" s="185" t="s">
        <v>990</v>
      </c>
    </row>
    <row r="623" spans="2:2" ht="12.45" customHeight="1" x14ac:dyDescent="0.35">
      <c r="B623" s="185" t="s">
        <v>991</v>
      </c>
    </row>
    <row r="624" spans="2:2" ht="12.45" customHeight="1" x14ac:dyDescent="0.35">
      <c r="B624" s="185" t="s">
        <v>992</v>
      </c>
    </row>
    <row r="625" spans="2:2" ht="12.45" customHeight="1" x14ac:dyDescent="0.35">
      <c r="B625" s="185" t="s">
        <v>563</v>
      </c>
    </row>
    <row r="626" spans="2:2" ht="12.45" customHeight="1" x14ac:dyDescent="0.35">
      <c r="B626" s="185" t="s">
        <v>993</v>
      </c>
    </row>
    <row r="627" spans="2:2" ht="12.45" customHeight="1" x14ac:dyDescent="0.35">
      <c r="B627" s="185" t="s">
        <v>994</v>
      </c>
    </row>
    <row r="628" spans="2:2" ht="12.45" customHeight="1" x14ac:dyDescent="0.35">
      <c r="B628" s="185" t="s">
        <v>995</v>
      </c>
    </row>
    <row r="629" spans="2:2" ht="12.45" customHeight="1" x14ac:dyDescent="0.35">
      <c r="B629" s="185" t="s">
        <v>996</v>
      </c>
    </row>
    <row r="630" spans="2:2" ht="12.45" customHeight="1" x14ac:dyDescent="0.35">
      <c r="B630" s="185" t="s">
        <v>997</v>
      </c>
    </row>
    <row r="631" spans="2:2" ht="12.45" customHeight="1" x14ac:dyDescent="0.35">
      <c r="B631" s="185" t="s">
        <v>998</v>
      </c>
    </row>
    <row r="632" spans="2:2" ht="12.45" customHeight="1" x14ac:dyDescent="0.35">
      <c r="B632" s="185" t="s">
        <v>999</v>
      </c>
    </row>
    <row r="633" spans="2:2" ht="12.45" customHeight="1" x14ac:dyDescent="0.35">
      <c r="B633" s="185" t="s">
        <v>1000</v>
      </c>
    </row>
    <row r="634" spans="2:2" ht="12.45" customHeight="1" x14ac:dyDescent="0.35">
      <c r="B634" s="185" t="s">
        <v>1001</v>
      </c>
    </row>
    <row r="635" spans="2:2" ht="12.45" customHeight="1" x14ac:dyDescent="0.35">
      <c r="B635" s="185" t="s">
        <v>1002</v>
      </c>
    </row>
    <row r="636" spans="2:2" ht="12.45" customHeight="1" x14ac:dyDescent="0.35">
      <c r="B636" s="185" t="s">
        <v>720</v>
      </c>
    </row>
    <row r="637" spans="2:2" ht="12.45" customHeight="1" x14ac:dyDescent="0.35">
      <c r="B637" s="185" t="s">
        <v>721</v>
      </c>
    </row>
    <row r="638" spans="2:2" ht="12.45" customHeight="1" x14ac:dyDescent="0.35">
      <c r="B638" s="185" t="s">
        <v>563</v>
      </c>
    </row>
    <row r="639" spans="2:2" ht="12.45" customHeight="1" x14ac:dyDescent="0.35">
      <c r="B639" s="185" t="s">
        <v>1003</v>
      </c>
    </row>
    <row r="640" spans="2:2" ht="12.45" customHeight="1" x14ac:dyDescent="0.35">
      <c r="B640" s="185" t="s">
        <v>1004</v>
      </c>
    </row>
    <row r="641" spans="2:2" ht="12.45" customHeight="1" x14ac:dyDescent="0.35">
      <c r="B641" s="185" t="s">
        <v>1005</v>
      </c>
    </row>
    <row r="642" spans="2:2" ht="12.45" customHeight="1" x14ac:dyDescent="0.35">
      <c r="B642" s="185" t="s">
        <v>1006</v>
      </c>
    </row>
    <row r="643" spans="2:2" ht="12.45" customHeight="1" x14ac:dyDescent="0.35">
      <c r="B643" s="185" t="s">
        <v>1007</v>
      </c>
    </row>
    <row r="644" spans="2:2" ht="12.45" customHeight="1" x14ac:dyDescent="0.35">
      <c r="B644" s="185" t="s">
        <v>1008</v>
      </c>
    </row>
    <row r="645" spans="2:2" ht="12.45" customHeight="1" x14ac:dyDescent="0.35">
      <c r="B645" s="185" t="s">
        <v>1009</v>
      </c>
    </row>
    <row r="646" spans="2:2" ht="12.45" customHeight="1" x14ac:dyDescent="0.35">
      <c r="B646" s="185" t="s">
        <v>720</v>
      </c>
    </row>
    <row r="647" spans="2:2" ht="12.45" customHeight="1" x14ac:dyDescent="0.35">
      <c r="B647" s="185" t="s">
        <v>1010</v>
      </c>
    </row>
    <row r="648" spans="2:2" ht="12.45" customHeight="1" x14ac:dyDescent="0.35">
      <c r="B648" s="185" t="s">
        <v>563</v>
      </c>
    </row>
    <row r="649" spans="2:2" ht="12.45" customHeight="1" x14ac:dyDescent="0.35">
      <c r="B649" s="185" t="s">
        <v>989</v>
      </c>
    </row>
    <row r="650" spans="2:2" ht="12.45" customHeight="1" x14ac:dyDescent="0.35">
      <c r="B650" s="185" t="s">
        <v>563</v>
      </c>
    </row>
    <row r="651" spans="2:2" ht="12.45" customHeight="1" x14ac:dyDescent="0.35">
      <c r="B651" s="185" t="s">
        <v>1011</v>
      </c>
    </row>
    <row r="652" spans="2:2" ht="12.45" customHeight="1" x14ac:dyDescent="0.35">
      <c r="B652" s="185" t="s">
        <v>1012</v>
      </c>
    </row>
    <row r="653" spans="2:2" ht="12.45" customHeight="1" x14ac:dyDescent="0.35">
      <c r="B653" s="185" t="s">
        <v>1013</v>
      </c>
    </row>
    <row r="654" spans="2:2" ht="12.45" customHeight="1" x14ac:dyDescent="0.35">
      <c r="B654" s="185" t="s">
        <v>664</v>
      </c>
    </row>
    <row r="655" spans="2:2" ht="12.45" customHeight="1" x14ac:dyDescent="0.35">
      <c r="B655" s="185" t="s">
        <v>1014</v>
      </c>
    </row>
    <row r="656" spans="2:2" ht="12.45" customHeight="1" x14ac:dyDescent="0.35">
      <c r="B656" s="185" t="s">
        <v>666</v>
      </c>
    </row>
    <row r="657" spans="2:2" ht="12.45" customHeight="1" x14ac:dyDescent="0.35">
      <c r="B657" s="185" t="s">
        <v>563</v>
      </c>
    </row>
    <row r="658" spans="2:2" ht="12.45" customHeight="1" x14ac:dyDescent="0.35">
      <c r="B658" s="185" t="s">
        <v>1015</v>
      </c>
    </row>
    <row r="659" spans="2:2" ht="12.45" customHeight="1" x14ac:dyDescent="0.35">
      <c r="B659" s="185" t="s">
        <v>1016</v>
      </c>
    </row>
    <row r="660" spans="2:2" ht="12.45" customHeight="1" x14ac:dyDescent="0.35">
      <c r="B660" s="185" t="s">
        <v>1017</v>
      </c>
    </row>
    <row r="661" spans="2:2" ht="12.45" customHeight="1" x14ac:dyDescent="0.35">
      <c r="B661" s="185" t="s">
        <v>637</v>
      </c>
    </row>
    <row r="662" spans="2:2" ht="12.45" customHeight="1" x14ac:dyDescent="0.35">
      <c r="B662" s="185" t="s">
        <v>563</v>
      </c>
    </row>
    <row r="663" spans="2:2" ht="12.45" customHeight="1" x14ac:dyDescent="0.35">
      <c r="B663" s="185" t="s">
        <v>638</v>
      </c>
    </row>
    <row r="664" spans="2:2" ht="12.45" customHeight="1" x14ac:dyDescent="0.35">
      <c r="B664" s="185" t="s">
        <v>1018</v>
      </c>
    </row>
    <row r="665" spans="2:2" ht="12.45" customHeight="1" x14ac:dyDescent="0.35">
      <c r="B665" s="185" t="s">
        <v>640</v>
      </c>
    </row>
    <row r="666" spans="2:2" ht="12.45" customHeight="1" x14ac:dyDescent="0.35">
      <c r="B666" s="185" t="s">
        <v>1019</v>
      </c>
    </row>
    <row r="667" spans="2:2" ht="12.45" customHeight="1" x14ac:dyDescent="0.35">
      <c r="B667" s="185" t="s">
        <v>620</v>
      </c>
    </row>
    <row r="668" spans="2:2" ht="12.45" customHeight="1" x14ac:dyDescent="0.35">
      <c r="B668" s="185" t="s">
        <v>563</v>
      </c>
    </row>
    <row r="669" spans="2:2" ht="12.45" customHeight="1" x14ac:dyDescent="0.35">
      <c r="B669" s="185" t="s">
        <v>1020</v>
      </c>
    </row>
    <row r="670" spans="2:2" ht="12.45" customHeight="1" x14ac:dyDescent="0.35">
      <c r="B670" s="185" t="s">
        <v>1021</v>
      </c>
    </row>
    <row r="671" spans="2:2" ht="12.45" customHeight="1" x14ac:dyDescent="0.35">
      <c r="B671" s="185" t="s">
        <v>1022</v>
      </c>
    </row>
    <row r="672" spans="2:2" ht="12.45" customHeight="1" x14ac:dyDescent="0.35">
      <c r="B672" s="185" t="s">
        <v>1023</v>
      </c>
    </row>
    <row r="673" spans="2:2" ht="12.45" customHeight="1" x14ac:dyDescent="0.35">
      <c r="B673" s="185" t="s">
        <v>1024</v>
      </c>
    </row>
    <row r="674" spans="2:2" ht="12.45" customHeight="1" x14ac:dyDescent="0.35">
      <c r="B674" s="185" t="s">
        <v>1025</v>
      </c>
    </row>
    <row r="675" spans="2:2" ht="12.45" customHeight="1" x14ac:dyDescent="0.35">
      <c r="B675" s="185" t="s">
        <v>1026</v>
      </c>
    </row>
    <row r="676" spans="2:2" ht="12.45" customHeight="1" x14ac:dyDescent="0.35">
      <c r="B676" s="185" t="s">
        <v>563</v>
      </c>
    </row>
    <row r="677" spans="2:2" ht="12.45" customHeight="1" x14ac:dyDescent="0.35">
      <c r="B677" s="185" t="s">
        <v>989</v>
      </c>
    </row>
    <row r="678" spans="2:2" ht="12.45" customHeight="1" x14ac:dyDescent="0.35">
      <c r="B678" s="185" t="s">
        <v>1027</v>
      </c>
    </row>
    <row r="679" spans="2:2" ht="12.45" customHeight="1" x14ac:dyDescent="0.35">
      <c r="B679" s="185" t="s">
        <v>1028</v>
      </c>
    </row>
    <row r="680" spans="2:2" ht="12.45" customHeight="1" x14ac:dyDescent="0.35">
      <c r="B680" s="185" t="s">
        <v>1029</v>
      </c>
    </row>
    <row r="681" spans="2:2" ht="12.45" customHeight="1" x14ac:dyDescent="0.35">
      <c r="B681" s="185" t="s">
        <v>989</v>
      </c>
    </row>
    <row r="682" spans="2:2" ht="12.45" customHeight="1" x14ac:dyDescent="0.35">
      <c r="B682" s="185" t="s">
        <v>620</v>
      </c>
    </row>
    <row r="683" spans="2:2" ht="12.45" customHeight="1" x14ac:dyDescent="0.35">
      <c r="B683" s="185" t="s">
        <v>563</v>
      </c>
    </row>
    <row r="684" spans="2:2" ht="12.45" customHeight="1" x14ac:dyDescent="0.35">
      <c r="B684" s="185" t="s">
        <v>1030</v>
      </c>
    </row>
    <row r="685" spans="2:2" ht="12.45" customHeight="1" x14ac:dyDescent="0.35">
      <c r="B685" s="185" t="s">
        <v>1031</v>
      </c>
    </row>
    <row r="686" spans="2:2" ht="12.45" customHeight="1" x14ac:dyDescent="0.35">
      <c r="B686" s="185" t="s">
        <v>1032</v>
      </c>
    </row>
    <row r="687" spans="2:2" ht="12.45" customHeight="1" x14ac:dyDescent="0.35">
      <c r="B687" s="185" t="s">
        <v>1033</v>
      </c>
    </row>
    <row r="688" spans="2:2" ht="12.45" customHeight="1" x14ac:dyDescent="0.35">
      <c r="B688" s="185" t="s">
        <v>1034</v>
      </c>
    </row>
    <row r="689" spans="2:2" ht="12.45" customHeight="1" x14ac:dyDescent="0.35">
      <c r="B689" s="185" t="s">
        <v>1035</v>
      </c>
    </row>
    <row r="690" spans="2:2" ht="12.45" customHeight="1" x14ac:dyDescent="0.35">
      <c r="B690" s="185" t="s">
        <v>1036</v>
      </c>
    </row>
    <row r="691" spans="2:2" ht="12.45" customHeight="1" x14ac:dyDescent="0.35">
      <c r="B691" s="185" t="s">
        <v>1037</v>
      </c>
    </row>
    <row r="692" spans="2:2" ht="12.45" customHeight="1" x14ac:dyDescent="0.35">
      <c r="B692" s="185" t="s">
        <v>563</v>
      </c>
    </row>
    <row r="693" spans="2:2" ht="12.45" customHeight="1" x14ac:dyDescent="0.35">
      <c r="B693" s="185" t="s">
        <v>933</v>
      </c>
    </row>
    <row r="694" spans="2:2" ht="12.45" customHeight="1" x14ac:dyDescent="0.35">
      <c r="B694" s="185" t="s">
        <v>1038</v>
      </c>
    </row>
    <row r="695" spans="2:2" ht="12.45" customHeight="1" x14ac:dyDescent="0.35">
      <c r="B695" s="185" t="s">
        <v>1039</v>
      </c>
    </row>
    <row r="696" spans="2:2" ht="12.45" customHeight="1" x14ac:dyDescent="0.35">
      <c r="B696" s="185" t="s">
        <v>1040</v>
      </c>
    </row>
    <row r="697" spans="2:2" ht="12.45" customHeight="1" x14ac:dyDescent="0.35">
      <c r="B697" s="185" t="s">
        <v>935</v>
      </c>
    </row>
    <row r="698" spans="2:2" ht="12.45" customHeight="1" x14ac:dyDescent="0.35">
      <c r="B698" s="185" t="s">
        <v>563</v>
      </c>
    </row>
    <row r="699" spans="2:2" ht="12.45" customHeight="1" x14ac:dyDescent="0.35">
      <c r="B699" s="185" t="s">
        <v>1041</v>
      </c>
    </row>
    <row r="700" spans="2:2" ht="12.45" customHeight="1" x14ac:dyDescent="0.35">
      <c r="B700" s="185" t="s">
        <v>1042</v>
      </c>
    </row>
    <row r="701" spans="2:2" ht="12.45" customHeight="1" x14ac:dyDescent="0.35">
      <c r="B701" s="185" t="s">
        <v>922</v>
      </c>
    </row>
    <row r="702" spans="2:2" ht="12.45" customHeight="1" x14ac:dyDescent="0.35">
      <c r="B702" s="185" t="s">
        <v>666</v>
      </c>
    </row>
    <row r="703" spans="2:2" ht="12.45" customHeight="1" x14ac:dyDescent="0.35">
      <c r="B703" s="185" t="s">
        <v>1043</v>
      </c>
    </row>
    <row r="704" spans="2:2" ht="12.45" customHeight="1" x14ac:dyDescent="0.35">
      <c r="B704" s="185" t="s">
        <v>645</v>
      </c>
    </row>
    <row r="705" spans="2:2" ht="12.45" customHeight="1" x14ac:dyDescent="0.35">
      <c r="B705" s="185" t="s">
        <v>563</v>
      </c>
    </row>
    <row r="706" spans="2:2" ht="12.45" customHeight="1" x14ac:dyDescent="0.35">
      <c r="B706" s="185" t="s">
        <v>1044</v>
      </c>
    </row>
    <row r="707" spans="2:2" ht="12.45" customHeight="1" x14ac:dyDescent="0.35">
      <c r="B707" s="185" t="s">
        <v>1045</v>
      </c>
    </row>
    <row r="708" spans="2:2" ht="12.45" customHeight="1" x14ac:dyDescent="0.35">
      <c r="B708" s="185" t="s">
        <v>1046</v>
      </c>
    </row>
    <row r="709" spans="2:2" ht="12.45" customHeight="1" x14ac:dyDescent="0.35">
      <c r="B709" s="185" t="s">
        <v>1047</v>
      </c>
    </row>
    <row r="710" spans="2:2" ht="12.45" customHeight="1" x14ac:dyDescent="0.35">
      <c r="B710" s="185" t="s">
        <v>1048</v>
      </c>
    </row>
    <row r="711" spans="2:2" ht="12.45" customHeight="1" x14ac:dyDescent="0.35">
      <c r="B711" s="185" t="s">
        <v>563</v>
      </c>
    </row>
    <row r="712" spans="2:2" ht="12.45" customHeight="1" x14ac:dyDescent="0.35">
      <c r="B712" s="185" t="s">
        <v>1049</v>
      </c>
    </row>
    <row r="713" spans="2:2" ht="12.45" customHeight="1" x14ac:dyDescent="0.35">
      <c r="B713" s="185" t="s">
        <v>1050</v>
      </c>
    </row>
    <row r="714" spans="2:2" ht="12.45" customHeight="1" x14ac:dyDescent="0.35">
      <c r="B714" s="185" t="s">
        <v>1051</v>
      </c>
    </row>
    <row r="715" spans="2:2" ht="12.45" customHeight="1" x14ac:dyDescent="0.35">
      <c r="B715" s="185" t="s">
        <v>719</v>
      </c>
    </row>
    <row r="716" spans="2:2" ht="12.45" customHeight="1" x14ac:dyDescent="0.35">
      <c r="B716" s="185" t="s">
        <v>720</v>
      </c>
    </row>
    <row r="717" spans="2:2" ht="12.45" customHeight="1" x14ac:dyDescent="0.35">
      <c r="B717" s="185" t="s">
        <v>1052</v>
      </c>
    </row>
    <row r="718" spans="2:2" ht="12.45" customHeight="1" x14ac:dyDescent="0.35">
      <c r="B718" s="185" t="s">
        <v>645</v>
      </c>
    </row>
    <row r="719" spans="2:2" ht="10.050000000000001" customHeight="1" x14ac:dyDescent="0.35"/>
    <row r="720" spans="2:2" ht="19.95" customHeight="1" x14ac:dyDescent="0.35">
      <c r="B720" s="184" t="s">
        <v>1053</v>
      </c>
    </row>
    <row r="721" spans="2:2" ht="12.45" customHeight="1" x14ac:dyDescent="0.35">
      <c r="B721" s="185" t="s">
        <v>562</v>
      </c>
    </row>
    <row r="722" spans="2:2" ht="12.45" customHeight="1" x14ac:dyDescent="0.35">
      <c r="B722" s="185" t="s">
        <v>563</v>
      </c>
    </row>
    <row r="723" spans="2:2" ht="12.45" customHeight="1" x14ac:dyDescent="0.35">
      <c r="B723" s="186" t="s">
        <v>564</v>
      </c>
    </row>
    <row r="724" spans="2:2" ht="12.45" customHeight="1" x14ac:dyDescent="0.35">
      <c r="B724" s="186" t="s">
        <v>1054</v>
      </c>
    </row>
    <row r="725" spans="2:2" ht="12.45" customHeight="1" x14ac:dyDescent="0.35">
      <c r="B725" s="186" t="s">
        <v>1055</v>
      </c>
    </row>
    <row r="726" spans="2:2" ht="12.45" customHeight="1" x14ac:dyDescent="0.35">
      <c r="B726" s="186" t="s">
        <v>1056</v>
      </c>
    </row>
    <row r="727" spans="2:2" ht="12.45" customHeight="1" x14ac:dyDescent="0.35">
      <c r="B727" s="186" t="s">
        <v>1057</v>
      </c>
    </row>
    <row r="728" spans="2:2" ht="12.45" customHeight="1" x14ac:dyDescent="0.35">
      <c r="B728" s="186" t="s">
        <v>1058</v>
      </c>
    </row>
    <row r="729" spans="2:2" ht="12.45" customHeight="1" x14ac:dyDescent="0.35">
      <c r="B729" s="186" t="s">
        <v>1059</v>
      </c>
    </row>
    <row r="730" spans="2:2" ht="12.45" customHeight="1" x14ac:dyDescent="0.35">
      <c r="B730" s="186" t="s">
        <v>1060</v>
      </c>
    </row>
    <row r="731" spans="2:2" ht="12.45" customHeight="1" x14ac:dyDescent="0.35">
      <c r="B731" s="186" t="s">
        <v>1061</v>
      </c>
    </row>
    <row r="732" spans="2:2" ht="12.45" customHeight="1" x14ac:dyDescent="0.35">
      <c r="B732" s="186" t="s">
        <v>1062</v>
      </c>
    </row>
    <row r="733" spans="2:2" ht="12.45" customHeight="1" x14ac:dyDescent="0.35">
      <c r="B733" s="186" t="s">
        <v>1063</v>
      </c>
    </row>
    <row r="734" spans="2:2" ht="12.45" customHeight="1" x14ac:dyDescent="0.35">
      <c r="B734" s="186" t="s">
        <v>564</v>
      </c>
    </row>
    <row r="735" spans="2:2" ht="12.45" customHeight="1" x14ac:dyDescent="0.35">
      <c r="B735" s="185" t="s">
        <v>563</v>
      </c>
    </row>
    <row r="736" spans="2:2" ht="12.45" customHeight="1" x14ac:dyDescent="0.35">
      <c r="B736" s="185" t="s">
        <v>1064</v>
      </c>
    </row>
    <row r="737" spans="2:2" ht="12.45" customHeight="1" x14ac:dyDescent="0.35">
      <c r="B737" s="185" t="s">
        <v>1065</v>
      </c>
    </row>
    <row r="738" spans="2:2" ht="12.45" customHeight="1" x14ac:dyDescent="0.35">
      <c r="B738" s="185" t="s">
        <v>1066</v>
      </c>
    </row>
    <row r="739" spans="2:2" ht="12.45" customHeight="1" x14ac:dyDescent="0.35">
      <c r="B739" s="185" t="s">
        <v>1067</v>
      </c>
    </row>
    <row r="740" spans="2:2" ht="12.45" customHeight="1" x14ac:dyDescent="0.35">
      <c r="B740" s="185" t="s">
        <v>1068</v>
      </c>
    </row>
    <row r="741" spans="2:2" ht="12.45" customHeight="1" x14ac:dyDescent="0.35">
      <c r="B741" s="185" t="s">
        <v>563</v>
      </c>
    </row>
    <row r="742" spans="2:2" ht="12.45" customHeight="1" x14ac:dyDescent="0.35">
      <c r="B742" s="185" t="s">
        <v>1069</v>
      </c>
    </row>
    <row r="743" spans="2:2" ht="12.45" customHeight="1" x14ac:dyDescent="0.35">
      <c r="B743" s="185" t="s">
        <v>1070</v>
      </c>
    </row>
    <row r="744" spans="2:2" ht="12.45" customHeight="1" x14ac:dyDescent="0.35">
      <c r="B744" s="185" t="s">
        <v>1071</v>
      </c>
    </row>
    <row r="745" spans="2:2" ht="12.45" customHeight="1" x14ac:dyDescent="0.35">
      <c r="B745" s="185" t="s">
        <v>563</v>
      </c>
    </row>
    <row r="746" spans="2:2" ht="12.45" customHeight="1" x14ac:dyDescent="0.35">
      <c r="B746" s="186" t="s">
        <v>564</v>
      </c>
    </row>
    <row r="747" spans="2:2" ht="12.45" customHeight="1" x14ac:dyDescent="0.35">
      <c r="B747" s="186" t="s">
        <v>1072</v>
      </c>
    </row>
    <row r="748" spans="2:2" ht="12.45" customHeight="1" x14ac:dyDescent="0.35">
      <c r="B748" s="186" t="s">
        <v>564</v>
      </c>
    </row>
    <row r="749" spans="2:2" ht="12.45" customHeight="1" x14ac:dyDescent="0.35">
      <c r="B749" s="185" t="s">
        <v>563</v>
      </c>
    </row>
    <row r="750" spans="2:2" ht="12.45" customHeight="1" x14ac:dyDescent="0.35">
      <c r="B750" s="185" t="s">
        <v>1073</v>
      </c>
    </row>
    <row r="751" spans="2:2" ht="12.45" customHeight="1" x14ac:dyDescent="0.35">
      <c r="B751" s="185" t="s">
        <v>1074</v>
      </c>
    </row>
    <row r="752" spans="2:2" ht="12.45" customHeight="1" x14ac:dyDescent="0.35">
      <c r="B752" s="185" t="s">
        <v>1075</v>
      </c>
    </row>
    <row r="753" spans="2:2" ht="12.45" customHeight="1" x14ac:dyDescent="0.35">
      <c r="B753" s="185" t="s">
        <v>635</v>
      </c>
    </row>
    <row r="754" spans="2:2" ht="12.45" customHeight="1" x14ac:dyDescent="0.35">
      <c r="B754" s="185" t="s">
        <v>1076</v>
      </c>
    </row>
    <row r="755" spans="2:2" ht="12.45" customHeight="1" x14ac:dyDescent="0.35">
      <c r="B755" s="185" t="s">
        <v>1077</v>
      </c>
    </row>
    <row r="756" spans="2:2" ht="12.45" customHeight="1" x14ac:dyDescent="0.35">
      <c r="B756" s="185" t="s">
        <v>1078</v>
      </c>
    </row>
    <row r="757" spans="2:2" ht="12.45" customHeight="1" x14ac:dyDescent="0.35">
      <c r="B757" s="185" t="s">
        <v>1079</v>
      </c>
    </row>
    <row r="758" spans="2:2" ht="12.45" customHeight="1" x14ac:dyDescent="0.35">
      <c r="B758" s="185" t="s">
        <v>1080</v>
      </c>
    </row>
    <row r="759" spans="2:2" ht="12.45" customHeight="1" x14ac:dyDescent="0.35">
      <c r="B759" s="185" t="s">
        <v>637</v>
      </c>
    </row>
    <row r="760" spans="2:2" ht="12.45" customHeight="1" x14ac:dyDescent="0.35">
      <c r="B760" s="185" t="s">
        <v>563</v>
      </c>
    </row>
    <row r="761" spans="2:2" ht="12.45" customHeight="1" x14ac:dyDescent="0.35">
      <c r="B761" s="185" t="s">
        <v>638</v>
      </c>
    </row>
    <row r="762" spans="2:2" ht="12.45" customHeight="1" x14ac:dyDescent="0.35">
      <c r="B762" s="185" t="s">
        <v>1081</v>
      </c>
    </row>
    <row r="763" spans="2:2" ht="12.45" customHeight="1" x14ac:dyDescent="0.35">
      <c r="B763" s="185" t="s">
        <v>620</v>
      </c>
    </row>
    <row r="764" spans="2:2" ht="12.45" customHeight="1" x14ac:dyDescent="0.35">
      <c r="B764" s="185" t="s">
        <v>563</v>
      </c>
    </row>
    <row r="765" spans="2:2" ht="12.45" customHeight="1" x14ac:dyDescent="0.35">
      <c r="B765" s="185" t="s">
        <v>1082</v>
      </c>
    </row>
    <row r="766" spans="2:2" ht="12.45" customHeight="1" x14ac:dyDescent="0.35">
      <c r="B766" s="185" t="s">
        <v>1083</v>
      </c>
    </row>
    <row r="767" spans="2:2" ht="12.45" customHeight="1" x14ac:dyDescent="0.35">
      <c r="B767" s="185" t="s">
        <v>1084</v>
      </c>
    </row>
    <row r="768" spans="2:2" ht="12.45" customHeight="1" x14ac:dyDescent="0.35">
      <c r="B768" s="185" t="s">
        <v>657</v>
      </c>
    </row>
    <row r="769" spans="2:2" ht="12.45" customHeight="1" x14ac:dyDescent="0.35">
      <c r="B769" s="185" t="s">
        <v>711</v>
      </c>
    </row>
    <row r="770" spans="2:2" ht="12.45" customHeight="1" x14ac:dyDescent="0.35">
      <c r="B770" s="185" t="s">
        <v>563</v>
      </c>
    </row>
    <row r="771" spans="2:2" ht="12.45" customHeight="1" x14ac:dyDescent="0.35">
      <c r="B771" s="185" t="s">
        <v>1085</v>
      </c>
    </row>
    <row r="772" spans="2:2" ht="12.45" customHeight="1" x14ac:dyDescent="0.35">
      <c r="B772" s="185" t="s">
        <v>1086</v>
      </c>
    </row>
    <row r="773" spans="2:2" ht="12.45" customHeight="1" x14ac:dyDescent="0.35">
      <c r="B773" s="185" t="s">
        <v>1087</v>
      </c>
    </row>
    <row r="774" spans="2:2" ht="12.45" customHeight="1" x14ac:dyDescent="0.35">
      <c r="B774" s="185" t="s">
        <v>1088</v>
      </c>
    </row>
    <row r="775" spans="2:2" ht="12.45" customHeight="1" x14ac:dyDescent="0.35">
      <c r="B775" s="185" t="s">
        <v>1089</v>
      </c>
    </row>
    <row r="776" spans="2:2" ht="12.45" customHeight="1" x14ac:dyDescent="0.35">
      <c r="B776" s="185" t="s">
        <v>752</v>
      </c>
    </row>
    <row r="777" spans="2:2" ht="12.45" customHeight="1" x14ac:dyDescent="0.35">
      <c r="B777" s="185" t="s">
        <v>1090</v>
      </c>
    </row>
    <row r="778" spans="2:2" ht="12.45" customHeight="1" x14ac:dyDescent="0.35">
      <c r="B778" s="185" t="s">
        <v>1091</v>
      </c>
    </row>
    <row r="779" spans="2:2" ht="12.45" customHeight="1" x14ac:dyDescent="0.35">
      <c r="B779" s="185" t="s">
        <v>1092</v>
      </c>
    </row>
    <row r="780" spans="2:2" ht="12.45" customHeight="1" x14ac:dyDescent="0.35">
      <c r="B780" s="185" t="s">
        <v>721</v>
      </c>
    </row>
    <row r="781" spans="2:2" ht="12.45" customHeight="1" x14ac:dyDescent="0.35">
      <c r="B781" s="185" t="s">
        <v>620</v>
      </c>
    </row>
    <row r="782" spans="2:2" ht="12.45" customHeight="1" x14ac:dyDescent="0.35">
      <c r="B782" s="185" t="s">
        <v>563</v>
      </c>
    </row>
    <row r="783" spans="2:2" ht="12.45" customHeight="1" x14ac:dyDescent="0.35">
      <c r="B783" s="185" t="s">
        <v>1093</v>
      </c>
    </row>
    <row r="784" spans="2:2" ht="12.45" customHeight="1" x14ac:dyDescent="0.35">
      <c r="B784" s="185" t="s">
        <v>1094</v>
      </c>
    </row>
    <row r="785" spans="2:2" ht="12.45" customHeight="1" x14ac:dyDescent="0.35">
      <c r="B785" s="185" t="s">
        <v>657</v>
      </c>
    </row>
    <row r="786" spans="2:2" ht="12.45" customHeight="1" x14ac:dyDescent="0.35">
      <c r="B786" s="185" t="s">
        <v>711</v>
      </c>
    </row>
    <row r="787" spans="2:2" ht="12.45" customHeight="1" x14ac:dyDescent="0.35">
      <c r="B787" s="185" t="s">
        <v>563</v>
      </c>
    </row>
    <row r="788" spans="2:2" ht="12.45" customHeight="1" x14ac:dyDescent="0.35">
      <c r="B788" s="185" t="s">
        <v>1095</v>
      </c>
    </row>
    <row r="789" spans="2:2" ht="12.45" customHeight="1" x14ac:dyDescent="0.35">
      <c r="B789" s="185" t="s">
        <v>1096</v>
      </c>
    </row>
    <row r="790" spans="2:2" ht="12.45" customHeight="1" x14ac:dyDescent="0.35">
      <c r="B790" s="185" t="s">
        <v>1088</v>
      </c>
    </row>
    <row r="791" spans="2:2" ht="12.45" customHeight="1" x14ac:dyDescent="0.35">
      <c r="B791" s="185" t="s">
        <v>752</v>
      </c>
    </row>
    <row r="792" spans="2:2" ht="12.45" customHeight="1" x14ac:dyDescent="0.35">
      <c r="B792" s="185" t="s">
        <v>1097</v>
      </c>
    </row>
    <row r="793" spans="2:2" ht="12.45" customHeight="1" x14ac:dyDescent="0.35">
      <c r="B793" s="185" t="s">
        <v>721</v>
      </c>
    </row>
    <row r="794" spans="2:2" ht="12.45" customHeight="1" x14ac:dyDescent="0.35">
      <c r="B794" s="185" t="s">
        <v>620</v>
      </c>
    </row>
    <row r="795" spans="2:2" ht="12.45" customHeight="1" x14ac:dyDescent="0.35">
      <c r="B795" s="185" t="s">
        <v>563</v>
      </c>
    </row>
    <row r="796" spans="2:2" ht="12.45" customHeight="1" x14ac:dyDescent="0.35">
      <c r="B796" s="185" t="s">
        <v>1098</v>
      </c>
    </row>
    <row r="797" spans="2:2" ht="12.45" customHeight="1" x14ac:dyDescent="0.35">
      <c r="B797" s="185" t="s">
        <v>1099</v>
      </c>
    </row>
    <row r="798" spans="2:2" ht="12.45" customHeight="1" x14ac:dyDescent="0.35">
      <c r="B798" s="185" t="s">
        <v>1100</v>
      </c>
    </row>
    <row r="799" spans="2:2" ht="12.45" customHeight="1" x14ac:dyDescent="0.35">
      <c r="B799" s="185" t="s">
        <v>1101</v>
      </c>
    </row>
    <row r="800" spans="2:2" ht="12.45" customHeight="1" x14ac:dyDescent="0.35">
      <c r="B800" s="185" t="s">
        <v>1102</v>
      </c>
    </row>
    <row r="801" spans="2:2" ht="12.45" customHeight="1" x14ac:dyDescent="0.35">
      <c r="B801" s="185" t="s">
        <v>1103</v>
      </c>
    </row>
    <row r="802" spans="2:2" ht="12.45" customHeight="1" x14ac:dyDescent="0.35">
      <c r="B802" s="185" t="s">
        <v>1104</v>
      </c>
    </row>
    <row r="803" spans="2:2" ht="12.45" customHeight="1" x14ac:dyDescent="0.35">
      <c r="B803" s="185" t="s">
        <v>1105</v>
      </c>
    </row>
    <row r="804" spans="2:2" ht="12.45" customHeight="1" x14ac:dyDescent="0.35">
      <c r="B804" s="185" t="s">
        <v>1106</v>
      </c>
    </row>
    <row r="805" spans="2:2" ht="12.45" customHeight="1" x14ac:dyDescent="0.35">
      <c r="B805" s="185" t="s">
        <v>1107</v>
      </c>
    </row>
    <row r="806" spans="2:2" ht="12.45" customHeight="1" x14ac:dyDescent="0.35">
      <c r="B806" s="185" t="s">
        <v>1108</v>
      </c>
    </row>
    <row r="807" spans="2:2" ht="12.45" customHeight="1" x14ac:dyDescent="0.35">
      <c r="B807" s="185" t="s">
        <v>620</v>
      </c>
    </row>
    <row r="808" spans="2:2" ht="12.45" customHeight="1" x14ac:dyDescent="0.35">
      <c r="B808" s="185" t="s">
        <v>563</v>
      </c>
    </row>
    <row r="809" spans="2:2" ht="12.45" customHeight="1" x14ac:dyDescent="0.35">
      <c r="B809" s="185" t="s">
        <v>1109</v>
      </c>
    </row>
    <row r="810" spans="2:2" ht="12.45" customHeight="1" x14ac:dyDescent="0.35">
      <c r="B810" s="185" t="s">
        <v>1110</v>
      </c>
    </row>
    <row r="811" spans="2:2" ht="12.45" customHeight="1" x14ac:dyDescent="0.35">
      <c r="B811" s="185" t="s">
        <v>1111</v>
      </c>
    </row>
    <row r="812" spans="2:2" ht="12.45" customHeight="1" x14ac:dyDescent="0.35">
      <c r="B812" s="185" t="s">
        <v>1112</v>
      </c>
    </row>
    <row r="813" spans="2:2" ht="12.45" customHeight="1" x14ac:dyDescent="0.35">
      <c r="B813" s="185" t="s">
        <v>1113</v>
      </c>
    </row>
    <row r="814" spans="2:2" ht="12.45" customHeight="1" x14ac:dyDescent="0.35">
      <c r="B814" s="185" t="s">
        <v>1114</v>
      </c>
    </row>
    <row r="815" spans="2:2" ht="12.45" customHeight="1" x14ac:dyDescent="0.35">
      <c r="B815" s="185" t="s">
        <v>1115</v>
      </c>
    </row>
    <row r="816" spans="2:2" ht="12.45" customHeight="1" x14ac:dyDescent="0.35">
      <c r="B816" s="185" t="s">
        <v>1116</v>
      </c>
    </row>
    <row r="817" spans="2:2" ht="12.45" customHeight="1" x14ac:dyDescent="0.35">
      <c r="B817" s="185" t="s">
        <v>620</v>
      </c>
    </row>
    <row r="818" spans="2:2" ht="12.45" customHeight="1" x14ac:dyDescent="0.35">
      <c r="B818" s="185" t="s">
        <v>563</v>
      </c>
    </row>
    <row r="819" spans="2:2" ht="12.45" customHeight="1" x14ac:dyDescent="0.35">
      <c r="B819" s="185" t="s">
        <v>1117</v>
      </c>
    </row>
    <row r="820" spans="2:2" ht="12.45" customHeight="1" x14ac:dyDescent="0.35">
      <c r="B820" s="185" t="s">
        <v>1118</v>
      </c>
    </row>
    <row r="821" spans="2:2" ht="12.45" customHeight="1" x14ac:dyDescent="0.35">
      <c r="B821" s="185" t="s">
        <v>1119</v>
      </c>
    </row>
    <row r="822" spans="2:2" ht="12.45" customHeight="1" x14ac:dyDescent="0.35">
      <c r="B822" s="185" t="s">
        <v>1120</v>
      </c>
    </row>
    <row r="823" spans="2:2" ht="12.45" customHeight="1" x14ac:dyDescent="0.35">
      <c r="B823" s="185" t="s">
        <v>1121</v>
      </c>
    </row>
    <row r="824" spans="2:2" ht="12.45" customHeight="1" x14ac:dyDescent="0.35">
      <c r="B824" s="185" t="s">
        <v>1122</v>
      </c>
    </row>
    <row r="825" spans="2:2" ht="12.45" customHeight="1" x14ac:dyDescent="0.35">
      <c r="B825" s="185" t="s">
        <v>1123</v>
      </c>
    </row>
    <row r="826" spans="2:2" ht="12.45" customHeight="1" x14ac:dyDescent="0.35">
      <c r="B826" s="185" t="s">
        <v>1124</v>
      </c>
    </row>
    <row r="827" spans="2:2" ht="12.45" customHeight="1" x14ac:dyDescent="0.35">
      <c r="B827" s="185" t="s">
        <v>563</v>
      </c>
    </row>
    <row r="828" spans="2:2" ht="12.45" customHeight="1" x14ac:dyDescent="0.35">
      <c r="B828" s="185" t="s">
        <v>1125</v>
      </c>
    </row>
    <row r="829" spans="2:2" ht="12.45" customHeight="1" x14ac:dyDescent="0.35">
      <c r="B829" s="185" t="s">
        <v>1126</v>
      </c>
    </row>
    <row r="830" spans="2:2" ht="12.45" customHeight="1" x14ac:dyDescent="0.35">
      <c r="B830" s="185" t="s">
        <v>1127</v>
      </c>
    </row>
    <row r="831" spans="2:2" ht="12.45" customHeight="1" x14ac:dyDescent="0.35">
      <c r="B831" s="185" t="s">
        <v>1128</v>
      </c>
    </row>
    <row r="832" spans="2:2" ht="12.45" customHeight="1" x14ac:dyDescent="0.35">
      <c r="B832" s="185" t="s">
        <v>1129</v>
      </c>
    </row>
    <row r="833" spans="2:2" ht="12.45" customHeight="1" x14ac:dyDescent="0.35">
      <c r="B833" s="185" t="s">
        <v>1130</v>
      </c>
    </row>
    <row r="834" spans="2:2" ht="12.45" customHeight="1" x14ac:dyDescent="0.35">
      <c r="B834" s="185" t="s">
        <v>1131</v>
      </c>
    </row>
    <row r="835" spans="2:2" ht="12.45" customHeight="1" x14ac:dyDescent="0.35">
      <c r="B835" s="185" t="s">
        <v>1132</v>
      </c>
    </row>
    <row r="836" spans="2:2" ht="12.45" customHeight="1" x14ac:dyDescent="0.35">
      <c r="B836" s="185" t="s">
        <v>1133</v>
      </c>
    </row>
    <row r="837" spans="2:2" ht="12.45" customHeight="1" x14ac:dyDescent="0.35">
      <c r="B837" s="185" t="s">
        <v>1134</v>
      </c>
    </row>
    <row r="838" spans="2:2" ht="12.45" customHeight="1" x14ac:dyDescent="0.35">
      <c r="B838" s="185" t="s">
        <v>1135</v>
      </c>
    </row>
    <row r="839" spans="2:2" ht="12.45" customHeight="1" x14ac:dyDescent="0.35">
      <c r="B839" s="185" t="s">
        <v>1136</v>
      </c>
    </row>
    <row r="840" spans="2:2" ht="12.45" customHeight="1" x14ac:dyDescent="0.35">
      <c r="B840" s="185" t="s">
        <v>1137</v>
      </c>
    </row>
    <row r="841" spans="2:2" ht="12.45" customHeight="1" x14ac:dyDescent="0.35">
      <c r="B841" s="185" t="s">
        <v>905</v>
      </c>
    </row>
    <row r="842" spans="2:2" ht="12.45" customHeight="1" x14ac:dyDescent="0.35">
      <c r="B842" s="185" t="s">
        <v>620</v>
      </c>
    </row>
    <row r="843" spans="2:2" ht="12.45" customHeight="1" x14ac:dyDescent="0.35">
      <c r="B843" s="185" t="s">
        <v>563</v>
      </c>
    </row>
    <row r="844" spans="2:2" ht="12.45" customHeight="1" x14ac:dyDescent="0.35">
      <c r="B844" s="185" t="s">
        <v>1138</v>
      </c>
    </row>
    <row r="845" spans="2:2" ht="12.45" customHeight="1" x14ac:dyDescent="0.35">
      <c r="B845" s="185" t="s">
        <v>1139</v>
      </c>
    </row>
    <row r="846" spans="2:2" ht="12.45" customHeight="1" x14ac:dyDescent="0.35">
      <c r="B846" s="185" t="s">
        <v>1140</v>
      </c>
    </row>
    <row r="847" spans="2:2" ht="12.45" customHeight="1" x14ac:dyDescent="0.35">
      <c r="B847" s="185" t="s">
        <v>711</v>
      </c>
    </row>
    <row r="848" spans="2:2" ht="12.45" customHeight="1" x14ac:dyDescent="0.35">
      <c r="B848" s="185" t="s">
        <v>563</v>
      </c>
    </row>
    <row r="849" spans="2:2" ht="12.45" customHeight="1" x14ac:dyDescent="0.35">
      <c r="B849" s="185" t="s">
        <v>1141</v>
      </c>
    </row>
    <row r="850" spans="2:2" ht="12.45" customHeight="1" x14ac:dyDescent="0.35">
      <c r="B850" s="185" t="s">
        <v>1142</v>
      </c>
    </row>
    <row r="851" spans="2:2" ht="12.45" customHeight="1" x14ac:dyDescent="0.35">
      <c r="B851" s="185" t="s">
        <v>1143</v>
      </c>
    </row>
    <row r="852" spans="2:2" ht="12.45" customHeight="1" x14ac:dyDescent="0.35">
      <c r="B852" s="185" t="s">
        <v>1144</v>
      </c>
    </row>
    <row r="853" spans="2:2" ht="12.45" customHeight="1" x14ac:dyDescent="0.35">
      <c r="B853" s="185" t="s">
        <v>1145</v>
      </c>
    </row>
    <row r="854" spans="2:2" ht="12.45" customHeight="1" x14ac:dyDescent="0.35">
      <c r="B854" s="185" t="s">
        <v>720</v>
      </c>
    </row>
    <row r="855" spans="2:2" ht="12.45" customHeight="1" x14ac:dyDescent="0.35">
      <c r="B855" s="185" t="s">
        <v>721</v>
      </c>
    </row>
    <row r="856" spans="2:2" ht="12.45" customHeight="1" x14ac:dyDescent="0.35">
      <c r="B856" s="185" t="s">
        <v>620</v>
      </c>
    </row>
    <row r="857" spans="2:2" ht="12.45" customHeight="1" x14ac:dyDescent="0.35">
      <c r="B857" s="185" t="s">
        <v>563</v>
      </c>
    </row>
    <row r="858" spans="2:2" ht="12.45" customHeight="1" x14ac:dyDescent="0.35">
      <c r="B858" s="185" t="s">
        <v>1146</v>
      </c>
    </row>
    <row r="859" spans="2:2" ht="12.45" customHeight="1" x14ac:dyDescent="0.35">
      <c r="B859" s="185" t="s">
        <v>1147</v>
      </c>
    </row>
    <row r="860" spans="2:2" ht="12.45" customHeight="1" x14ac:dyDescent="0.35">
      <c r="B860" s="185" t="s">
        <v>1148</v>
      </c>
    </row>
    <row r="861" spans="2:2" ht="12.45" customHeight="1" x14ac:dyDescent="0.35">
      <c r="B861" s="185" t="s">
        <v>1149</v>
      </c>
    </row>
    <row r="862" spans="2:2" ht="12.45" customHeight="1" x14ac:dyDescent="0.35">
      <c r="B862" s="185" t="s">
        <v>1150</v>
      </c>
    </row>
    <row r="863" spans="2:2" ht="12.45" customHeight="1" x14ac:dyDescent="0.35">
      <c r="B863" s="185" t="s">
        <v>1151</v>
      </c>
    </row>
    <row r="864" spans="2:2" ht="12.45" customHeight="1" x14ac:dyDescent="0.35">
      <c r="B864" s="185" t="s">
        <v>1152</v>
      </c>
    </row>
    <row r="865" spans="2:2" ht="12.45" customHeight="1" x14ac:dyDescent="0.35">
      <c r="B865" s="185" t="s">
        <v>1015</v>
      </c>
    </row>
    <row r="866" spans="2:2" ht="12.45" customHeight="1" x14ac:dyDescent="0.35">
      <c r="B866" s="185" t="s">
        <v>1153</v>
      </c>
    </row>
    <row r="867" spans="2:2" ht="12.45" customHeight="1" x14ac:dyDescent="0.35">
      <c r="B867" s="185" t="s">
        <v>620</v>
      </c>
    </row>
    <row r="868" spans="2:2" ht="12.45" customHeight="1" x14ac:dyDescent="0.35">
      <c r="B868" s="185" t="s">
        <v>563</v>
      </c>
    </row>
    <row r="869" spans="2:2" ht="12.45" customHeight="1" x14ac:dyDescent="0.35">
      <c r="B869" s="185" t="s">
        <v>1154</v>
      </c>
    </row>
    <row r="870" spans="2:2" ht="12.45" customHeight="1" x14ac:dyDescent="0.35">
      <c r="B870" s="185" t="s">
        <v>1155</v>
      </c>
    </row>
    <row r="871" spans="2:2" ht="12.45" customHeight="1" x14ac:dyDescent="0.35">
      <c r="B871" s="185" t="s">
        <v>1156</v>
      </c>
    </row>
    <row r="872" spans="2:2" ht="12.45" customHeight="1" x14ac:dyDescent="0.35">
      <c r="B872" s="185" t="s">
        <v>620</v>
      </c>
    </row>
    <row r="873" spans="2:2" ht="12.45" customHeight="1" x14ac:dyDescent="0.35">
      <c r="B873" s="185" t="s">
        <v>563</v>
      </c>
    </row>
    <row r="874" spans="2:2" ht="12.45" customHeight="1" x14ac:dyDescent="0.35">
      <c r="B874" s="185" t="s">
        <v>1157</v>
      </c>
    </row>
    <row r="875" spans="2:2" ht="12.45" customHeight="1" x14ac:dyDescent="0.35">
      <c r="B875" s="185" t="s">
        <v>1158</v>
      </c>
    </row>
    <row r="876" spans="2:2" ht="12.45" customHeight="1" x14ac:dyDescent="0.35">
      <c r="B876" s="185" t="s">
        <v>1159</v>
      </c>
    </row>
    <row r="877" spans="2:2" ht="12.45" customHeight="1" x14ac:dyDescent="0.35">
      <c r="B877" s="185" t="s">
        <v>620</v>
      </c>
    </row>
    <row r="878" spans="2:2" ht="12.45" customHeight="1" x14ac:dyDescent="0.35">
      <c r="B878" s="185" t="s">
        <v>563</v>
      </c>
    </row>
    <row r="879" spans="2:2" ht="12.45" customHeight="1" x14ac:dyDescent="0.35">
      <c r="B879" s="186" t="s">
        <v>564</v>
      </c>
    </row>
    <row r="880" spans="2:2" ht="12.45" customHeight="1" x14ac:dyDescent="0.35">
      <c r="B880" s="186" t="s">
        <v>1160</v>
      </c>
    </row>
    <row r="881" spans="2:2" ht="12.45" customHeight="1" x14ac:dyDescent="0.35">
      <c r="B881" s="186" t="s">
        <v>564</v>
      </c>
    </row>
    <row r="882" spans="2:2" ht="12.45" customHeight="1" x14ac:dyDescent="0.35">
      <c r="B882" s="185" t="s">
        <v>563</v>
      </c>
    </row>
    <row r="883" spans="2:2" ht="12.45" customHeight="1" x14ac:dyDescent="0.35">
      <c r="B883" s="185" t="s">
        <v>1161</v>
      </c>
    </row>
    <row r="884" spans="2:2" ht="12.45" customHeight="1" x14ac:dyDescent="0.35">
      <c r="B884" s="185" t="s">
        <v>1162</v>
      </c>
    </row>
    <row r="885" spans="2:2" ht="12.45" customHeight="1" x14ac:dyDescent="0.35">
      <c r="B885" s="185" t="s">
        <v>1163</v>
      </c>
    </row>
    <row r="886" spans="2:2" ht="12.45" customHeight="1" x14ac:dyDescent="0.35">
      <c r="B886" s="185" t="s">
        <v>1164</v>
      </c>
    </row>
    <row r="887" spans="2:2" ht="12.45" customHeight="1" x14ac:dyDescent="0.35">
      <c r="B887" s="185" t="s">
        <v>1165</v>
      </c>
    </row>
    <row r="888" spans="2:2" ht="12.45" customHeight="1" x14ac:dyDescent="0.35">
      <c r="B888" s="185" t="s">
        <v>1166</v>
      </c>
    </row>
    <row r="889" spans="2:2" ht="12.45" customHeight="1" x14ac:dyDescent="0.35">
      <c r="B889" s="185" t="s">
        <v>1167</v>
      </c>
    </row>
    <row r="890" spans="2:2" ht="12.45" customHeight="1" x14ac:dyDescent="0.35">
      <c r="B890" s="185" t="s">
        <v>1168</v>
      </c>
    </row>
    <row r="891" spans="2:2" ht="12.45" customHeight="1" x14ac:dyDescent="0.35">
      <c r="B891" s="185" t="s">
        <v>1169</v>
      </c>
    </row>
    <row r="892" spans="2:2" ht="12.45" customHeight="1" x14ac:dyDescent="0.35">
      <c r="B892" s="185" t="s">
        <v>1170</v>
      </c>
    </row>
    <row r="893" spans="2:2" ht="12.45" customHeight="1" x14ac:dyDescent="0.35">
      <c r="B893" s="185" t="s">
        <v>1171</v>
      </c>
    </row>
    <row r="894" spans="2:2" ht="12.45" customHeight="1" x14ac:dyDescent="0.35">
      <c r="B894" s="185" t="s">
        <v>1172</v>
      </c>
    </row>
    <row r="895" spans="2:2" ht="12.45" customHeight="1" x14ac:dyDescent="0.35">
      <c r="B895" s="185" t="s">
        <v>563</v>
      </c>
    </row>
    <row r="896" spans="2:2" ht="12.45" customHeight="1" x14ac:dyDescent="0.35">
      <c r="B896" s="185" t="s">
        <v>1173</v>
      </c>
    </row>
    <row r="897" spans="2:2" ht="12.45" customHeight="1" x14ac:dyDescent="0.35">
      <c r="B897" s="185" t="s">
        <v>1174</v>
      </c>
    </row>
    <row r="898" spans="2:2" ht="12.45" customHeight="1" x14ac:dyDescent="0.35">
      <c r="B898" s="185" t="s">
        <v>563</v>
      </c>
    </row>
    <row r="899" spans="2:2" ht="12.45" customHeight="1" x14ac:dyDescent="0.35">
      <c r="B899" s="185" t="s">
        <v>1175</v>
      </c>
    </row>
    <row r="900" spans="2:2" ht="12.45" customHeight="1" x14ac:dyDescent="0.35">
      <c r="B900" s="185" t="s">
        <v>1176</v>
      </c>
    </row>
    <row r="901" spans="2:2" ht="12.45" customHeight="1" x14ac:dyDescent="0.35">
      <c r="B901" s="185" t="s">
        <v>922</v>
      </c>
    </row>
    <row r="902" spans="2:2" ht="12.45" customHeight="1" x14ac:dyDescent="0.35">
      <c r="B902" s="185" t="s">
        <v>666</v>
      </c>
    </row>
    <row r="903" spans="2:2" ht="12.45" customHeight="1" x14ac:dyDescent="0.35">
      <c r="B903" s="185" t="s">
        <v>1177</v>
      </c>
    </row>
    <row r="904" spans="2:2" ht="12.45" customHeight="1" x14ac:dyDescent="0.35">
      <c r="B904" s="185" t="s">
        <v>563</v>
      </c>
    </row>
    <row r="905" spans="2:2" ht="12.45" customHeight="1" x14ac:dyDescent="0.35">
      <c r="B905" s="185" t="s">
        <v>1178</v>
      </c>
    </row>
    <row r="906" spans="2:2" ht="12.45" customHeight="1" x14ac:dyDescent="0.35">
      <c r="B906" s="185" t="s">
        <v>1179</v>
      </c>
    </row>
    <row r="907" spans="2:2" ht="12.45" customHeight="1" x14ac:dyDescent="0.35">
      <c r="B907" s="185" t="s">
        <v>1180</v>
      </c>
    </row>
    <row r="908" spans="2:2" ht="12.45" customHeight="1" x14ac:dyDescent="0.35">
      <c r="B908" s="185" t="s">
        <v>1181</v>
      </c>
    </row>
    <row r="909" spans="2:2" ht="12.45" customHeight="1" x14ac:dyDescent="0.35">
      <c r="B909" s="185" t="s">
        <v>664</v>
      </c>
    </row>
    <row r="910" spans="2:2" ht="12.45" customHeight="1" x14ac:dyDescent="0.35">
      <c r="B910" s="185" t="s">
        <v>1182</v>
      </c>
    </row>
    <row r="911" spans="2:2" ht="12.45" customHeight="1" x14ac:dyDescent="0.35">
      <c r="B911" s="185" t="s">
        <v>922</v>
      </c>
    </row>
    <row r="912" spans="2:2" ht="12.45" customHeight="1" x14ac:dyDescent="0.35">
      <c r="B912" s="185" t="s">
        <v>666</v>
      </c>
    </row>
    <row r="913" spans="2:2" ht="12.45" customHeight="1" x14ac:dyDescent="0.35">
      <c r="B913" s="185" t="s">
        <v>563</v>
      </c>
    </row>
    <row r="914" spans="2:2" ht="12.45" customHeight="1" x14ac:dyDescent="0.35">
      <c r="B914" s="185" t="s">
        <v>1183</v>
      </c>
    </row>
    <row r="915" spans="2:2" ht="12.45" customHeight="1" x14ac:dyDescent="0.35">
      <c r="B915" s="185" t="s">
        <v>1184</v>
      </c>
    </row>
    <row r="916" spans="2:2" ht="12.45" customHeight="1" x14ac:dyDescent="0.35">
      <c r="B916" s="185" t="s">
        <v>922</v>
      </c>
    </row>
    <row r="917" spans="2:2" ht="12.45" customHeight="1" x14ac:dyDescent="0.35">
      <c r="B917" s="185" t="s">
        <v>666</v>
      </c>
    </row>
    <row r="918" spans="2:2" ht="12.45" customHeight="1" x14ac:dyDescent="0.35">
      <c r="B918" s="185" t="s">
        <v>1185</v>
      </c>
    </row>
    <row r="919" spans="2:2" ht="12.45" customHeight="1" x14ac:dyDescent="0.35">
      <c r="B919" s="185" t="s">
        <v>563</v>
      </c>
    </row>
    <row r="920" spans="2:2" ht="12.45" customHeight="1" x14ac:dyDescent="0.35">
      <c r="B920" s="185" t="s">
        <v>1186</v>
      </c>
    </row>
    <row r="921" spans="2:2" ht="12.45" customHeight="1" x14ac:dyDescent="0.35">
      <c r="B921" s="185" t="s">
        <v>1187</v>
      </c>
    </row>
    <row r="922" spans="2:2" ht="12.45" customHeight="1" x14ac:dyDescent="0.35">
      <c r="B922" s="185" t="s">
        <v>922</v>
      </c>
    </row>
    <row r="923" spans="2:2" ht="12.45" customHeight="1" x14ac:dyDescent="0.35">
      <c r="B923" s="185" t="s">
        <v>666</v>
      </c>
    </row>
    <row r="924" spans="2:2" ht="12.45" customHeight="1" x14ac:dyDescent="0.35">
      <c r="B924" s="185" t="s">
        <v>563</v>
      </c>
    </row>
    <row r="925" spans="2:2" ht="12.45" customHeight="1" x14ac:dyDescent="0.35">
      <c r="B925" s="185" t="s">
        <v>1188</v>
      </c>
    </row>
    <row r="926" spans="2:2" ht="12.45" customHeight="1" x14ac:dyDescent="0.35">
      <c r="B926" s="185" t="s">
        <v>645</v>
      </c>
    </row>
    <row r="927" spans="2:2" ht="12.45" customHeight="1" x14ac:dyDescent="0.35">
      <c r="B927" s="185" t="s">
        <v>563</v>
      </c>
    </row>
    <row r="928" spans="2:2" ht="12.45" customHeight="1" x14ac:dyDescent="0.35">
      <c r="B928" s="186" t="s">
        <v>564</v>
      </c>
    </row>
    <row r="929" spans="2:2" ht="12.45" customHeight="1" x14ac:dyDescent="0.35">
      <c r="B929" s="186" t="s">
        <v>1189</v>
      </c>
    </row>
    <row r="930" spans="2:2" ht="12.45" customHeight="1" x14ac:dyDescent="0.35">
      <c r="B930" s="186" t="s">
        <v>564</v>
      </c>
    </row>
    <row r="931" spans="2:2" ht="12.45" customHeight="1" x14ac:dyDescent="0.35">
      <c r="B931" s="185" t="s">
        <v>563</v>
      </c>
    </row>
    <row r="932" spans="2:2" ht="12.45" customHeight="1" x14ac:dyDescent="0.35">
      <c r="B932" s="185" t="s">
        <v>1190</v>
      </c>
    </row>
    <row r="933" spans="2:2" ht="12.45" customHeight="1" x14ac:dyDescent="0.35">
      <c r="B933" s="185" t="s">
        <v>1191</v>
      </c>
    </row>
    <row r="934" spans="2:2" ht="12.45" customHeight="1" x14ac:dyDescent="0.35">
      <c r="B934" s="185" t="s">
        <v>1192</v>
      </c>
    </row>
    <row r="935" spans="2:2" ht="12.45" customHeight="1" x14ac:dyDescent="0.35">
      <c r="B935" s="185" t="s">
        <v>1193</v>
      </c>
    </row>
    <row r="936" spans="2:2" ht="12.45" customHeight="1" x14ac:dyDescent="0.35">
      <c r="B936" s="185" t="s">
        <v>1194</v>
      </c>
    </row>
    <row r="937" spans="2:2" ht="12.45" customHeight="1" x14ac:dyDescent="0.35">
      <c r="B937" s="185" t="s">
        <v>1195</v>
      </c>
    </row>
    <row r="938" spans="2:2" ht="12.45" customHeight="1" x14ac:dyDescent="0.35">
      <c r="B938" s="185" t="s">
        <v>1196</v>
      </c>
    </row>
    <row r="939" spans="2:2" ht="12.45" customHeight="1" x14ac:dyDescent="0.35">
      <c r="B939" s="185" t="s">
        <v>917</v>
      </c>
    </row>
    <row r="940" spans="2:2" ht="12.45" customHeight="1" x14ac:dyDescent="0.35">
      <c r="B940" s="185" t="s">
        <v>1197</v>
      </c>
    </row>
    <row r="941" spans="2:2" ht="12.45" customHeight="1" x14ac:dyDescent="0.35">
      <c r="B941" s="185" t="s">
        <v>563</v>
      </c>
    </row>
    <row r="942" spans="2:2" ht="12.45" customHeight="1" x14ac:dyDescent="0.35">
      <c r="B942" s="185" t="s">
        <v>635</v>
      </c>
    </row>
    <row r="943" spans="2:2" ht="12.45" customHeight="1" x14ac:dyDescent="0.35">
      <c r="B943" s="185" t="s">
        <v>1198</v>
      </c>
    </row>
    <row r="944" spans="2:2" ht="12.45" customHeight="1" x14ac:dyDescent="0.35">
      <c r="B944" s="185" t="s">
        <v>1199</v>
      </c>
    </row>
    <row r="945" spans="2:2" ht="12.45" customHeight="1" x14ac:dyDescent="0.35">
      <c r="B945" s="185" t="s">
        <v>1200</v>
      </c>
    </row>
    <row r="946" spans="2:2" ht="12.45" customHeight="1" x14ac:dyDescent="0.35">
      <c r="B946" s="185" t="s">
        <v>666</v>
      </c>
    </row>
    <row r="947" spans="2:2" ht="12.45" customHeight="1" x14ac:dyDescent="0.35">
      <c r="B947" s="185" t="s">
        <v>920</v>
      </c>
    </row>
    <row r="948" spans="2:2" ht="12.45" customHeight="1" x14ac:dyDescent="0.35">
      <c r="B948" s="185" t="s">
        <v>1201</v>
      </c>
    </row>
    <row r="949" spans="2:2" ht="12.45" customHeight="1" x14ac:dyDescent="0.35">
      <c r="B949" s="185" t="s">
        <v>1202</v>
      </c>
    </row>
    <row r="950" spans="2:2" ht="12.45" customHeight="1" x14ac:dyDescent="0.35">
      <c r="B950" s="185" t="s">
        <v>666</v>
      </c>
    </row>
    <row r="951" spans="2:2" ht="12.45" customHeight="1" x14ac:dyDescent="0.35">
      <c r="B951" s="185" t="s">
        <v>563</v>
      </c>
    </row>
    <row r="952" spans="2:2" ht="12.45" customHeight="1" x14ac:dyDescent="0.35">
      <c r="B952" s="185" t="s">
        <v>1203</v>
      </c>
    </row>
    <row r="953" spans="2:2" ht="12.45" customHeight="1" x14ac:dyDescent="0.35">
      <c r="B953" s="185" t="s">
        <v>933</v>
      </c>
    </row>
    <row r="954" spans="2:2" ht="12.45" customHeight="1" x14ac:dyDescent="0.35">
      <c r="B954" s="185" t="s">
        <v>992</v>
      </c>
    </row>
    <row r="955" spans="2:2" ht="12.45" customHeight="1" x14ac:dyDescent="0.35">
      <c r="B955" s="185" t="s">
        <v>635</v>
      </c>
    </row>
    <row r="956" spans="2:2" ht="12.45" customHeight="1" x14ac:dyDescent="0.35">
      <c r="B956" s="185" t="s">
        <v>563</v>
      </c>
    </row>
    <row r="957" spans="2:2" ht="12.45" customHeight="1" x14ac:dyDescent="0.35">
      <c r="B957" s="185" t="s">
        <v>1204</v>
      </c>
    </row>
    <row r="958" spans="2:2" ht="12.45" customHeight="1" x14ac:dyDescent="0.35">
      <c r="B958" s="185" t="s">
        <v>1205</v>
      </c>
    </row>
    <row r="959" spans="2:2" ht="12.45" customHeight="1" x14ac:dyDescent="0.35">
      <c r="B959" s="185" t="s">
        <v>1206</v>
      </c>
    </row>
    <row r="960" spans="2:2" ht="12.45" customHeight="1" x14ac:dyDescent="0.35">
      <c r="B960" s="185" t="s">
        <v>1207</v>
      </c>
    </row>
    <row r="961" spans="2:2" ht="12.45" customHeight="1" x14ac:dyDescent="0.35">
      <c r="B961" s="185" t="s">
        <v>1080</v>
      </c>
    </row>
    <row r="962" spans="2:2" ht="12.45" customHeight="1" x14ac:dyDescent="0.35">
      <c r="B962" s="185" t="s">
        <v>1208</v>
      </c>
    </row>
    <row r="963" spans="2:2" ht="12.45" customHeight="1" x14ac:dyDescent="0.35">
      <c r="B963" s="185" t="s">
        <v>637</v>
      </c>
    </row>
    <row r="964" spans="2:2" ht="12.45" customHeight="1" x14ac:dyDescent="0.35">
      <c r="B964" s="185" t="s">
        <v>563</v>
      </c>
    </row>
    <row r="965" spans="2:2" ht="12.45" customHeight="1" x14ac:dyDescent="0.35">
      <c r="B965" s="185" t="s">
        <v>638</v>
      </c>
    </row>
    <row r="966" spans="2:2" ht="12.45" customHeight="1" x14ac:dyDescent="0.35">
      <c r="B966" s="185" t="s">
        <v>1081</v>
      </c>
    </row>
    <row r="967" spans="2:2" ht="12.45" customHeight="1" x14ac:dyDescent="0.35">
      <c r="B967" s="185" t="s">
        <v>620</v>
      </c>
    </row>
    <row r="968" spans="2:2" ht="12.45" customHeight="1" x14ac:dyDescent="0.35">
      <c r="B968" s="185" t="s">
        <v>563</v>
      </c>
    </row>
    <row r="969" spans="2:2" ht="12.45" customHeight="1" x14ac:dyDescent="0.35">
      <c r="B969" s="185" t="s">
        <v>1209</v>
      </c>
    </row>
    <row r="970" spans="2:2" ht="12.45" customHeight="1" x14ac:dyDescent="0.35">
      <c r="B970" s="185" t="s">
        <v>1210</v>
      </c>
    </row>
    <row r="971" spans="2:2" ht="12.45" customHeight="1" x14ac:dyDescent="0.35">
      <c r="B971" s="185" t="s">
        <v>1211</v>
      </c>
    </row>
    <row r="972" spans="2:2" ht="12.45" customHeight="1" x14ac:dyDescent="0.35">
      <c r="B972" s="185" t="s">
        <v>1212</v>
      </c>
    </row>
    <row r="973" spans="2:2" ht="12.45" customHeight="1" x14ac:dyDescent="0.35">
      <c r="B973" s="185" t="s">
        <v>1213</v>
      </c>
    </row>
    <row r="974" spans="2:2" ht="12.45" customHeight="1" x14ac:dyDescent="0.35">
      <c r="B974" s="185" t="s">
        <v>563</v>
      </c>
    </row>
    <row r="975" spans="2:2" ht="12.45" customHeight="1" x14ac:dyDescent="0.35">
      <c r="B975" s="185" t="s">
        <v>635</v>
      </c>
    </row>
    <row r="976" spans="2:2" ht="12.45" customHeight="1" x14ac:dyDescent="0.35">
      <c r="B976" s="185" t="s">
        <v>1169</v>
      </c>
    </row>
    <row r="977" spans="2:2" ht="12.45" customHeight="1" x14ac:dyDescent="0.35">
      <c r="B977" s="185" t="s">
        <v>1214</v>
      </c>
    </row>
    <row r="978" spans="2:2" ht="12.45" customHeight="1" x14ac:dyDescent="0.35">
      <c r="B978" s="185" t="s">
        <v>1215</v>
      </c>
    </row>
    <row r="979" spans="2:2" ht="12.45" customHeight="1" x14ac:dyDescent="0.35">
      <c r="B979" s="185" t="s">
        <v>1202</v>
      </c>
    </row>
    <row r="980" spans="2:2" ht="12.45" customHeight="1" x14ac:dyDescent="0.35">
      <c r="B980" s="185" t="s">
        <v>666</v>
      </c>
    </row>
    <row r="981" spans="2:2" ht="12.45" customHeight="1" x14ac:dyDescent="0.35">
      <c r="B981" s="185" t="s">
        <v>563</v>
      </c>
    </row>
    <row r="982" spans="2:2" ht="12.45" customHeight="1" x14ac:dyDescent="0.35">
      <c r="B982" s="185" t="s">
        <v>1216</v>
      </c>
    </row>
    <row r="983" spans="2:2" ht="12.45" customHeight="1" x14ac:dyDescent="0.35">
      <c r="B983" s="185" t="s">
        <v>1217</v>
      </c>
    </row>
    <row r="984" spans="2:2" ht="12.45" customHeight="1" x14ac:dyDescent="0.35">
      <c r="B984" s="185" t="s">
        <v>1218</v>
      </c>
    </row>
    <row r="985" spans="2:2" ht="12.45" customHeight="1" x14ac:dyDescent="0.35">
      <c r="B985" s="185" t="s">
        <v>1219</v>
      </c>
    </row>
    <row r="986" spans="2:2" ht="12.45" customHeight="1" x14ac:dyDescent="0.35">
      <c r="B986" s="185" t="s">
        <v>1220</v>
      </c>
    </row>
    <row r="987" spans="2:2" ht="12.45" customHeight="1" x14ac:dyDescent="0.35">
      <c r="B987" s="185" t="s">
        <v>1221</v>
      </c>
    </row>
    <row r="988" spans="2:2" ht="12.45" customHeight="1" x14ac:dyDescent="0.35">
      <c r="B988" s="185" t="s">
        <v>1202</v>
      </c>
    </row>
    <row r="989" spans="2:2" ht="12.45" customHeight="1" x14ac:dyDescent="0.35">
      <c r="B989" s="185" t="s">
        <v>666</v>
      </c>
    </row>
    <row r="990" spans="2:2" ht="12.45" customHeight="1" x14ac:dyDescent="0.35">
      <c r="B990" s="185" t="s">
        <v>563</v>
      </c>
    </row>
    <row r="991" spans="2:2" ht="12.45" customHeight="1" x14ac:dyDescent="0.35">
      <c r="B991" s="185" t="s">
        <v>1222</v>
      </c>
    </row>
    <row r="992" spans="2:2" ht="12.45" customHeight="1" x14ac:dyDescent="0.35">
      <c r="B992" s="185" t="s">
        <v>1223</v>
      </c>
    </row>
    <row r="993" spans="2:2" ht="12.45" customHeight="1" x14ac:dyDescent="0.35">
      <c r="B993" s="185" t="s">
        <v>1224</v>
      </c>
    </row>
    <row r="994" spans="2:2" ht="12.45" customHeight="1" x14ac:dyDescent="0.35">
      <c r="B994" s="185" t="s">
        <v>1225</v>
      </c>
    </row>
    <row r="995" spans="2:2" ht="12.45" customHeight="1" x14ac:dyDescent="0.35">
      <c r="B995" s="185" t="s">
        <v>1226</v>
      </c>
    </row>
    <row r="996" spans="2:2" ht="12.45" customHeight="1" x14ac:dyDescent="0.35">
      <c r="B996" s="185" t="s">
        <v>1227</v>
      </c>
    </row>
    <row r="997" spans="2:2" ht="12.45" customHeight="1" x14ac:dyDescent="0.35">
      <c r="B997" s="185" t="s">
        <v>1228</v>
      </c>
    </row>
    <row r="998" spans="2:2" ht="12.45" customHeight="1" x14ac:dyDescent="0.35">
      <c r="B998" s="185" t="s">
        <v>1229</v>
      </c>
    </row>
    <row r="999" spans="2:2" ht="12.45" customHeight="1" x14ac:dyDescent="0.35">
      <c r="B999" s="185" t="s">
        <v>1230</v>
      </c>
    </row>
    <row r="1000" spans="2:2" ht="12.45" customHeight="1" x14ac:dyDescent="0.35">
      <c r="B1000" s="185" t="s">
        <v>563</v>
      </c>
    </row>
    <row r="1001" spans="2:2" ht="12.45" customHeight="1" x14ac:dyDescent="0.35">
      <c r="B1001" s="185" t="s">
        <v>1231</v>
      </c>
    </row>
    <row r="1002" spans="2:2" ht="12.45" customHeight="1" x14ac:dyDescent="0.35">
      <c r="B1002" s="185" t="s">
        <v>1232</v>
      </c>
    </row>
    <row r="1003" spans="2:2" ht="12.45" customHeight="1" x14ac:dyDescent="0.35">
      <c r="B1003" s="185" t="s">
        <v>1233</v>
      </c>
    </row>
    <row r="1004" spans="2:2" ht="12.45" customHeight="1" x14ac:dyDescent="0.35">
      <c r="B1004" s="185" t="s">
        <v>1234</v>
      </c>
    </row>
    <row r="1005" spans="2:2" ht="12.45" customHeight="1" x14ac:dyDescent="0.35">
      <c r="B1005" s="185" t="s">
        <v>637</v>
      </c>
    </row>
    <row r="1006" spans="2:2" ht="12.45" customHeight="1" x14ac:dyDescent="0.35">
      <c r="B1006" s="185" t="s">
        <v>563</v>
      </c>
    </row>
    <row r="1007" spans="2:2" ht="12.45" customHeight="1" x14ac:dyDescent="0.35">
      <c r="B1007" s="185" t="s">
        <v>638</v>
      </c>
    </row>
    <row r="1008" spans="2:2" ht="12.45" customHeight="1" x14ac:dyDescent="0.35">
      <c r="B1008" s="185" t="s">
        <v>1081</v>
      </c>
    </row>
    <row r="1009" spans="2:2" ht="12.45" customHeight="1" x14ac:dyDescent="0.35">
      <c r="B1009" s="185" t="s">
        <v>620</v>
      </c>
    </row>
    <row r="1010" spans="2:2" ht="12.45" customHeight="1" x14ac:dyDescent="0.35">
      <c r="B1010" s="185" t="s">
        <v>563</v>
      </c>
    </row>
    <row r="1011" spans="2:2" ht="12.45" customHeight="1" x14ac:dyDescent="0.35">
      <c r="B1011" s="185" t="s">
        <v>1235</v>
      </c>
    </row>
    <row r="1012" spans="2:2" ht="12.45" customHeight="1" x14ac:dyDescent="0.35">
      <c r="B1012" s="185" t="s">
        <v>1236</v>
      </c>
    </row>
    <row r="1013" spans="2:2" ht="12.45" customHeight="1" x14ac:dyDescent="0.35">
      <c r="B1013" s="185" t="s">
        <v>1192</v>
      </c>
    </row>
    <row r="1014" spans="2:2" ht="12.45" customHeight="1" x14ac:dyDescent="0.35">
      <c r="B1014" s="185" t="s">
        <v>1193</v>
      </c>
    </row>
    <row r="1015" spans="2:2" ht="12.45" customHeight="1" x14ac:dyDescent="0.35">
      <c r="B1015" s="185" t="s">
        <v>1194</v>
      </c>
    </row>
    <row r="1016" spans="2:2" ht="12.45" customHeight="1" x14ac:dyDescent="0.35">
      <c r="B1016" s="185" t="s">
        <v>1195</v>
      </c>
    </row>
    <row r="1017" spans="2:2" ht="12.45" customHeight="1" x14ac:dyDescent="0.35">
      <c r="B1017" s="185" t="s">
        <v>1196</v>
      </c>
    </row>
    <row r="1018" spans="2:2" ht="12.45" customHeight="1" x14ac:dyDescent="0.35">
      <c r="B1018" s="185" t="s">
        <v>917</v>
      </c>
    </row>
    <row r="1019" spans="2:2" ht="12.45" customHeight="1" x14ac:dyDescent="0.35">
      <c r="B1019" s="185" t="s">
        <v>563</v>
      </c>
    </row>
    <row r="1020" spans="2:2" ht="12.45" customHeight="1" x14ac:dyDescent="0.35">
      <c r="B1020" s="185" t="s">
        <v>635</v>
      </c>
    </row>
    <row r="1021" spans="2:2" ht="12.45" customHeight="1" x14ac:dyDescent="0.35">
      <c r="B1021" s="185" t="s">
        <v>1237</v>
      </c>
    </row>
    <row r="1022" spans="2:2" ht="12.45" customHeight="1" x14ac:dyDescent="0.35">
      <c r="B1022" s="185" t="s">
        <v>1238</v>
      </c>
    </row>
    <row r="1023" spans="2:2" ht="12.45" customHeight="1" x14ac:dyDescent="0.35">
      <c r="B1023" s="185" t="s">
        <v>1239</v>
      </c>
    </row>
    <row r="1024" spans="2:2" ht="12.45" customHeight="1" x14ac:dyDescent="0.35">
      <c r="B1024" s="185" t="s">
        <v>1202</v>
      </c>
    </row>
    <row r="1025" spans="2:2" ht="12.45" customHeight="1" x14ac:dyDescent="0.35">
      <c r="B1025" s="185" t="s">
        <v>666</v>
      </c>
    </row>
    <row r="1026" spans="2:2" ht="12.45" customHeight="1" x14ac:dyDescent="0.35">
      <c r="B1026" s="185" t="s">
        <v>563</v>
      </c>
    </row>
    <row r="1027" spans="2:2" ht="12.45" customHeight="1" x14ac:dyDescent="0.35">
      <c r="B1027" s="185" t="s">
        <v>1198</v>
      </c>
    </row>
    <row r="1028" spans="2:2" ht="12.45" customHeight="1" x14ac:dyDescent="0.35">
      <c r="B1028" s="185" t="s">
        <v>1199</v>
      </c>
    </row>
    <row r="1029" spans="2:2" ht="12.45" customHeight="1" x14ac:dyDescent="0.35">
      <c r="B1029" s="185" t="s">
        <v>1240</v>
      </c>
    </row>
    <row r="1030" spans="2:2" ht="12.45" customHeight="1" x14ac:dyDescent="0.35">
      <c r="B1030" s="185" t="s">
        <v>666</v>
      </c>
    </row>
    <row r="1031" spans="2:2" ht="12.45" customHeight="1" x14ac:dyDescent="0.35">
      <c r="B1031" s="185" t="s">
        <v>920</v>
      </c>
    </row>
    <row r="1032" spans="2:2" ht="12.45" customHeight="1" x14ac:dyDescent="0.35">
      <c r="B1032" s="185" t="s">
        <v>1201</v>
      </c>
    </row>
    <row r="1033" spans="2:2" ht="12.45" customHeight="1" x14ac:dyDescent="0.35">
      <c r="B1033" s="185" t="s">
        <v>1202</v>
      </c>
    </row>
    <row r="1034" spans="2:2" ht="12.45" customHeight="1" x14ac:dyDescent="0.35">
      <c r="B1034" s="185" t="s">
        <v>666</v>
      </c>
    </row>
    <row r="1035" spans="2:2" ht="12.45" customHeight="1" x14ac:dyDescent="0.35">
      <c r="B1035" s="185" t="s">
        <v>563</v>
      </c>
    </row>
    <row r="1036" spans="2:2" ht="12.45" customHeight="1" x14ac:dyDescent="0.35">
      <c r="B1036" s="185" t="s">
        <v>1241</v>
      </c>
    </row>
    <row r="1037" spans="2:2" ht="12.45" customHeight="1" x14ac:dyDescent="0.35">
      <c r="B1037" s="185" t="s">
        <v>933</v>
      </c>
    </row>
    <row r="1038" spans="2:2" ht="12.45" customHeight="1" x14ac:dyDescent="0.35">
      <c r="B1038" s="185" t="s">
        <v>992</v>
      </c>
    </row>
    <row r="1039" spans="2:2" ht="12.45" customHeight="1" x14ac:dyDescent="0.35">
      <c r="B1039" s="185" t="s">
        <v>635</v>
      </c>
    </row>
    <row r="1040" spans="2:2" ht="12.45" customHeight="1" x14ac:dyDescent="0.35">
      <c r="B1040" s="185" t="s">
        <v>1242</v>
      </c>
    </row>
    <row r="1041" spans="2:2" ht="12.45" customHeight="1" x14ac:dyDescent="0.35">
      <c r="B1041" s="185" t="s">
        <v>637</v>
      </c>
    </row>
    <row r="1042" spans="2:2" ht="12.45" customHeight="1" x14ac:dyDescent="0.35">
      <c r="B1042" s="185" t="s">
        <v>563</v>
      </c>
    </row>
    <row r="1043" spans="2:2" ht="12.45" customHeight="1" x14ac:dyDescent="0.35">
      <c r="B1043" s="185" t="s">
        <v>638</v>
      </c>
    </row>
    <row r="1044" spans="2:2" ht="12.45" customHeight="1" x14ac:dyDescent="0.35">
      <c r="B1044" s="185" t="s">
        <v>1081</v>
      </c>
    </row>
    <row r="1045" spans="2:2" ht="12.45" customHeight="1" x14ac:dyDescent="0.35">
      <c r="B1045" s="185" t="s">
        <v>620</v>
      </c>
    </row>
    <row r="1046" spans="2:2" ht="12.45" customHeight="1" x14ac:dyDescent="0.35">
      <c r="B1046" s="185" t="s">
        <v>563</v>
      </c>
    </row>
    <row r="1047" spans="2:2" ht="12.45" customHeight="1" x14ac:dyDescent="0.35">
      <c r="B1047" s="186" t="s">
        <v>564</v>
      </c>
    </row>
    <row r="1048" spans="2:2" ht="12.45" customHeight="1" x14ac:dyDescent="0.35">
      <c r="B1048" s="186" t="s">
        <v>1243</v>
      </c>
    </row>
    <row r="1049" spans="2:2" ht="12.45" customHeight="1" x14ac:dyDescent="0.35">
      <c r="B1049" s="186" t="s">
        <v>564</v>
      </c>
    </row>
    <row r="1050" spans="2:2" ht="12.45" customHeight="1" x14ac:dyDescent="0.35">
      <c r="B1050" s="185" t="s">
        <v>563</v>
      </c>
    </row>
    <row r="1051" spans="2:2" ht="12.45" customHeight="1" x14ac:dyDescent="0.35">
      <c r="B1051" s="185" t="s">
        <v>1244</v>
      </c>
    </row>
    <row r="1052" spans="2:2" ht="12.45" customHeight="1" x14ac:dyDescent="0.35">
      <c r="B1052" s="185" t="s">
        <v>1245</v>
      </c>
    </row>
    <row r="1053" spans="2:2" ht="12.45" customHeight="1" x14ac:dyDescent="0.35">
      <c r="B1053" s="185" t="s">
        <v>1246</v>
      </c>
    </row>
    <row r="1054" spans="2:2" ht="12.45" customHeight="1" x14ac:dyDescent="0.35">
      <c r="B1054" s="185" t="s">
        <v>620</v>
      </c>
    </row>
    <row r="1055" spans="2:2" ht="12.45" customHeight="1" x14ac:dyDescent="0.35">
      <c r="B1055" s="185" t="s">
        <v>563</v>
      </c>
    </row>
    <row r="1056" spans="2:2" ht="12.45" customHeight="1" x14ac:dyDescent="0.35">
      <c r="B1056" s="185" t="s">
        <v>1247</v>
      </c>
    </row>
    <row r="1057" spans="2:2" ht="12.45" customHeight="1" x14ac:dyDescent="0.35">
      <c r="B1057" s="185" t="s">
        <v>1248</v>
      </c>
    </row>
    <row r="1058" spans="2:2" ht="12.45" customHeight="1" x14ac:dyDescent="0.35">
      <c r="B1058" s="185" t="s">
        <v>1249</v>
      </c>
    </row>
    <row r="1059" spans="2:2" ht="12.45" customHeight="1" x14ac:dyDescent="0.35">
      <c r="B1059" s="185" t="s">
        <v>620</v>
      </c>
    </row>
    <row r="1060" spans="2:2" ht="12.45" customHeight="1" x14ac:dyDescent="0.35">
      <c r="B1060" s="185" t="s">
        <v>563</v>
      </c>
    </row>
    <row r="1061" spans="2:2" ht="12.45" customHeight="1" x14ac:dyDescent="0.35">
      <c r="B1061" s="185" t="s">
        <v>1250</v>
      </c>
    </row>
    <row r="1062" spans="2:2" ht="12.45" customHeight="1" x14ac:dyDescent="0.35">
      <c r="B1062" s="185" t="s">
        <v>1251</v>
      </c>
    </row>
    <row r="1063" spans="2:2" ht="12.45" customHeight="1" x14ac:dyDescent="0.35">
      <c r="B1063" s="185" t="s">
        <v>1252</v>
      </c>
    </row>
    <row r="1064" spans="2:2" ht="12.45" customHeight="1" x14ac:dyDescent="0.35">
      <c r="B1064" s="185" t="s">
        <v>620</v>
      </c>
    </row>
    <row r="1065" spans="2:2" ht="12.45" customHeight="1" x14ac:dyDescent="0.35">
      <c r="B1065" s="185" t="s">
        <v>563</v>
      </c>
    </row>
    <row r="1066" spans="2:2" ht="12.45" customHeight="1" x14ac:dyDescent="0.35">
      <c r="B1066" s="185" t="s">
        <v>1253</v>
      </c>
    </row>
    <row r="1067" spans="2:2" ht="12.45" customHeight="1" x14ac:dyDescent="0.35">
      <c r="B1067" s="185" t="s">
        <v>1254</v>
      </c>
    </row>
    <row r="1068" spans="2:2" ht="12.45" customHeight="1" x14ac:dyDescent="0.35">
      <c r="B1068" s="185" t="s">
        <v>1255</v>
      </c>
    </row>
    <row r="1069" spans="2:2" ht="12.45" customHeight="1" x14ac:dyDescent="0.35">
      <c r="B1069" s="185" t="s">
        <v>620</v>
      </c>
    </row>
    <row r="1070" spans="2:2" ht="10.050000000000001" customHeight="1"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ReadMe</vt:lpstr>
      <vt:lpstr>Database</vt:lpstr>
      <vt:lpstr>Assumptions</vt:lpstr>
      <vt:lpstr>Proyecciones</vt:lpstr>
      <vt:lpstr>Cuadro de mando del evento</vt:lpstr>
      <vt:lpstr>Cuadro de Mando Actualizado</vt:lpstr>
      <vt:lpstr>Código VBA</vt:lpstr>
      <vt:lpstr>AttendanceForecast</vt:lpstr>
      <vt:lpstr>AttendanceOptions</vt:lpstr>
      <vt:lpstr>AvgTicketPrice</vt:lpstr>
      <vt:lpstr>DietaryOptions</vt:lpstr>
      <vt:lpstr>MarketingCosts</vt:lpstr>
      <vt:lpstr>OperationalCosts</vt:lpstr>
      <vt:lpstr>SessionOptions</vt:lpstr>
      <vt:lpstr>T4_AttChanging</vt:lpstr>
      <vt:lpstr>T4_AttProfit</vt:lpstr>
      <vt:lpstr>T4_PriceChanging</vt:lpstr>
      <vt:lpstr>T4_PriceProfit</vt:lpstr>
      <vt:lpstr>T4_TargetCell</vt:lpstr>
      <vt:lpstr>T7_AttChanging</vt:lpstr>
      <vt:lpstr>T7_AttProfit</vt:lpstr>
      <vt:lpstr>T7_PriceChanging</vt:lpstr>
      <vt:lpstr>T7_PriceProfit</vt:lpstr>
      <vt:lpstr>T7_TargetCell</vt:lpstr>
      <vt:lpstr>TargetProfit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Lucas Barbuto</cp:lastModifiedBy>
  <dcterms:created xsi:type="dcterms:W3CDTF">2024-11-19T21:28:04Z</dcterms:created>
  <dcterms:modified xsi:type="dcterms:W3CDTF">2026-10-17T00:31:18Z</dcterms:modified>
</cp:coreProperties>
</file>