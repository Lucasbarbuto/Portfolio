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ucas\Documents\PARA - second brain\01 - PROJECTS\Certificado Profesional de Microsoft Excel\2 - Data Cleaning and Processing with Copilot in Excel\Archivos\"/>
    </mc:Choice>
  </mc:AlternateContent>
  <xr:revisionPtr revIDLastSave="0" documentId="8_{F65B80E8-3967-4CB7-ACD8-56C18EE18AFE}" xr6:coauthVersionLast="47" xr6:coauthVersionMax="47" xr10:uidLastSave="{00000000-0000-0000-0000-000000000000}"/>
  <bookViews>
    <workbookView xWindow="28680" yWindow="-120" windowWidth="29040" windowHeight="15720" xr2:uid="{00000000-000D-0000-FFFF-FFFF00000000}"/>
  </bookViews>
  <sheets>
    <sheet name="Dashboard" sheetId="9" r:id="rId1"/>
    <sheet name="Mobility sales data" sheetId="3" r:id="rId2"/>
    <sheet name="Lookups" sheetId="4" r:id="rId3"/>
    <sheet name="Sales Analysis" sheetId="5" r:id="rId4"/>
    <sheet name="Pivot Regions" sheetId="6" r:id="rId5"/>
    <sheet name="Pivot Time" sheetId="7" r:id="rId6"/>
    <sheet name="Pivot Reps &amp; Products" sheetId="8" r:id="rId7"/>
  </sheets>
  <definedNames>
    <definedName name="Slicer_Product_Type">#N/A</definedName>
    <definedName name="Slicer_Product_Type1">#N/A</definedName>
    <definedName name="Slicer_Quarter">#N/A</definedName>
    <definedName name="Slicer_Sales_Rep">#N/A</definedName>
  </definedNames>
  <calcPr calcId="191028"/>
  <pivotCaches>
    <pivotCache cacheId="11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3" roundtripDataChecksum="g6g1Wvb3By2mXyU8rgLWN5nOj7021ml1ndlUaqDWGSg="/>
    </ext>
  </extLst>
</workbook>
</file>

<file path=xl/calcChain.xml><?xml version="1.0" encoding="utf-8"?>
<calcChain xmlns="http://schemas.openxmlformats.org/spreadsheetml/2006/main">
  <c r="M50" i="9" l="1"/>
  <c r="J50" i="9"/>
  <c r="E51" i="9"/>
  <c r="G50" i="9"/>
  <c r="F50" i="9"/>
  <c r="B57" i="9"/>
  <c r="C56" i="9"/>
  <c r="B56" i="9"/>
  <c r="C55" i="9"/>
  <c r="C52" i="9"/>
  <c r="C50" i="9"/>
  <c r="L50" i="9"/>
  <c r="I50" i="9"/>
  <c r="E50" i="9"/>
  <c r="B50" i="9"/>
  <c r="F12" i="9"/>
  <c r="E12" i="9"/>
  <c r="D12" i="9"/>
  <c r="C12" i="9"/>
  <c r="F11" i="9"/>
  <c r="D11" i="9"/>
  <c r="E11" i="9" s="1"/>
  <c r="C11" i="9"/>
  <c r="F13" i="9"/>
  <c r="E13" i="9"/>
  <c r="D13" i="9"/>
  <c r="C13" i="9"/>
  <c r="F10" i="9"/>
  <c r="E10" i="9"/>
  <c r="D10" i="9"/>
  <c r="C10" i="9"/>
  <c r="H5" i="9"/>
  <c r="F5" i="9"/>
  <c r="D5" i="9"/>
  <c r="B5" i="9"/>
  <c r="F22" i="5"/>
  <c r="F21" i="5"/>
  <c r="F23" i="5"/>
  <c r="F20" i="5"/>
  <c r="E23" i="5"/>
  <c r="D23" i="5"/>
  <c r="C23" i="5"/>
  <c r="E22" i="5"/>
  <c r="D22" i="5"/>
  <c r="C22" i="5"/>
  <c r="B22" i="5"/>
  <c r="E21" i="5"/>
  <c r="D21" i="5"/>
  <c r="C21" i="5"/>
  <c r="B21" i="5"/>
  <c r="E20" i="5"/>
  <c r="D20" i="5"/>
  <c r="C20" i="5"/>
  <c r="A22" i="5"/>
  <c r="A21" i="5"/>
  <c r="F19" i="5"/>
  <c r="E19" i="5"/>
  <c r="D19" i="5"/>
  <c r="C19" i="5"/>
  <c r="B23" i="5"/>
  <c r="B20" i="5"/>
  <c r="A20" i="5"/>
  <c r="B19" i="5"/>
  <c r="F16" i="5"/>
  <c r="E16" i="5"/>
  <c r="D16" i="5"/>
  <c r="C16" i="5"/>
  <c r="F15" i="5"/>
  <c r="F14" i="5"/>
  <c r="E15" i="5"/>
  <c r="D15" i="5"/>
  <c r="C15" i="5"/>
  <c r="B15" i="5"/>
  <c r="E14" i="5"/>
  <c r="D14" i="5"/>
  <c r="C14" i="5"/>
  <c r="B14" i="5"/>
  <c r="B16" i="5" s="1"/>
  <c r="E13" i="5"/>
  <c r="D13" i="5"/>
  <c r="C13" i="5"/>
  <c r="F13" i="5"/>
  <c r="B13" i="5"/>
  <c r="D15" i="7"/>
  <c r="D14" i="7"/>
  <c r="D13" i="7"/>
  <c r="D12" i="7"/>
  <c r="D11" i="7"/>
  <c r="D10" i="7"/>
  <c r="D9" i="7"/>
  <c r="D8" i="7"/>
  <c r="D7" i="7"/>
  <c r="D6" i="7"/>
  <c r="D5" i="7"/>
  <c r="AI3" i="3"/>
  <c r="AI4" i="3"/>
  <c r="AI5" i="3"/>
  <c r="AI6" i="3"/>
  <c r="AI7" i="3"/>
  <c r="AI8" i="3"/>
  <c r="AI9" i="3"/>
  <c r="AI10" i="3"/>
  <c r="AI11" i="3"/>
  <c r="AI12" i="3"/>
  <c r="AI13" i="3"/>
  <c r="AI14" i="3"/>
  <c r="AI15" i="3"/>
  <c r="AI16" i="3"/>
  <c r="AI17" i="3"/>
  <c r="AI18" i="3"/>
  <c r="AI19" i="3"/>
  <c r="AI20" i="3"/>
  <c r="AI21" i="3"/>
  <c r="AI22" i="3"/>
  <c r="AI23" i="3"/>
  <c r="AI24" i="3"/>
  <c r="AI25" i="3"/>
  <c r="AI26" i="3"/>
  <c r="AI27" i="3"/>
  <c r="AI28" i="3"/>
  <c r="AI29" i="3"/>
  <c r="AI30" i="3"/>
  <c r="AI31" i="3"/>
  <c r="AI32" i="3"/>
  <c r="AI33" i="3"/>
  <c r="AI34" i="3"/>
  <c r="AI35" i="3"/>
  <c r="AI36" i="3"/>
  <c r="AI37" i="3"/>
  <c r="AI38" i="3"/>
  <c r="AI39" i="3"/>
  <c r="AI40" i="3"/>
  <c r="AI41" i="3"/>
  <c r="AI42" i="3"/>
  <c r="AI43" i="3"/>
  <c r="AI44" i="3"/>
  <c r="AI45" i="3"/>
  <c r="AI46" i="3"/>
  <c r="AI47" i="3"/>
  <c r="AI48" i="3"/>
  <c r="AI49" i="3"/>
  <c r="AI50" i="3"/>
  <c r="AI51" i="3"/>
  <c r="AI52" i="3"/>
  <c r="AI53" i="3"/>
  <c r="AI54" i="3"/>
  <c r="AI55" i="3"/>
  <c r="AI56" i="3"/>
  <c r="AI57" i="3"/>
  <c r="AI58" i="3"/>
  <c r="AI59" i="3"/>
  <c r="AI60" i="3"/>
  <c r="AI61" i="3"/>
  <c r="AI62" i="3"/>
  <c r="AI63" i="3"/>
  <c r="AI64" i="3"/>
  <c r="AI65" i="3"/>
  <c r="AI66" i="3"/>
  <c r="AI67" i="3"/>
  <c r="AI68" i="3"/>
  <c r="AI69" i="3"/>
  <c r="AI70" i="3"/>
  <c r="AI71" i="3"/>
  <c r="AI72" i="3"/>
  <c r="AI73" i="3"/>
  <c r="AI74" i="3"/>
  <c r="AI75" i="3"/>
  <c r="AI76" i="3"/>
  <c r="AI77" i="3"/>
  <c r="AI78" i="3"/>
  <c r="AI79" i="3"/>
  <c r="AI80" i="3"/>
  <c r="AI81" i="3"/>
  <c r="AI82" i="3"/>
  <c r="AI83" i="3"/>
  <c r="AI84" i="3"/>
  <c r="AI85" i="3"/>
  <c r="AI86" i="3"/>
  <c r="AI87" i="3"/>
  <c r="AI88" i="3"/>
  <c r="AI89" i="3"/>
  <c r="AI90" i="3"/>
  <c r="AI91" i="3"/>
  <c r="AI92" i="3"/>
  <c r="AI93" i="3"/>
  <c r="AI94" i="3"/>
  <c r="AI95" i="3"/>
  <c r="AI96" i="3"/>
  <c r="AI97" i="3"/>
  <c r="AI98" i="3"/>
  <c r="AI99" i="3"/>
  <c r="AI100" i="3"/>
  <c r="AI101" i="3"/>
  <c r="AI102" i="3"/>
  <c r="AI103" i="3"/>
  <c r="AI104" i="3"/>
  <c r="AI105" i="3"/>
  <c r="AI106" i="3"/>
  <c r="AI107" i="3"/>
  <c r="AI108" i="3"/>
  <c r="AI109" i="3"/>
  <c r="AI110" i="3"/>
  <c r="AI111" i="3"/>
  <c r="AI112" i="3"/>
  <c r="AI113" i="3"/>
  <c r="AI114" i="3"/>
  <c r="AI115" i="3"/>
  <c r="AI116" i="3"/>
  <c r="AI117" i="3"/>
  <c r="AI118" i="3"/>
  <c r="AI119" i="3"/>
  <c r="AI120" i="3"/>
  <c r="AI121" i="3"/>
  <c r="AI122" i="3"/>
  <c r="AI123" i="3"/>
  <c r="AI124" i="3"/>
  <c r="AI125" i="3"/>
  <c r="AI126" i="3"/>
  <c r="AI127" i="3"/>
  <c r="AI128" i="3"/>
  <c r="AI129" i="3"/>
  <c r="AI130" i="3"/>
  <c r="AI131" i="3"/>
  <c r="AI132" i="3"/>
  <c r="AI133" i="3"/>
  <c r="AI134" i="3"/>
  <c r="AI135" i="3"/>
  <c r="AI136" i="3"/>
  <c r="AI137" i="3"/>
  <c r="AI138" i="3"/>
  <c r="AI139" i="3"/>
  <c r="AI140" i="3"/>
  <c r="AI141" i="3"/>
  <c r="AI142" i="3"/>
  <c r="AI143" i="3"/>
  <c r="AI144" i="3"/>
  <c r="AI145" i="3"/>
  <c r="AI2" i="3"/>
  <c r="AC55" i="3"/>
  <c r="Z119" i="3"/>
  <c r="AC119" i="3" s="1"/>
  <c r="Z117" i="3"/>
  <c r="AC117" i="3" s="1"/>
  <c r="Z107" i="3"/>
  <c r="AC107" i="3" s="1"/>
  <c r="Z106" i="3"/>
  <c r="AC106" i="3" s="1"/>
  <c r="Z55" i="3"/>
  <c r="Z53" i="3"/>
  <c r="AC53" i="3" s="1"/>
  <c r="Z43" i="3"/>
  <c r="AC43" i="3" s="1"/>
  <c r="Z42" i="3"/>
  <c r="AC42" i="3" s="1"/>
  <c r="AA146" i="3"/>
  <c r="N6" i="8"/>
  <c r="M53" i="9" s="1"/>
  <c r="M6" i="8"/>
  <c r="L53" i="9" s="1"/>
  <c r="N5" i="8"/>
  <c r="M52" i="9" s="1"/>
  <c r="M5" i="8"/>
  <c r="L52" i="9" s="1"/>
  <c r="K7" i="8"/>
  <c r="J54" i="9" s="1"/>
  <c r="J7" i="8"/>
  <c r="I54" i="9" s="1"/>
  <c r="K6" i="8"/>
  <c r="J53" i="9" s="1"/>
  <c r="J6" i="8"/>
  <c r="I53" i="9" s="1"/>
  <c r="K5" i="8"/>
  <c r="J52" i="9" s="1"/>
  <c r="J5" i="8"/>
  <c r="I52" i="9" s="1"/>
  <c r="N4" i="8"/>
  <c r="M51" i="9" s="1"/>
  <c r="M4" i="8"/>
  <c r="L51" i="9" s="1"/>
  <c r="K4" i="8"/>
  <c r="J51" i="9" s="1"/>
  <c r="J4" i="8"/>
  <c r="I51" i="9" s="1"/>
  <c r="R7" i="7"/>
  <c r="G54" i="9" s="1"/>
  <c r="Q7" i="7"/>
  <c r="F54" i="9" s="1"/>
  <c r="P7" i="7"/>
  <c r="E54" i="9" s="1"/>
  <c r="R6" i="7"/>
  <c r="G53" i="9" s="1"/>
  <c r="Q6" i="7"/>
  <c r="F53" i="9" s="1"/>
  <c r="P6" i="7"/>
  <c r="E53" i="9" s="1"/>
  <c r="R5" i="7"/>
  <c r="G52" i="9" s="1"/>
  <c r="Q5" i="7"/>
  <c r="F52" i="9" s="1"/>
  <c r="P5" i="7"/>
  <c r="E52" i="9" s="1"/>
  <c r="N15" i="7"/>
  <c r="C62" i="9" s="1"/>
  <c r="M15" i="7"/>
  <c r="B62" i="9" s="1"/>
  <c r="N14" i="7"/>
  <c r="C61" i="9" s="1"/>
  <c r="M14" i="7"/>
  <c r="B61" i="9" s="1"/>
  <c r="N13" i="7"/>
  <c r="C60" i="9" s="1"/>
  <c r="M13" i="7"/>
  <c r="B60" i="9" s="1"/>
  <c r="N12" i="7"/>
  <c r="C59" i="9" s="1"/>
  <c r="M12" i="7"/>
  <c r="B59" i="9" s="1"/>
  <c r="N11" i="7"/>
  <c r="C58" i="9" s="1"/>
  <c r="M11" i="7"/>
  <c r="B58" i="9" s="1"/>
  <c r="N10" i="7"/>
  <c r="C57" i="9" s="1"/>
  <c r="M10" i="7"/>
  <c r="N9" i="7"/>
  <c r="M9" i="7"/>
  <c r="N8" i="7"/>
  <c r="M8" i="7"/>
  <c r="B55" i="9" s="1"/>
  <c r="N7" i="7"/>
  <c r="C54" i="9" s="1"/>
  <c r="M7" i="7"/>
  <c r="B54" i="9" s="1"/>
  <c r="N6" i="7"/>
  <c r="C53" i="9" s="1"/>
  <c r="M6" i="7"/>
  <c r="B53" i="9" s="1"/>
  <c r="N5" i="7"/>
  <c r="M5" i="7"/>
  <c r="B52" i="9" s="1"/>
  <c r="R4" i="7"/>
  <c r="G51" i="9" s="1"/>
  <c r="Q4" i="7"/>
  <c r="F51" i="9" s="1"/>
  <c r="P4" i="7"/>
  <c r="N4" i="7"/>
  <c r="C51" i="9" s="1"/>
  <c r="M4" i="7"/>
  <c r="B51" i="9" s="1"/>
  <c r="D8" i="8"/>
  <c r="D7" i="8"/>
  <c r="D6" i="8"/>
  <c r="D5" i="8"/>
  <c r="B13" i="8"/>
  <c r="C13" i="8" s="1"/>
  <c r="B12" i="8"/>
  <c r="C12" i="8" s="1"/>
  <c r="B11" i="8"/>
  <c r="D4" i="8"/>
  <c r="E10" i="6"/>
  <c r="D10" i="6"/>
  <c r="E9" i="6"/>
  <c r="D9" i="6"/>
  <c r="E8" i="6"/>
  <c r="D8" i="6"/>
  <c r="E7" i="6"/>
  <c r="D7" i="6"/>
  <c r="E6" i="6"/>
  <c r="D6" i="6"/>
  <c r="E5" i="6"/>
  <c r="D5" i="6"/>
  <c r="E4" i="6"/>
  <c r="D4" i="6"/>
  <c r="AG145" i="3"/>
  <c r="AE145" i="3"/>
  <c r="AF145" i="3" s="1"/>
  <c r="AG144" i="3"/>
  <c r="AE144" i="3"/>
  <c r="AF144" i="3" s="1"/>
  <c r="AG143" i="3"/>
  <c r="AE143" i="3"/>
  <c r="AF143" i="3" s="1"/>
  <c r="AG142" i="3"/>
  <c r="AE142" i="3"/>
  <c r="AF142" i="3" s="1"/>
  <c r="AG141" i="3"/>
  <c r="AE141" i="3"/>
  <c r="AF141" i="3" s="1"/>
  <c r="AG140" i="3"/>
  <c r="AE140" i="3"/>
  <c r="AF140" i="3" s="1"/>
  <c r="AG139" i="3"/>
  <c r="AE139" i="3"/>
  <c r="AF139" i="3" s="1"/>
  <c r="AG138" i="3"/>
  <c r="AE138" i="3"/>
  <c r="AF138" i="3" s="1"/>
  <c r="AG137" i="3"/>
  <c r="AE137" i="3"/>
  <c r="AF137" i="3" s="1"/>
  <c r="AG136" i="3"/>
  <c r="AE136" i="3"/>
  <c r="AF136" i="3" s="1"/>
  <c r="AG135" i="3"/>
  <c r="AE135" i="3"/>
  <c r="AF135" i="3" s="1"/>
  <c r="AG134" i="3"/>
  <c r="AE134" i="3"/>
  <c r="AF134" i="3" s="1"/>
  <c r="AG133" i="3"/>
  <c r="AE133" i="3"/>
  <c r="AF133" i="3" s="1"/>
  <c r="AG132" i="3"/>
  <c r="AE132" i="3"/>
  <c r="AF132" i="3" s="1"/>
  <c r="AG131" i="3"/>
  <c r="AE131" i="3"/>
  <c r="AF131" i="3" s="1"/>
  <c r="AG130" i="3"/>
  <c r="AE130" i="3"/>
  <c r="AF130" i="3" s="1"/>
  <c r="AG129" i="3"/>
  <c r="AE129" i="3"/>
  <c r="AF129" i="3" s="1"/>
  <c r="AG128" i="3"/>
  <c r="AE128" i="3"/>
  <c r="AF128" i="3" s="1"/>
  <c r="AG127" i="3"/>
  <c r="AE127" i="3"/>
  <c r="AF127" i="3" s="1"/>
  <c r="AG126" i="3"/>
  <c r="AE126" i="3"/>
  <c r="AF126" i="3" s="1"/>
  <c r="AG125" i="3"/>
  <c r="AE125" i="3"/>
  <c r="AF125" i="3" s="1"/>
  <c r="AG124" i="3"/>
  <c r="AE124" i="3"/>
  <c r="AF124" i="3" s="1"/>
  <c r="AG123" i="3"/>
  <c r="AE123" i="3"/>
  <c r="AF123" i="3" s="1"/>
  <c r="AG122" i="3"/>
  <c r="AE122" i="3"/>
  <c r="AF122" i="3" s="1"/>
  <c r="AG121" i="3"/>
  <c r="AE121" i="3"/>
  <c r="AF121" i="3" s="1"/>
  <c r="AG120" i="3"/>
  <c r="AE120" i="3"/>
  <c r="AF120" i="3" s="1"/>
  <c r="AG119" i="3"/>
  <c r="AE119" i="3"/>
  <c r="AF119" i="3" s="1"/>
  <c r="AG118" i="3"/>
  <c r="AE118" i="3"/>
  <c r="AF118" i="3" s="1"/>
  <c r="AG117" i="3"/>
  <c r="AE117" i="3"/>
  <c r="AF117" i="3" s="1"/>
  <c r="AG116" i="3"/>
  <c r="AE116" i="3"/>
  <c r="AF116" i="3" s="1"/>
  <c r="AG115" i="3"/>
  <c r="AE115" i="3"/>
  <c r="AF115" i="3" s="1"/>
  <c r="AG114" i="3"/>
  <c r="AE114" i="3"/>
  <c r="AF114" i="3" s="1"/>
  <c r="AG113" i="3"/>
  <c r="AF113" i="3"/>
  <c r="AE113" i="3"/>
  <c r="AG112" i="3"/>
  <c r="AE112" i="3"/>
  <c r="AF112" i="3" s="1"/>
  <c r="AG111" i="3"/>
  <c r="AE111" i="3"/>
  <c r="AF111" i="3" s="1"/>
  <c r="AG110" i="3"/>
  <c r="AE110" i="3"/>
  <c r="AF110" i="3" s="1"/>
  <c r="AG109" i="3"/>
  <c r="AE109" i="3"/>
  <c r="AF109" i="3" s="1"/>
  <c r="AG108" i="3"/>
  <c r="AE108" i="3"/>
  <c r="AF108" i="3" s="1"/>
  <c r="AG107" i="3"/>
  <c r="AE107" i="3"/>
  <c r="AF107" i="3" s="1"/>
  <c r="AG106" i="3"/>
  <c r="AE106" i="3"/>
  <c r="AF106" i="3" s="1"/>
  <c r="AG105" i="3"/>
  <c r="AE105" i="3"/>
  <c r="AF105" i="3" s="1"/>
  <c r="AG104" i="3"/>
  <c r="AE104" i="3"/>
  <c r="AF104" i="3" s="1"/>
  <c r="AG103" i="3"/>
  <c r="AE103" i="3"/>
  <c r="AF103" i="3" s="1"/>
  <c r="AG102" i="3"/>
  <c r="AE102" i="3"/>
  <c r="AF102" i="3" s="1"/>
  <c r="AG101" i="3"/>
  <c r="AE101" i="3"/>
  <c r="AF101" i="3" s="1"/>
  <c r="AG100" i="3"/>
  <c r="AE100" i="3"/>
  <c r="AF100" i="3" s="1"/>
  <c r="AG99" i="3"/>
  <c r="AE99" i="3"/>
  <c r="AF99" i="3" s="1"/>
  <c r="AG98" i="3"/>
  <c r="AE98" i="3"/>
  <c r="AF98" i="3" s="1"/>
  <c r="AG97" i="3"/>
  <c r="AE97" i="3"/>
  <c r="AF97" i="3" s="1"/>
  <c r="AG96" i="3"/>
  <c r="AE96" i="3"/>
  <c r="AF96" i="3" s="1"/>
  <c r="AG95" i="3"/>
  <c r="AE95" i="3"/>
  <c r="AF95" i="3" s="1"/>
  <c r="AG94" i="3"/>
  <c r="AE94" i="3"/>
  <c r="AF94" i="3" s="1"/>
  <c r="AG93" i="3"/>
  <c r="AE93" i="3"/>
  <c r="AF93" i="3" s="1"/>
  <c r="AG92" i="3"/>
  <c r="AE92" i="3"/>
  <c r="AF92" i="3" s="1"/>
  <c r="AG91" i="3"/>
  <c r="AE91" i="3"/>
  <c r="AF91" i="3" s="1"/>
  <c r="AG90" i="3"/>
  <c r="AE90" i="3"/>
  <c r="AF90" i="3" s="1"/>
  <c r="AG89" i="3"/>
  <c r="AE89" i="3"/>
  <c r="AF89" i="3" s="1"/>
  <c r="AG88" i="3"/>
  <c r="AE88" i="3"/>
  <c r="AF88" i="3" s="1"/>
  <c r="AG87" i="3"/>
  <c r="AE87" i="3"/>
  <c r="AF87" i="3" s="1"/>
  <c r="AG86" i="3"/>
  <c r="AE86" i="3"/>
  <c r="AF86" i="3" s="1"/>
  <c r="AG85" i="3"/>
  <c r="AE85" i="3"/>
  <c r="AF85" i="3" s="1"/>
  <c r="AG84" i="3"/>
  <c r="AE84" i="3"/>
  <c r="AF84" i="3" s="1"/>
  <c r="AG83" i="3"/>
  <c r="AE83" i="3"/>
  <c r="AF83" i="3" s="1"/>
  <c r="AG82" i="3"/>
  <c r="AE82" i="3"/>
  <c r="AF82" i="3" s="1"/>
  <c r="AG81" i="3"/>
  <c r="AE81" i="3"/>
  <c r="AF81" i="3" s="1"/>
  <c r="AG80" i="3"/>
  <c r="AE80" i="3"/>
  <c r="AF80" i="3" s="1"/>
  <c r="AG79" i="3"/>
  <c r="AE79" i="3"/>
  <c r="AF79" i="3" s="1"/>
  <c r="AG78" i="3"/>
  <c r="AE78" i="3"/>
  <c r="AF78" i="3" s="1"/>
  <c r="AG77" i="3"/>
  <c r="AE77" i="3"/>
  <c r="AF77" i="3" s="1"/>
  <c r="AG76" i="3"/>
  <c r="AE76" i="3"/>
  <c r="AF76" i="3" s="1"/>
  <c r="AG75" i="3"/>
  <c r="AE75" i="3"/>
  <c r="AF75" i="3" s="1"/>
  <c r="AG74" i="3"/>
  <c r="AE74" i="3"/>
  <c r="AF74" i="3" s="1"/>
  <c r="AG73" i="3"/>
  <c r="AE73" i="3"/>
  <c r="AF73" i="3" s="1"/>
  <c r="AG72" i="3"/>
  <c r="AE72" i="3"/>
  <c r="AF72" i="3" s="1"/>
  <c r="AG71" i="3"/>
  <c r="AE71" i="3"/>
  <c r="AF71" i="3" s="1"/>
  <c r="AG70" i="3"/>
  <c r="AE70" i="3"/>
  <c r="AF70" i="3" s="1"/>
  <c r="AG69" i="3"/>
  <c r="AE69" i="3"/>
  <c r="AF69" i="3" s="1"/>
  <c r="AG68" i="3"/>
  <c r="AE68" i="3"/>
  <c r="AF68" i="3" s="1"/>
  <c r="AG67" i="3"/>
  <c r="AE67" i="3"/>
  <c r="AF67" i="3" s="1"/>
  <c r="AG66" i="3"/>
  <c r="AE66" i="3"/>
  <c r="AF66" i="3" s="1"/>
  <c r="AG65" i="3"/>
  <c r="AE65" i="3"/>
  <c r="AF65" i="3" s="1"/>
  <c r="AG64" i="3"/>
  <c r="AE64" i="3"/>
  <c r="AF64" i="3" s="1"/>
  <c r="AG63" i="3"/>
  <c r="AE63" i="3"/>
  <c r="AF63" i="3" s="1"/>
  <c r="AG62" i="3"/>
  <c r="AE62" i="3"/>
  <c r="AF62" i="3" s="1"/>
  <c r="AG61" i="3"/>
  <c r="AE61" i="3"/>
  <c r="AF61" i="3" s="1"/>
  <c r="AG60" i="3"/>
  <c r="AE60" i="3"/>
  <c r="AF60" i="3" s="1"/>
  <c r="AG59" i="3"/>
  <c r="AE59" i="3"/>
  <c r="AF59" i="3" s="1"/>
  <c r="AG58" i="3"/>
  <c r="AE58" i="3"/>
  <c r="AF58" i="3" s="1"/>
  <c r="AG57" i="3"/>
  <c r="AE57" i="3"/>
  <c r="AF57" i="3" s="1"/>
  <c r="AG56" i="3"/>
  <c r="AE56" i="3"/>
  <c r="AF56" i="3" s="1"/>
  <c r="AG55" i="3"/>
  <c r="AE55" i="3"/>
  <c r="AF55" i="3" s="1"/>
  <c r="AG54" i="3"/>
  <c r="AE54" i="3"/>
  <c r="AF54" i="3" s="1"/>
  <c r="AG53" i="3"/>
  <c r="AE53" i="3"/>
  <c r="AF53" i="3" s="1"/>
  <c r="AG52" i="3"/>
  <c r="AE52" i="3"/>
  <c r="AF52" i="3" s="1"/>
  <c r="AG51" i="3"/>
  <c r="AE51" i="3"/>
  <c r="AF51" i="3" s="1"/>
  <c r="AG50" i="3"/>
  <c r="AE50" i="3"/>
  <c r="AF50" i="3" s="1"/>
  <c r="AG49" i="3"/>
  <c r="AE49" i="3"/>
  <c r="AF49" i="3" s="1"/>
  <c r="AG48" i="3"/>
  <c r="AE48" i="3"/>
  <c r="AF48" i="3" s="1"/>
  <c r="AG47" i="3"/>
  <c r="AE47" i="3"/>
  <c r="AF47" i="3" s="1"/>
  <c r="AG46" i="3"/>
  <c r="AE46" i="3"/>
  <c r="AF46" i="3" s="1"/>
  <c r="AG45" i="3"/>
  <c r="AE45" i="3"/>
  <c r="AF45" i="3" s="1"/>
  <c r="AG44" i="3"/>
  <c r="AE44" i="3"/>
  <c r="AF44" i="3" s="1"/>
  <c r="AG43" i="3"/>
  <c r="AE43" i="3"/>
  <c r="AF43" i="3" s="1"/>
  <c r="AG42" i="3"/>
  <c r="AE42" i="3"/>
  <c r="AF42" i="3" s="1"/>
  <c r="AG41" i="3"/>
  <c r="AE41" i="3"/>
  <c r="AF41" i="3" s="1"/>
  <c r="AG40" i="3"/>
  <c r="AE40" i="3"/>
  <c r="AF40" i="3" s="1"/>
  <c r="AG39" i="3"/>
  <c r="AE39" i="3"/>
  <c r="AF39" i="3" s="1"/>
  <c r="AG38" i="3"/>
  <c r="AE38" i="3"/>
  <c r="AF38" i="3" s="1"/>
  <c r="AG37" i="3"/>
  <c r="AE37" i="3"/>
  <c r="AF37" i="3" s="1"/>
  <c r="AG36" i="3"/>
  <c r="AE36" i="3"/>
  <c r="AF36" i="3" s="1"/>
  <c r="AG35" i="3"/>
  <c r="AE35" i="3"/>
  <c r="AF35" i="3" s="1"/>
  <c r="AG34" i="3"/>
  <c r="AE34" i="3"/>
  <c r="AF34" i="3" s="1"/>
  <c r="AG33" i="3"/>
  <c r="AE33" i="3"/>
  <c r="AF33" i="3" s="1"/>
  <c r="AG32" i="3"/>
  <c r="AE32" i="3"/>
  <c r="AF32" i="3" s="1"/>
  <c r="AG31" i="3"/>
  <c r="AE31" i="3"/>
  <c r="AF31" i="3" s="1"/>
  <c r="AG30" i="3"/>
  <c r="AE30" i="3"/>
  <c r="AF30" i="3" s="1"/>
  <c r="AG29" i="3"/>
  <c r="AE29" i="3"/>
  <c r="AF29" i="3" s="1"/>
  <c r="AG28" i="3"/>
  <c r="AE28" i="3"/>
  <c r="AF28" i="3" s="1"/>
  <c r="AG27" i="3"/>
  <c r="AE27" i="3"/>
  <c r="AF27" i="3" s="1"/>
  <c r="AG26" i="3"/>
  <c r="AE26" i="3"/>
  <c r="AF26" i="3" s="1"/>
  <c r="AG25" i="3"/>
  <c r="AE25" i="3"/>
  <c r="AF25" i="3" s="1"/>
  <c r="AG24" i="3"/>
  <c r="AE24" i="3"/>
  <c r="AF24" i="3" s="1"/>
  <c r="AG23" i="3"/>
  <c r="AE23" i="3"/>
  <c r="AF23" i="3" s="1"/>
  <c r="AG22" i="3"/>
  <c r="AE22" i="3"/>
  <c r="AF22" i="3" s="1"/>
  <c r="AG21" i="3"/>
  <c r="AE21" i="3"/>
  <c r="AF21" i="3" s="1"/>
  <c r="AG20" i="3"/>
  <c r="AE20" i="3"/>
  <c r="AF20" i="3" s="1"/>
  <c r="AG19" i="3"/>
  <c r="AE19" i="3"/>
  <c r="AF19" i="3" s="1"/>
  <c r="AG18" i="3"/>
  <c r="AE18" i="3"/>
  <c r="AF18" i="3" s="1"/>
  <c r="AG17" i="3"/>
  <c r="AE17" i="3"/>
  <c r="AF17" i="3" s="1"/>
  <c r="AG16" i="3"/>
  <c r="AE16" i="3"/>
  <c r="AF16" i="3" s="1"/>
  <c r="AG15" i="3"/>
  <c r="AE15" i="3"/>
  <c r="AF15" i="3" s="1"/>
  <c r="AG14" i="3"/>
  <c r="AE14" i="3"/>
  <c r="AF14" i="3" s="1"/>
  <c r="AG13" i="3"/>
  <c r="AE13" i="3"/>
  <c r="AF13" i="3" s="1"/>
  <c r="AG12" i="3"/>
  <c r="AE12" i="3"/>
  <c r="AF12" i="3" s="1"/>
  <c r="AG11" i="3"/>
  <c r="AE11" i="3"/>
  <c r="AF11" i="3" s="1"/>
  <c r="AG10" i="3"/>
  <c r="AE10" i="3"/>
  <c r="AF10" i="3" s="1"/>
  <c r="AG9" i="3"/>
  <c r="AE9" i="3"/>
  <c r="AF9" i="3" s="1"/>
  <c r="AG8" i="3"/>
  <c r="AE8" i="3"/>
  <c r="AF8" i="3" s="1"/>
  <c r="AG7" i="3"/>
  <c r="AE7" i="3"/>
  <c r="AF7" i="3" s="1"/>
  <c r="AG6" i="3"/>
  <c r="AE6" i="3"/>
  <c r="AF6" i="3" s="1"/>
  <c r="AG5" i="3"/>
  <c r="AE5" i="3"/>
  <c r="AF5" i="3" s="1"/>
  <c r="AG4" i="3"/>
  <c r="AE4" i="3"/>
  <c r="AF4" i="3" s="1"/>
  <c r="AG3" i="3"/>
  <c r="AE3" i="3"/>
  <c r="AF3" i="3" s="1"/>
  <c r="AG2" i="3"/>
  <c r="AE2" i="3"/>
  <c r="AF2" i="3" s="1"/>
  <c r="D145" i="3"/>
  <c r="D144" i="3"/>
  <c r="D143" i="3"/>
  <c r="D142" i="3"/>
  <c r="D141" i="3"/>
  <c r="D140" i="3"/>
  <c r="D139" i="3"/>
  <c r="D138" i="3"/>
  <c r="D137" i="3"/>
  <c r="D136" i="3"/>
  <c r="D135" i="3"/>
  <c r="D134" i="3"/>
  <c r="D133" i="3"/>
  <c r="D132" i="3"/>
  <c r="D131" i="3"/>
  <c r="D130" i="3"/>
  <c r="D129" i="3"/>
  <c r="D128" i="3"/>
  <c r="D127" i="3"/>
  <c r="D126" i="3"/>
  <c r="D125" i="3"/>
  <c r="D124" i="3"/>
  <c r="D123" i="3"/>
  <c r="D122" i="3"/>
  <c r="D121" i="3"/>
  <c r="D120" i="3"/>
  <c r="D119" i="3"/>
  <c r="D118" i="3"/>
  <c r="D117" i="3"/>
  <c r="D116" i="3"/>
  <c r="D115" i="3"/>
  <c r="D114" i="3"/>
  <c r="D113" i="3"/>
  <c r="D112" i="3"/>
  <c r="D111" i="3"/>
  <c r="D110" i="3"/>
  <c r="D109" i="3"/>
  <c r="D108" i="3"/>
  <c r="D107" i="3"/>
  <c r="D106" i="3"/>
  <c r="D105" i="3"/>
  <c r="D104" i="3"/>
  <c r="D103" i="3"/>
  <c r="D102" i="3"/>
  <c r="D101" i="3"/>
  <c r="D100" i="3"/>
  <c r="D99" i="3"/>
  <c r="D98" i="3"/>
  <c r="D97" i="3"/>
  <c r="D96" i="3"/>
  <c r="D95" i="3"/>
  <c r="D94" i="3"/>
  <c r="D93" i="3"/>
  <c r="D92" i="3"/>
  <c r="D91" i="3"/>
  <c r="D90" i="3"/>
  <c r="D89" i="3"/>
  <c r="D88" i="3"/>
  <c r="D87" i="3"/>
  <c r="D86" i="3"/>
  <c r="D85" i="3"/>
  <c r="D84" i="3"/>
  <c r="D83" i="3"/>
  <c r="D82" i="3"/>
  <c r="D81" i="3"/>
  <c r="D80" i="3"/>
  <c r="D79" i="3"/>
  <c r="D78" i="3"/>
  <c r="D77" i="3"/>
  <c r="D76" i="3"/>
  <c r="D75" i="3"/>
  <c r="D74" i="3"/>
  <c r="D73" i="3"/>
  <c r="D72" i="3"/>
  <c r="D71" i="3"/>
  <c r="D70" i="3"/>
  <c r="D69" i="3"/>
  <c r="D68" i="3"/>
  <c r="D67" i="3"/>
  <c r="D66" i="3"/>
  <c r="D65" i="3"/>
  <c r="D64" i="3"/>
  <c r="D63" i="3"/>
  <c r="D62" i="3"/>
  <c r="D61" i="3"/>
  <c r="D60" i="3"/>
  <c r="D59" i="3"/>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 r="N145" i="3"/>
  <c r="L145" i="3"/>
  <c r="N144" i="3"/>
  <c r="L144" i="3"/>
  <c r="N143" i="3"/>
  <c r="L143" i="3"/>
  <c r="N142" i="3"/>
  <c r="L142" i="3"/>
  <c r="N141" i="3"/>
  <c r="L141" i="3"/>
  <c r="N140" i="3"/>
  <c r="L140" i="3"/>
  <c r="N139" i="3"/>
  <c r="L139" i="3"/>
  <c r="N138" i="3"/>
  <c r="L138" i="3"/>
  <c r="N137" i="3"/>
  <c r="L137" i="3"/>
  <c r="N136" i="3"/>
  <c r="L136" i="3"/>
  <c r="N135" i="3"/>
  <c r="L135" i="3"/>
  <c r="N134" i="3"/>
  <c r="L134" i="3"/>
  <c r="N133" i="3"/>
  <c r="L133" i="3"/>
  <c r="N132" i="3"/>
  <c r="L132" i="3"/>
  <c r="N131" i="3"/>
  <c r="L131" i="3"/>
  <c r="N130" i="3"/>
  <c r="L130" i="3"/>
  <c r="N129" i="3"/>
  <c r="L129" i="3"/>
  <c r="N128" i="3"/>
  <c r="L128" i="3"/>
  <c r="N127" i="3"/>
  <c r="L127" i="3"/>
  <c r="N126" i="3"/>
  <c r="L126" i="3"/>
  <c r="N125" i="3"/>
  <c r="L125" i="3"/>
  <c r="N124" i="3"/>
  <c r="L124" i="3"/>
  <c r="N123" i="3"/>
  <c r="L123" i="3"/>
  <c r="N122" i="3"/>
  <c r="L122" i="3"/>
  <c r="N121" i="3"/>
  <c r="L121" i="3"/>
  <c r="N120" i="3"/>
  <c r="L120" i="3"/>
  <c r="N119" i="3"/>
  <c r="L119" i="3"/>
  <c r="N118" i="3"/>
  <c r="L118" i="3"/>
  <c r="N117" i="3"/>
  <c r="L117" i="3"/>
  <c r="N116" i="3"/>
  <c r="L116" i="3"/>
  <c r="N115" i="3"/>
  <c r="L115" i="3"/>
  <c r="N114" i="3"/>
  <c r="L114" i="3"/>
  <c r="N113" i="3"/>
  <c r="L113" i="3"/>
  <c r="N112" i="3"/>
  <c r="L112" i="3"/>
  <c r="N111" i="3"/>
  <c r="L111" i="3"/>
  <c r="N110" i="3"/>
  <c r="L110" i="3"/>
  <c r="N109" i="3"/>
  <c r="L109" i="3"/>
  <c r="N108" i="3"/>
  <c r="L108" i="3"/>
  <c r="N107" i="3"/>
  <c r="L107" i="3"/>
  <c r="N106" i="3"/>
  <c r="L106" i="3"/>
  <c r="N105" i="3"/>
  <c r="L105" i="3"/>
  <c r="N104" i="3"/>
  <c r="L104" i="3"/>
  <c r="N103" i="3"/>
  <c r="L103" i="3"/>
  <c r="N102" i="3"/>
  <c r="L102" i="3"/>
  <c r="N101" i="3"/>
  <c r="L101" i="3"/>
  <c r="N100" i="3"/>
  <c r="L100" i="3"/>
  <c r="N99" i="3"/>
  <c r="L99" i="3"/>
  <c r="N98" i="3"/>
  <c r="L98" i="3"/>
  <c r="N97" i="3"/>
  <c r="L97" i="3"/>
  <c r="N96" i="3"/>
  <c r="L96" i="3"/>
  <c r="N95" i="3"/>
  <c r="L95" i="3"/>
  <c r="N94" i="3"/>
  <c r="L94" i="3"/>
  <c r="N93" i="3"/>
  <c r="L93" i="3"/>
  <c r="N92" i="3"/>
  <c r="L92" i="3"/>
  <c r="N91" i="3"/>
  <c r="L91" i="3"/>
  <c r="N90" i="3"/>
  <c r="L90" i="3"/>
  <c r="N89" i="3"/>
  <c r="L89" i="3"/>
  <c r="N88" i="3"/>
  <c r="L88" i="3"/>
  <c r="N87" i="3"/>
  <c r="L87" i="3"/>
  <c r="N86" i="3"/>
  <c r="L86" i="3"/>
  <c r="N85" i="3"/>
  <c r="L85" i="3"/>
  <c r="N84" i="3"/>
  <c r="L84" i="3"/>
  <c r="N83" i="3"/>
  <c r="L83" i="3"/>
  <c r="N82" i="3"/>
  <c r="L82" i="3"/>
  <c r="N81" i="3"/>
  <c r="L81" i="3"/>
  <c r="N80" i="3"/>
  <c r="L80" i="3"/>
  <c r="N79" i="3"/>
  <c r="L79" i="3"/>
  <c r="N78" i="3"/>
  <c r="L78" i="3"/>
  <c r="N77" i="3"/>
  <c r="L77" i="3"/>
  <c r="N76" i="3"/>
  <c r="L76" i="3"/>
  <c r="N75" i="3"/>
  <c r="L75" i="3"/>
  <c r="N74" i="3"/>
  <c r="L74" i="3"/>
  <c r="N73" i="3"/>
  <c r="L73" i="3"/>
  <c r="N72" i="3"/>
  <c r="L72" i="3"/>
  <c r="N71" i="3"/>
  <c r="L71" i="3"/>
  <c r="N70" i="3"/>
  <c r="L70" i="3"/>
  <c r="N69" i="3"/>
  <c r="L69" i="3"/>
  <c r="N68" i="3"/>
  <c r="L68" i="3"/>
  <c r="N67" i="3"/>
  <c r="L67" i="3"/>
  <c r="N66" i="3"/>
  <c r="L66" i="3"/>
  <c r="N65" i="3"/>
  <c r="L65" i="3"/>
  <c r="N64" i="3"/>
  <c r="L64" i="3"/>
  <c r="N63" i="3"/>
  <c r="L63" i="3"/>
  <c r="N62" i="3"/>
  <c r="L62" i="3"/>
  <c r="N61" i="3"/>
  <c r="L61" i="3"/>
  <c r="N60" i="3"/>
  <c r="L60" i="3"/>
  <c r="N59" i="3"/>
  <c r="L59" i="3"/>
  <c r="N58" i="3"/>
  <c r="L58" i="3"/>
  <c r="N57" i="3"/>
  <c r="L57" i="3"/>
  <c r="N56" i="3"/>
  <c r="L56" i="3"/>
  <c r="N55" i="3"/>
  <c r="L55" i="3"/>
  <c r="N54" i="3"/>
  <c r="L54" i="3"/>
  <c r="N53" i="3"/>
  <c r="L53" i="3"/>
  <c r="N52" i="3"/>
  <c r="L52" i="3"/>
  <c r="N51" i="3"/>
  <c r="L51" i="3"/>
  <c r="N50" i="3"/>
  <c r="L50" i="3"/>
  <c r="N49" i="3"/>
  <c r="L49" i="3"/>
  <c r="N48" i="3"/>
  <c r="L48" i="3"/>
  <c r="N47" i="3"/>
  <c r="L47" i="3"/>
  <c r="N46" i="3"/>
  <c r="L46" i="3"/>
  <c r="N45" i="3"/>
  <c r="L45" i="3"/>
  <c r="N44" i="3"/>
  <c r="L44" i="3"/>
  <c r="N43" i="3"/>
  <c r="L43" i="3"/>
  <c r="N42" i="3"/>
  <c r="L42" i="3"/>
  <c r="N41" i="3"/>
  <c r="L41" i="3"/>
  <c r="N40" i="3"/>
  <c r="L40" i="3"/>
  <c r="N39" i="3"/>
  <c r="L39" i="3"/>
  <c r="N38" i="3"/>
  <c r="L38" i="3"/>
  <c r="N37" i="3"/>
  <c r="L37" i="3"/>
  <c r="N36" i="3"/>
  <c r="L36" i="3"/>
  <c r="N35" i="3"/>
  <c r="L35" i="3"/>
  <c r="N34" i="3"/>
  <c r="L34" i="3"/>
  <c r="N33" i="3"/>
  <c r="L33" i="3"/>
  <c r="N32" i="3"/>
  <c r="L32" i="3"/>
  <c r="N31" i="3"/>
  <c r="L31" i="3"/>
  <c r="N30" i="3"/>
  <c r="L30" i="3"/>
  <c r="N29" i="3"/>
  <c r="L29" i="3"/>
  <c r="N28" i="3"/>
  <c r="L28" i="3"/>
  <c r="N27" i="3"/>
  <c r="L27" i="3"/>
  <c r="N26" i="3"/>
  <c r="L26" i="3"/>
  <c r="N25" i="3"/>
  <c r="L25" i="3"/>
  <c r="N24" i="3"/>
  <c r="L24" i="3"/>
  <c r="N23" i="3"/>
  <c r="L23" i="3"/>
  <c r="N22" i="3"/>
  <c r="L22" i="3"/>
  <c r="N21" i="3"/>
  <c r="L21" i="3"/>
  <c r="N20" i="3"/>
  <c r="L20" i="3"/>
  <c r="N19" i="3"/>
  <c r="L19" i="3"/>
  <c r="N18" i="3"/>
  <c r="L18" i="3"/>
  <c r="N17" i="3"/>
  <c r="L17" i="3"/>
  <c r="N16" i="3"/>
  <c r="L16" i="3"/>
  <c r="N15" i="3"/>
  <c r="L15" i="3"/>
  <c r="N14" i="3"/>
  <c r="L14" i="3"/>
  <c r="N13" i="3"/>
  <c r="L13" i="3"/>
  <c r="N12" i="3"/>
  <c r="L12" i="3"/>
  <c r="N11" i="3"/>
  <c r="L11" i="3"/>
  <c r="N10" i="3"/>
  <c r="L10" i="3"/>
  <c r="N9" i="3"/>
  <c r="L9" i="3"/>
  <c r="N8" i="3"/>
  <c r="L8" i="3"/>
  <c r="N7" i="3"/>
  <c r="L7" i="3"/>
  <c r="N6" i="3"/>
  <c r="L6" i="3"/>
  <c r="N5" i="3"/>
  <c r="L5" i="3"/>
  <c r="N4" i="3"/>
  <c r="L4" i="3"/>
  <c r="N3" i="3"/>
  <c r="L3" i="3"/>
  <c r="N2" i="3"/>
  <c r="L2" i="3"/>
  <c r="H145" i="3"/>
  <c r="K145" i="3" s="1"/>
  <c r="H144" i="3"/>
  <c r="K144" i="3" s="1"/>
  <c r="H143" i="3"/>
  <c r="K143" i="3" s="1"/>
  <c r="H142" i="3"/>
  <c r="K142" i="3" s="1"/>
  <c r="H141" i="3"/>
  <c r="K141" i="3" s="1"/>
  <c r="H140" i="3"/>
  <c r="K140" i="3" s="1"/>
  <c r="H139" i="3"/>
  <c r="K139" i="3" s="1"/>
  <c r="H138" i="3"/>
  <c r="K138" i="3" s="1"/>
  <c r="H137" i="3"/>
  <c r="K137" i="3" s="1"/>
  <c r="H136" i="3"/>
  <c r="K136" i="3" s="1"/>
  <c r="H135" i="3"/>
  <c r="K135" i="3" s="1"/>
  <c r="H134" i="3"/>
  <c r="K134" i="3" s="1"/>
  <c r="H133" i="3"/>
  <c r="K133" i="3" s="1"/>
  <c r="H132" i="3"/>
  <c r="K132" i="3" s="1"/>
  <c r="H131" i="3"/>
  <c r="K131" i="3" s="1"/>
  <c r="H130" i="3"/>
  <c r="K130" i="3" s="1"/>
  <c r="H129" i="3"/>
  <c r="K129" i="3" s="1"/>
  <c r="H128" i="3"/>
  <c r="K128" i="3" s="1"/>
  <c r="H127" i="3"/>
  <c r="K127" i="3" s="1"/>
  <c r="H126" i="3"/>
  <c r="K126" i="3" s="1"/>
  <c r="H125" i="3"/>
  <c r="K125" i="3" s="1"/>
  <c r="H124" i="3"/>
  <c r="K124" i="3" s="1"/>
  <c r="H123" i="3"/>
  <c r="K123" i="3" s="1"/>
  <c r="H122" i="3"/>
  <c r="K122" i="3" s="1"/>
  <c r="H121" i="3"/>
  <c r="K121" i="3" s="1"/>
  <c r="H120" i="3"/>
  <c r="K120" i="3" s="1"/>
  <c r="H119" i="3"/>
  <c r="K119" i="3" s="1"/>
  <c r="H118" i="3"/>
  <c r="K118" i="3" s="1"/>
  <c r="H117" i="3"/>
  <c r="K117" i="3" s="1"/>
  <c r="H116" i="3"/>
  <c r="K116" i="3" s="1"/>
  <c r="H115" i="3"/>
  <c r="K115" i="3" s="1"/>
  <c r="H114" i="3"/>
  <c r="K114" i="3" s="1"/>
  <c r="H113" i="3"/>
  <c r="K113" i="3" s="1"/>
  <c r="H112" i="3"/>
  <c r="K112" i="3" s="1"/>
  <c r="H111" i="3"/>
  <c r="K111" i="3" s="1"/>
  <c r="H110" i="3"/>
  <c r="K110" i="3" s="1"/>
  <c r="H109" i="3"/>
  <c r="K109" i="3" s="1"/>
  <c r="H108" i="3"/>
  <c r="K108" i="3" s="1"/>
  <c r="H107" i="3"/>
  <c r="K107" i="3" s="1"/>
  <c r="H106" i="3"/>
  <c r="K106" i="3" s="1"/>
  <c r="H105" i="3"/>
  <c r="K105" i="3" s="1"/>
  <c r="H104" i="3"/>
  <c r="K104" i="3" s="1"/>
  <c r="H103" i="3"/>
  <c r="K103" i="3" s="1"/>
  <c r="H102" i="3"/>
  <c r="K102" i="3" s="1"/>
  <c r="H101" i="3"/>
  <c r="K101" i="3" s="1"/>
  <c r="H100" i="3"/>
  <c r="K100" i="3" s="1"/>
  <c r="H99" i="3"/>
  <c r="K99" i="3" s="1"/>
  <c r="H98" i="3"/>
  <c r="K98" i="3" s="1"/>
  <c r="H97" i="3"/>
  <c r="K97" i="3" s="1"/>
  <c r="H96" i="3"/>
  <c r="K96" i="3" s="1"/>
  <c r="H95" i="3"/>
  <c r="K95" i="3" s="1"/>
  <c r="H94" i="3"/>
  <c r="K94" i="3" s="1"/>
  <c r="H93" i="3"/>
  <c r="K93" i="3" s="1"/>
  <c r="H92" i="3"/>
  <c r="K92" i="3" s="1"/>
  <c r="H91" i="3"/>
  <c r="K91" i="3" s="1"/>
  <c r="H90" i="3"/>
  <c r="K90" i="3" s="1"/>
  <c r="H89" i="3"/>
  <c r="K89" i="3" s="1"/>
  <c r="H88" i="3"/>
  <c r="K88" i="3" s="1"/>
  <c r="M88" i="3" s="1"/>
  <c r="H87" i="3"/>
  <c r="K87" i="3" s="1"/>
  <c r="H86" i="3"/>
  <c r="K86" i="3" s="1"/>
  <c r="H85" i="3"/>
  <c r="K85" i="3" s="1"/>
  <c r="H84" i="3"/>
  <c r="K84" i="3" s="1"/>
  <c r="H83" i="3"/>
  <c r="K83" i="3" s="1"/>
  <c r="H82" i="3"/>
  <c r="K82" i="3" s="1"/>
  <c r="H81" i="3"/>
  <c r="K81" i="3" s="1"/>
  <c r="H80" i="3"/>
  <c r="K80" i="3" s="1"/>
  <c r="H79" i="3"/>
  <c r="K79" i="3" s="1"/>
  <c r="H78" i="3"/>
  <c r="K78" i="3" s="1"/>
  <c r="H77" i="3"/>
  <c r="K77" i="3" s="1"/>
  <c r="H76" i="3"/>
  <c r="K76" i="3" s="1"/>
  <c r="H75" i="3"/>
  <c r="K75" i="3" s="1"/>
  <c r="H74" i="3"/>
  <c r="K74" i="3" s="1"/>
  <c r="H73" i="3"/>
  <c r="K73" i="3" s="1"/>
  <c r="H72" i="3"/>
  <c r="K72" i="3" s="1"/>
  <c r="H71" i="3"/>
  <c r="K71" i="3" s="1"/>
  <c r="H70" i="3"/>
  <c r="K70" i="3" s="1"/>
  <c r="H69" i="3"/>
  <c r="K69" i="3" s="1"/>
  <c r="H68" i="3"/>
  <c r="K68" i="3" s="1"/>
  <c r="H67" i="3"/>
  <c r="K67" i="3" s="1"/>
  <c r="H66" i="3"/>
  <c r="K66" i="3" s="1"/>
  <c r="M66" i="3" s="1"/>
  <c r="H65" i="3"/>
  <c r="K65" i="3" s="1"/>
  <c r="H64" i="3"/>
  <c r="K64" i="3" s="1"/>
  <c r="H63" i="3"/>
  <c r="K63" i="3" s="1"/>
  <c r="H62" i="3"/>
  <c r="K62" i="3" s="1"/>
  <c r="H61" i="3"/>
  <c r="K61" i="3" s="1"/>
  <c r="H60" i="3"/>
  <c r="K60" i="3" s="1"/>
  <c r="H59" i="3"/>
  <c r="K59" i="3" s="1"/>
  <c r="H58" i="3"/>
  <c r="K58" i="3" s="1"/>
  <c r="H57" i="3"/>
  <c r="K57" i="3" s="1"/>
  <c r="H56" i="3"/>
  <c r="K56" i="3" s="1"/>
  <c r="H55" i="3"/>
  <c r="K55" i="3" s="1"/>
  <c r="H54" i="3"/>
  <c r="K54" i="3" s="1"/>
  <c r="H53" i="3"/>
  <c r="K53" i="3" s="1"/>
  <c r="H52" i="3"/>
  <c r="K52" i="3" s="1"/>
  <c r="H51" i="3"/>
  <c r="K51" i="3" s="1"/>
  <c r="H50" i="3"/>
  <c r="K50" i="3" s="1"/>
  <c r="H49" i="3"/>
  <c r="K49" i="3" s="1"/>
  <c r="H48" i="3"/>
  <c r="K48" i="3" s="1"/>
  <c r="H47" i="3"/>
  <c r="K47" i="3" s="1"/>
  <c r="H46" i="3"/>
  <c r="K46" i="3" s="1"/>
  <c r="H45" i="3"/>
  <c r="K45" i="3" s="1"/>
  <c r="H44" i="3"/>
  <c r="K44" i="3" s="1"/>
  <c r="H43" i="3"/>
  <c r="K43" i="3" s="1"/>
  <c r="H42" i="3"/>
  <c r="K42" i="3" s="1"/>
  <c r="H41" i="3"/>
  <c r="K41" i="3" s="1"/>
  <c r="H40" i="3"/>
  <c r="K40" i="3" s="1"/>
  <c r="H39" i="3"/>
  <c r="K39" i="3" s="1"/>
  <c r="H38" i="3"/>
  <c r="K38" i="3" s="1"/>
  <c r="H37" i="3"/>
  <c r="K37" i="3" s="1"/>
  <c r="H36" i="3"/>
  <c r="K36" i="3" s="1"/>
  <c r="H35" i="3"/>
  <c r="K35" i="3" s="1"/>
  <c r="H34" i="3"/>
  <c r="K34" i="3" s="1"/>
  <c r="M34" i="3" s="1"/>
  <c r="H33" i="3"/>
  <c r="K33" i="3" s="1"/>
  <c r="H32" i="3"/>
  <c r="K32" i="3" s="1"/>
  <c r="H31" i="3"/>
  <c r="K31" i="3" s="1"/>
  <c r="H30" i="3"/>
  <c r="K30" i="3" s="1"/>
  <c r="H29" i="3"/>
  <c r="K29" i="3" s="1"/>
  <c r="H28" i="3"/>
  <c r="K28" i="3" s="1"/>
  <c r="H27" i="3"/>
  <c r="K27" i="3" s="1"/>
  <c r="H26" i="3"/>
  <c r="K26" i="3" s="1"/>
  <c r="H25" i="3"/>
  <c r="K25" i="3" s="1"/>
  <c r="H24" i="3"/>
  <c r="K24" i="3" s="1"/>
  <c r="H23" i="3"/>
  <c r="K23" i="3" s="1"/>
  <c r="H22" i="3"/>
  <c r="K22" i="3" s="1"/>
  <c r="H21" i="3"/>
  <c r="K21" i="3" s="1"/>
  <c r="H20" i="3"/>
  <c r="K20" i="3" s="1"/>
  <c r="H19" i="3"/>
  <c r="K19" i="3" s="1"/>
  <c r="H18" i="3"/>
  <c r="K18" i="3" s="1"/>
  <c r="H17" i="3"/>
  <c r="K17" i="3" s="1"/>
  <c r="H16" i="3"/>
  <c r="K16" i="3" s="1"/>
  <c r="H15" i="3"/>
  <c r="K15" i="3" s="1"/>
  <c r="H14" i="3"/>
  <c r="K14" i="3" s="1"/>
  <c r="H13" i="3"/>
  <c r="K13" i="3" s="1"/>
  <c r="H12" i="3"/>
  <c r="K12" i="3" s="1"/>
  <c r="H11" i="3"/>
  <c r="K11" i="3" s="1"/>
  <c r="H10" i="3"/>
  <c r="K10" i="3" s="1"/>
  <c r="H9" i="3"/>
  <c r="K9" i="3" s="1"/>
  <c r="H8" i="3"/>
  <c r="K8" i="3" s="1"/>
  <c r="H7" i="3"/>
  <c r="K7" i="3" s="1"/>
  <c r="H6" i="3"/>
  <c r="K6" i="3" s="1"/>
  <c r="H5" i="3"/>
  <c r="K5" i="3" s="1"/>
  <c r="H4" i="3"/>
  <c r="K4" i="3" s="1"/>
  <c r="H3" i="3"/>
  <c r="K3" i="3" s="1"/>
  <c r="H2" i="3"/>
  <c r="K2" i="3" s="1"/>
  <c r="M2" i="3" s="1"/>
  <c r="Y145" i="3"/>
  <c r="X145" i="3"/>
  <c r="W145" i="3"/>
  <c r="Y144" i="3"/>
  <c r="X144" i="3"/>
  <c r="W144" i="3"/>
  <c r="Y143" i="3"/>
  <c r="X143" i="3"/>
  <c r="Z143" i="3" s="1"/>
  <c r="AC143" i="3" s="1"/>
  <c r="W143" i="3"/>
  <c r="Y142" i="3"/>
  <c r="X142" i="3"/>
  <c r="W142" i="3"/>
  <c r="Y141" i="3"/>
  <c r="X141" i="3"/>
  <c r="Z141" i="3" s="1"/>
  <c r="AC141" i="3" s="1"/>
  <c r="W141" i="3"/>
  <c r="Y140" i="3"/>
  <c r="X140" i="3"/>
  <c r="Z140" i="3" s="1"/>
  <c r="AC140" i="3" s="1"/>
  <c r="W140" i="3"/>
  <c r="Y139" i="3"/>
  <c r="X139" i="3"/>
  <c r="Z139" i="3" s="1"/>
  <c r="AC139" i="3" s="1"/>
  <c r="W139" i="3"/>
  <c r="Y138" i="3"/>
  <c r="X138" i="3"/>
  <c r="Z138" i="3" s="1"/>
  <c r="AC138" i="3" s="1"/>
  <c r="W138" i="3"/>
  <c r="Y137" i="3"/>
  <c r="X137" i="3"/>
  <c r="Z137" i="3" s="1"/>
  <c r="AC137" i="3" s="1"/>
  <c r="W137" i="3"/>
  <c r="Y136" i="3"/>
  <c r="X136" i="3"/>
  <c r="Z136" i="3" s="1"/>
  <c r="AC136" i="3" s="1"/>
  <c r="W136" i="3"/>
  <c r="Y135" i="3"/>
  <c r="X135" i="3"/>
  <c r="Z135" i="3" s="1"/>
  <c r="AC135" i="3" s="1"/>
  <c r="W135" i="3"/>
  <c r="Y134" i="3"/>
  <c r="Z134" i="3" s="1"/>
  <c r="AC134" i="3" s="1"/>
  <c r="X134" i="3"/>
  <c r="W134" i="3"/>
  <c r="Y133" i="3"/>
  <c r="X133" i="3"/>
  <c r="Z133" i="3" s="1"/>
  <c r="AC133" i="3" s="1"/>
  <c r="W133" i="3"/>
  <c r="Y132" i="3"/>
  <c r="X132" i="3"/>
  <c r="Z132" i="3" s="1"/>
  <c r="AC132" i="3" s="1"/>
  <c r="W132" i="3"/>
  <c r="Y131" i="3"/>
  <c r="X131" i="3"/>
  <c r="W131" i="3"/>
  <c r="Y130" i="3"/>
  <c r="Z130" i="3" s="1"/>
  <c r="AC130" i="3" s="1"/>
  <c r="X130" i="3"/>
  <c r="W130" i="3"/>
  <c r="Y129" i="3"/>
  <c r="X129" i="3"/>
  <c r="W129" i="3"/>
  <c r="Y128" i="3"/>
  <c r="X128" i="3"/>
  <c r="W128" i="3"/>
  <c r="Y127" i="3"/>
  <c r="X127" i="3"/>
  <c r="Z127" i="3" s="1"/>
  <c r="AC127" i="3" s="1"/>
  <c r="W127" i="3"/>
  <c r="Y126" i="3"/>
  <c r="X126" i="3"/>
  <c r="W126" i="3"/>
  <c r="Y125" i="3"/>
  <c r="X125" i="3"/>
  <c r="Z125" i="3" s="1"/>
  <c r="AC125" i="3" s="1"/>
  <c r="W125" i="3"/>
  <c r="Y124" i="3"/>
  <c r="X124" i="3"/>
  <c r="Z124" i="3" s="1"/>
  <c r="AC124" i="3" s="1"/>
  <c r="W124" i="3"/>
  <c r="Y123" i="3"/>
  <c r="X123" i="3"/>
  <c r="Z123" i="3" s="1"/>
  <c r="AC123" i="3" s="1"/>
  <c r="W123" i="3"/>
  <c r="Y122" i="3"/>
  <c r="X122" i="3"/>
  <c r="Z122" i="3" s="1"/>
  <c r="AC122" i="3" s="1"/>
  <c r="W122" i="3"/>
  <c r="Y121" i="3"/>
  <c r="X121" i="3"/>
  <c r="Z121" i="3" s="1"/>
  <c r="AC121" i="3" s="1"/>
  <c r="W121" i="3"/>
  <c r="Y120" i="3"/>
  <c r="X120" i="3"/>
  <c r="Z120" i="3" s="1"/>
  <c r="AC120" i="3" s="1"/>
  <c r="W120" i="3"/>
  <c r="Y119" i="3"/>
  <c r="X119" i="3"/>
  <c r="W119" i="3"/>
  <c r="Y118" i="3"/>
  <c r="Z118" i="3" s="1"/>
  <c r="AC118" i="3" s="1"/>
  <c r="X118" i="3"/>
  <c r="W118" i="3"/>
  <c r="Y117" i="3"/>
  <c r="X117" i="3"/>
  <c r="W117" i="3"/>
  <c r="Y116" i="3"/>
  <c r="X116" i="3"/>
  <c r="Z116" i="3" s="1"/>
  <c r="AC116" i="3" s="1"/>
  <c r="W116" i="3"/>
  <c r="Y115" i="3"/>
  <c r="X115" i="3"/>
  <c r="W115" i="3"/>
  <c r="Y114" i="3"/>
  <c r="Z114" i="3" s="1"/>
  <c r="AC114" i="3" s="1"/>
  <c r="X114" i="3"/>
  <c r="W114" i="3"/>
  <c r="Y113" i="3"/>
  <c r="X113" i="3"/>
  <c r="W113" i="3"/>
  <c r="Y112" i="3"/>
  <c r="X112" i="3"/>
  <c r="W112" i="3"/>
  <c r="Y111" i="3"/>
  <c r="X111" i="3"/>
  <c r="Z111" i="3" s="1"/>
  <c r="AC111" i="3" s="1"/>
  <c r="W111" i="3"/>
  <c r="Y110" i="3"/>
  <c r="X110" i="3"/>
  <c r="W110" i="3"/>
  <c r="Y109" i="3"/>
  <c r="X109" i="3"/>
  <c r="Z109" i="3" s="1"/>
  <c r="AC109" i="3" s="1"/>
  <c r="W109" i="3"/>
  <c r="Y108" i="3"/>
  <c r="X108" i="3"/>
  <c r="Z108" i="3" s="1"/>
  <c r="AC108" i="3" s="1"/>
  <c r="W108" i="3"/>
  <c r="Y107" i="3"/>
  <c r="X107" i="3"/>
  <c r="W107" i="3"/>
  <c r="Y106" i="3"/>
  <c r="X106" i="3"/>
  <c r="W106" i="3"/>
  <c r="Y105" i="3"/>
  <c r="X105" i="3"/>
  <c r="Z105" i="3" s="1"/>
  <c r="AC105" i="3" s="1"/>
  <c r="W105" i="3"/>
  <c r="Y104" i="3"/>
  <c r="X104" i="3"/>
  <c r="Z104" i="3" s="1"/>
  <c r="AC104" i="3" s="1"/>
  <c r="W104" i="3"/>
  <c r="Y103" i="3"/>
  <c r="X103" i="3"/>
  <c r="Z103" i="3" s="1"/>
  <c r="AC103" i="3" s="1"/>
  <c r="W103" i="3"/>
  <c r="Y102" i="3"/>
  <c r="Z102" i="3" s="1"/>
  <c r="AC102" i="3" s="1"/>
  <c r="X102" i="3"/>
  <c r="W102" i="3"/>
  <c r="Y101" i="3"/>
  <c r="X101" i="3"/>
  <c r="Z101" i="3" s="1"/>
  <c r="AC101" i="3" s="1"/>
  <c r="W101" i="3"/>
  <c r="Y100" i="3"/>
  <c r="X100" i="3"/>
  <c r="Z100" i="3" s="1"/>
  <c r="AC100" i="3" s="1"/>
  <c r="W100" i="3"/>
  <c r="Y99" i="3"/>
  <c r="X99" i="3"/>
  <c r="W99" i="3"/>
  <c r="Y98" i="3"/>
  <c r="Z98" i="3" s="1"/>
  <c r="AC98" i="3" s="1"/>
  <c r="X98" i="3"/>
  <c r="W98" i="3"/>
  <c r="Y97" i="3"/>
  <c r="X97" i="3"/>
  <c r="W97" i="3"/>
  <c r="Y96" i="3"/>
  <c r="X96" i="3"/>
  <c r="W96" i="3"/>
  <c r="Y95" i="3"/>
  <c r="X95" i="3"/>
  <c r="Z95" i="3" s="1"/>
  <c r="AC95" i="3" s="1"/>
  <c r="W95" i="3"/>
  <c r="Y94" i="3"/>
  <c r="X94" i="3"/>
  <c r="W94" i="3"/>
  <c r="Y93" i="3"/>
  <c r="X93" i="3"/>
  <c r="Z93" i="3" s="1"/>
  <c r="AC93" i="3" s="1"/>
  <c r="W93" i="3"/>
  <c r="Y92" i="3"/>
  <c r="X92" i="3"/>
  <c r="Z92" i="3" s="1"/>
  <c r="AC92" i="3" s="1"/>
  <c r="W92" i="3"/>
  <c r="Y91" i="3"/>
  <c r="X91" i="3"/>
  <c r="Z91" i="3" s="1"/>
  <c r="AC91" i="3" s="1"/>
  <c r="W91" i="3"/>
  <c r="Y90" i="3"/>
  <c r="X90" i="3"/>
  <c r="Z90" i="3" s="1"/>
  <c r="AC90" i="3" s="1"/>
  <c r="W90" i="3"/>
  <c r="Y89" i="3"/>
  <c r="X89" i="3"/>
  <c r="Z89" i="3" s="1"/>
  <c r="AC89" i="3" s="1"/>
  <c r="W89" i="3"/>
  <c r="Y88" i="3"/>
  <c r="X88" i="3"/>
  <c r="Z88" i="3" s="1"/>
  <c r="AC88" i="3" s="1"/>
  <c r="W88" i="3"/>
  <c r="Y87" i="3"/>
  <c r="X87" i="3"/>
  <c r="Z87" i="3" s="1"/>
  <c r="AC87" i="3" s="1"/>
  <c r="W87" i="3"/>
  <c r="Y86" i="3"/>
  <c r="Z86" i="3" s="1"/>
  <c r="AC86" i="3" s="1"/>
  <c r="X86" i="3"/>
  <c r="W86" i="3"/>
  <c r="Y85" i="3"/>
  <c r="X85" i="3"/>
  <c r="Z85" i="3" s="1"/>
  <c r="AC85" i="3" s="1"/>
  <c r="W85" i="3"/>
  <c r="Y84" i="3"/>
  <c r="X84" i="3"/>
  <c r="Z84" i="3" s="1"/>
  <c r="AC84" i="3" s="1"/>
  <c r="W84" i="3"/>
  <c r="Y83" i="3"/>
  <c r="X83" i="3"/>
  <c r="W83" i="3"/>
  <c r="Y82" i="3"/>
  <c r="X82" i="3"/>
  <c r="W82" i="3"/>
  <c r="Y81" i="3"/>
  <c r="X81" i="3"/>
  <c r="W81" i="3"/>
  <c r="Y80" i="3"/>
  <c r="X80" i="3"/>
  <c r="W80" i="3"/>
  <c r="Y79" i="3"/>
  <c r="X79" i="3"/>
  <c r="Z79" i="3" s="1"/>
  <c r="AC79" i="3" s="1"/>
  <c r="W79" i="3"/>
  <c r="Y78" i="3"/>
  <c r="X78" i="3"/>
  <c r="W78" i="3"/>
  <c r="Y77" i="3"/>
  <c r="X77" i="3"/>
  <c r="Z77" i="3" s="1"/>
  <c r="AC77" i="3" s="1"/>
  <c r="W77" i="3"/>
  <c r="Y76" i="3"/>
  <c r="X76" i="3"/>
  <c r="Z76" i="3" s="1"/>
  <c r="AC76" i="3" s="1"/>
  <c r="W76" i="3"/>
  <c r="Y75" i="3"/>
  <c r="X75" i="3"/>
  <c r="Z75" i="3" s="1"/>
  <c r="AC75" i="3" s="1"/>
  <c r="W75" i="3"/>
  <c r="Y74" i="3"/>
  <c r="X74" i="3"/>
  <c r="Z74" i="3" s="1"/>
  <c r="AC74" i="3" s="1"/>
  <c r="W74" i="3"/>
  <c r="Y73" i="3"/>
  <c r="X73" i="3"/>
  <c r="Z73" i="3" s="1"/>
  <c r="AC73" i="3" s="1"/>
  <c r="W73" i="3"/>
  <c r="Y72" i="3"/>
  <c r="X72" i="3"/>
  <c r="Z72" i="3" s="1"/>
  <c r="AC72" i="3" s="1"/>
  <c r="W72" i="3"/>
  <c r="Y71" i="3"/>
  <c r="X71" i="3"/>
  <c r="Z71" i="3" s="1"/>
  <c r="AC71" i="3" s="1"/>
  <c r="W71" i="3"/>
  <c r="Y70" i="3"/>
  <c r="Z70" i="3" s="1"/>
  <c r="AC70" i="3" s="1"/>
  <c r="X70" i="3"/>
  <c r="W70" i="3"/>
  <c r="Y69" i="3"/>
  <c r="X69" i="3"/>
  <c r="Z69" i="3" s="1"/>
  <c r="AC69" i="3" s="1"/>
  <c r="W69" i="3"/>
  <c r="Y68" i="3"/>
  <c r="X68" i="3"/>
  <c r="Z68" i="3" s="1"/>
  <c r="AC68" i="3" s="1"/>
  <c r="W68" i="3"/>
  <c r="Y67" i="3"/>
  <c r="X67" i="3"/>
  <c r="W67" i="3"/>
  <c r="Y66" i="3"/>
  <c r="X66" i="3"/>
  <c r="W66" i="3"/>
  <c r="Y65" i="3"/>
  <c r="X65" i="3"/>
  <c r="W65" i="3"/>
  <c r="Y64" i="3"/>
  <c r="X64" i="3"/>
  <c r="W64" i="3"/>
  <c r="Y63" i="3"/>
  <c r="X63" i="3"/>
  <c r="Z63" i="3" s="1"/>
  <c r="AC63" i="3" s="1"/>
  <c r="W63" i="3"/>
  <c r="Y62" i="3"/>
  <c r="X62" i="3"/>
  <c r="W62" i="3"/>
  <c r="Y61" i="3"/>
  <c r="X61" i="3"/>
  <c r="Z61" i="3" s="1"/>
  <c r="AC61" i="3" s="1"/>
  <c r="W61" i="3"/>
  <c r="Y60" i="3"/>
  <c r="X60" i="3"/>
  <c r="Z60" i="3" s="1"/>
  <c r="AC60" i="3" s="1"/>
  <c r="W60" i="3"/>
  <c r="Y59" i="3"/>
  <c r="X59" i="3"/>
  <c r="Z59" i="3" s="1"/>
  <c r="AC59" i="3" s="1"/>
  <c r="W59" i="3"/>
  <c r="Y58" i="3"/>
  <c r="X58" i="3"/>
  <c r="Z58" i="3" s="1"/>
  <c r="AC58" i="3" s="1"/>
  <c r="W58" i="3"/>
  <c r="Y57" i="3"/>
  <c r="X57" i="3"/>
  <c r="Z57" i="3" s="1"/>
  <c r="AC57" i="3" s="1"/>
  <c r="W57" i="3"/>
  <c r="Y56" i="3"/>
  <c r="X56" i="3"/>
  <c r="Z56" i="3" s="1"/>
  <c r="AC56" i="3" s="1"/>
  <c r="W56" i="3"/>
  <c r="Y55" i="3"/>
  <c r="X55" i="3"/>
  <c r="W55" i="3"/>
  <c r="Y54" i="3"/>
  <c r="Z54" i="3" s="1"/>
  <c r="AC54" i="3" s="1"/>
  <c r="X54" i="3"/>
  <c r="W54" i="3"/>
  <c r="Y53" i="3"/>
  <c r="X53" i="3"/>
  <c r="W53" i="3"/>
  <c r="Y52" i="3"/>
  <c r="X52" i="3"/>
  <c r="Z52" i="3" s="1"/>
  <c r="AC52" i="3" s="1"/>
  <c r="W52" i="3"/>
  <c r="Y51" i="3"/>
  <c r="X51" i="3"/>
  <c r="W51" i="3"/>
  <c r="Y50" i="3"/>
  <c r="X50" i="3"/>
  <c r="W50" i="3"/>
  <c r="Y49" i="3"/>
  <c r="X49" i="3"/>
  <c r="W49" i="3"/>
  <c r="Y48" i="3"/>
  <c r="X48" i="3"/>
  <c r="W48" i="3"/>
  <c r="Y47" i="3"/>
  <c r="X47" i="3"/>
  <c r="Z47" i="3" s="1"/>
  <c r="AC47" i="3" s="1"/>
  <c r="W47" i="3"/>
  <c r="Y46" i="3"/>
  <c r="X46" i="3"/>
  <c r="W46" i="3"/>
  <c r="Y45" i="3"/>
  <c r="X45" i="3"/>
  <c r="Z45" i="3" s="1"/>
  <c r="AC45" i="3" s="1"/>
  <c r="W45" i="3"/>
  <c r="Y44" i="3"/>
  <c r="X44" i="3"/>
  <c r="Z44" i="3" s="1"/>
  <c r="AC44" i="3" s="1"/>
  <c r="W44" i="3"/>
  <c r="Y43" i="3"/>
  <c r="X43" i="3"/>
  <c r="W43" i="3"/>
  <c r="Y42" i="3"/>
  <c r="X42" i="3"/>
  <c r="W42" i="3"/>
  <c r="Y41" i="3"/>
  <c r="X41" i="3"/>
  <c r="Z41" i="3" s="1"/>
  <c r="AC41" i="3" s="1"/>
  <c r="W41" i="3"/>
  <c r="Y40" i="3"/>
  <c r="X40" i="3"/>
  <c r="Z40" i="3" s="1"/>
  <c r="AC40" i="3" s="1"/>
  <c r="W40" i="3"/>
  <c r="Y39" i="3"/>
  <c r="X39" i="3"/>
  <c r="Z39" i="3" s="1"/>
  <c r="AC39" i="3" s="1"/>
  <c r="W39" i="3"/>
  <c r="Y38" i="3"/>
  <c r="Z38" i="3" s="1"/>
  <c r="AC38" i="3" s="1"/>
  <c r="X38" i="3"/>
  <c r="W38" i="3"/>
  <c r="Y37" i="3"/>
  <c r="X37" i="3"/>
  <c r="Z37" i="3" s="1"/>
  <c r="AC37" i="3" s="1"/>
  <c r="W37" i="3"/>
  <c r="Y36" i="3"/>
  <c r="X36" i="3"/>
  <c r="Z36" i="3" s="1"/>
  <c r="AC36" i="3" s="1"/>
  <c r="W36" i="3"/>
  <c r="Y35" i="3"/>
  <c r="X35" i="3"/>
  <c r="W35" i="3"/>
  <c r="Y34" i="3"/>
  <c r="X34" i="3"/>
  <c r="W34" i="3"/>
  <c r="Y33" i="3"/>
  <c r="X33" i="3"/>
  <c r="W33" i="3"/>
  <c r="Y32" i="3"/>
  <c r="X32" i="3"/>
  <c r="W32" i="3"/>
  <c r="Y31" i="3"/>
  <c r="X31" i="3"/>
  <c r="Z31" i="3" s="1"/>
  <c r="AC31" i="3" s="1"/>
  <c r="W31" i="3"/>
  <c r="Y30" i="3"/>
  <c r="X30" i="3"/>
  <c r="W30" i="3"/>
  <c r="Y29" i="3"/>
  <c r="X29" i="3"/>
  <c r="Z29" i="3" s="1"/>
  <c r="AC29" i="3" s="1"/>
  <c r="W29" i="3"/>
  <c r="Y28" i="3"/>
  <c r="X28" i="3"/>
  <c r="Z28" i="3" s="1"/>
  <c r="AC28" i="3" s="1"/>
  <c r="W28" i="3"/>
  <c r="Y27" i="3"/>
  <c r="X27" i="3"/>
  <c r="Z27" i="3" s="1"/>
  <c r="AC27" i="3" s="1"/>
  <c r="W27" i="3"/>
  <c r="Y26" i="3"/>
  <c r="X26" i="3"/>
  <c r="Z26" i="3" s="1"/>
  <c r="AC26" i="3" s="1"/>
  <c r="W26" i="3"/>
  <c r="Y25" i="3"/>
  <c r="X25" i="3"/>
  <c r="Z25" i="3" s="1"/>
  <c r="AC25" i="3" s="1"/>
  <c r="W25" i="3"/>
  <c r="Y24" i="3"/>
  <c r="X24" i="3"/>
  <c r="Z24" i="3" s="1"/>
  <c r="AC24" i="3" s="1"/>
  <c r="W24" i="3"/>
  <c r="Y23" i="3"/>
  <c r="X23" i="3"/>
  <c r="Z23" i="3" s="1"/>
  <c r="AC23" i="3" s="1"/>
  <c r="W23" i="3"/>
  <c r="Y22" i="3"/>
  <c r="Z22" i="3" s="1"/>
  <c r="AC22" i="3" s="1"/>
  <c r="X22" i="3"/>
  <c r="W22" i="3"/>
  <c r="Y21" i="3"/>
  <c r="X21" i="3"/>
  <c r="Z21" i="3" s="1"/>
  <c r="AC21" i="3" s="1"/>
  <c r="W21" i="3"/>
  <c r="Y20" i="3"/>
  <c r="X20" i="3"/>
  <c r="Z20" i="3" s="1"/>
  <c r="AC20" i="3" s="1"/>
  <c r="W20" i="3"/>
  <c r="Y19" i="3"/>
  <c r="X19" i="3"/>
  <c r="W19" i="3"/>
  <c r="Y18" i="3"/>
  <c r="X18" i="3"/>
  <c r="W18" i="3"/>
  <c r="Y17" i="3"/>
  <c r="X17" i="3"/>
  <c r="W17" i="3"/>
  <c r="Y16" i="3"/>
  <c r="X16" i="3"/>
  <c r="W16" i="3"/>
  <c r="Y15" i="3"/>
  <c r="X15" i="3"/>
  <c r="Z15" i="3" s="1"/>
  <c r="AC15" i="3" s="1"/>
  <c r="W15" i="3"/>
  <c r="Y14" i="3"/>
  <c r="X14" i="3"/>
  <c r="W14" i="3"/>
  <c r="Y13" i="3"/>
  <c r="X13" i="3"/>
  <c r="Z13" i="3" s="1"/>
  <c r="AC13" i="3" s="1"/>
  <c r="W13" i="3"/>
  <c r="Y12" i="3"/>
  <c r="X12" i="3"/>
  <c r="Z12" i="3" s="1"/>
  <c r="AC12" i="3" s="1"/>
  <c r="W12" i="3"/>
  <c r="Y11" i="3"/>
  <c r="X11" i="3"/>
  <c r="Z11" i="3" s="1"/>
  <c r="AC11" i="3" s="1"/>
  <c r="W11" i="3"/>
  <c r="Y10" i="3"/>
  <c r="X10" i="3"/>
  <c r="Z10" i="3" s="1"/>
  <c r="AC10" i="3" s="1"/>
  <c r="W10" i="3"/>
  <c r="Y9" i="3"/>
  <c r="X9" i="3"/>
  <c r="Z9" i="3" s="1"/>
  <c r="AC9" i="3" s="1"/>
  <c r="W9" i="3"/>
  <c r="Y8" i="3"/>
  <c r="X8" i="3"/>
  <c r="Z8" i="3" s="1"/>
  <c r="AC8" i="3" s="1"/>
  <c r="W8" i="3"/>
  <c r="Y7" i="3"/>
  <c r="X7" i="3"/>
  <c r="Z7" i="3" s="1"/>
  <c r="AC7" i="3" s="1"/>
  <c r="W7" i="3"/>
  <c r="Y6" i="3"/>
  <c r="Z6" i="3" s="1"/>
  <c r="AC6" i="3" s="1"/>
  <c r="X6" i="3"/>
  <c r="W6" i="3"/>
  <c r="Y5" i="3"/>
  <c r="X5" i="3"/>
  <c r="Z5" i="3" s="1"/>
  <c r="AC5" i="3" s="1"/>
  <c r="W5" i="3"/>
  <c r="Y4" i="3"/>
  <c r="X4" i="3"/>
  <c r="Z4" i="3" s="1"/>
  <c r="AC4" i="3" s="1"/>
  <c r="W4" i="3"/>
  <c r="Y3" i="3"/>
  <c r="X3" i="3"/>
  <c r="W3" i="3"/>
  <c r="Y2" i="3"/>
  <c r="Z2" i="3" s="1"/>
  <c r="AC2" i="3" s="1"/>
  <c r="X2" i="3"/>
  <c r="W2" i="3"/>
  <c r="U145" i="3"/>
  <c r="U144" i="3"/>
  <c r="U143" i="3"/>
  <c r="U142" i="3"/>
  <c r="U141" i="3"/>
  <c r="U140" i="3"/>
  <c r="U139" i="3"/>
  <c r="U138" i="3"/>
  <c r="U137" i="3"/>
  <c r="U136" i="3"/>
  <c r="U135" i="3"/>
  <c r="U134" i="3"/>
  <c r="U133" i="3"/>
  <c r="U132" i="3"/>
  <c r="U131" i="3"/>
  <c r="U130" i="3"/>
  <c r="U129" i="3"/>
  <c r="U128" i="3"/>
  <c r="U127" i="3"/>
  <c r="U126" i="3"/>
  <c r="U125" i="3"/>
  <c r="U124" i="3"/>
  <c r="U123" i="3"/>
  <c r="U122" i="3"/>
  <c r="U121" i="3"/>
  <c r="U120" i="3"/>
  <c r="U119" i="3"/>
  <c r="U118" i="3"/>
  <c r="U117" i="3"/>
  <c r="U116" i="3"/>
  <c r="U115" i="3"/>
  <c r="U114" i="3"/>
  <c r="U113" i="3"/>
  <c r="U112" i="3"/>
  <c r="U111" i="3"/>
  <c r="U110" i="3"/>
  <c r="U109" i="3"/>
  <c r="U108" i="3"/>
  <c r="U107" i="3"/>
  <c r="U106" i="3"/>
  <c r="U105" i="3"/>
  <c r="U104" i="3"/>
  <c r="U103" i="3"/>
  <c r="U102" i="3"/>
  <c r="U101" i="3"/>
  <c r="U100" i="3"/>
  <c r="U99" i="3"/>
  <c r="U98" i="3"/>
  <c r="U97" i="3"/>
  <c r="U96" i="3"/>
  <c r="U95" i="3"/>
  <c r="U94" i="3"/>
  <c r="U93" i="3"/>
  <c r="U92" i="3"/>
  <c r="U91" i="3"/>
  <c r="U90" i="3"/>
  <c r="U89" i="3"/>
  <c r="U88" i="3"/>
  <c r="U87" i="3"/>
  <c r="U86" i="3"/>
  <c r="U85" i="3"/>
  <c r="U84" i="3"/>
  <c r="U83" i="3"/>
  <c r="U82" i="3"/>
  <c r="U81" i="3"/>
  <c r="U80" i="3"/>
  <c r="U79" i="3"/>
  <c r="U78" i="3"/>
  <c r="U77" i="3"/>
  <c r="U76" i="3"/>
  <c r="U75" i="3"/>
  <c r="U74" i="3"/>
  <c r="U73" i="3"/>
  <c r="U72" i="3"/>
  <c r="U71" i="3"/>
  <c r="U70" i="3"/>
  <c r="U69" i="3"/>
  <c r="U68" i="3"/>
  <c r="U67" i="3"/>
  <c r="U66" i="3"/>
  <c r="U65" i="3"/>
  <c r="U64" i="3"/>
  <c r="U63" i="3"/>
  <c r="U62" i="3"/>
  <c r="U61" i="3"/>
  <c r="U60" i="3"/>
  <c r="U59" i="3"/>
  <c r="U58" i="3"/>
  <c r="U57" i="3"/>
  <c r="U56" i="3"/>
  <c r="U55" i="3"/>
  <c r="U54" i="3"/>
  <c r="U53" i="3"/>
  <c r="U52" i="3"/>
  <c r="U51" i="3"/>
  <c r="U50" i="3"/>
  <c r="U49" i="3"/>
  <c r="U48" i="3"/>
  <c r="U47" i="3"/>
  <c r="U46" i="3"/>
  <c r="U45" i="3"/>
  <c r="U44" i="3"/>
  <c r="U43" i="3"/>
  <c r="U42" i="3"/>
  <c r="U41" i="3"/>
  <c r="U40" i="3"/>
  <c r="U39" i="3"/>
  <c r="U38" i="3"/>
  <c r="U37" i="3"/>
  <c r="U36" i="3"/>
  <c r="U35" i="3"/>
  <c r="U34" i="3"/>
  <c r="U33" i="3"/>
  <c r="U32" i="3"/>
  <c r="U31" i="3"/>
  <c r="U30" i="3"/>
  <c r="U29" i="3"/>
  <c r="U28" i="3"/>
  <c r="U27" i="3"/>
  <c r="U26" i="3"/>
  <c r="U25" i="3"/>
  <c r="U24" i="3"/>
  <c r="U23" i="3"/>
  <c r="U22" i="3"/>
  <c r="U21" i="3"/>
  <c r="U20" i="3"/>
  <c r="U19" i="3"/>
  <c r="U18" i="3"/>
  <c r="U17" i="3"/>
  <c r="U16" i="3"/>
  <c r="U15" i="3"/>
  <c r="U14" i="3"/>
  <c r="U13" i="3"/>
  <c r="U12" i="3"/>
  <c r="U11" i="3"/>
  <c r="U10" i="3"/>
  <c r="U9" i="3"/>
  <c r="U8" i="3"/>
  <c r="U7" i="3"/>
  <c r="U6" i="3"/>
  <c r="U5" i="3"/>
  <c r="U4" i="3"/>
  <c r="U3" i="3"/>
  <c r="U2" i="3"/>
  <c r="T145" i="3"/>
  <c r="T144" i="3"/>
  <c r="T143" i="3"/>
  <c r="T142" i="3"/>
  <c r="T141" i="3"/>
  <c r="T140" i="3"/>
  <c r="T139" i="3"/>
  <c r="T138" i="3"/>
  <c r="T137" i="3"/>
  <c r="T136" i="3"/>
  <c r="T135" i="3"/>
  <c r="T134" i="3"/>
  <c r="T133" i="3"/>
  <c r="T132" i="3"/>
  <c r="T131" i="3"/>
  <c r="T130" i="3"/>
  <c r="T129" i="3"/>
  <c r="T128" i="3"/>
  <c r="T127" i="3"/>
  <c r="T126" i="3"/>
  <c r="T125" i="3"/>
  <c r="T124" i="3"/>
  <c r="T123" i="3"/>
  <c r="T122" i="3"/>
  <c r="T121" i="3"/>
  <c r="T120" i="3"/>
  <c r="T119" i="3"/>
  <c r="T118" i="3"/>
  <c r="T117" i="3"/>
  <c r="T116" i="3"/>
  <c r="T115" i="3"/>
  <c r="T114" i="3"/>
  <c r="T113" i="3"/>
  <c r="T112" i="3"/>
  <c r="T111" i="3"/>
  <c r="T110" i="3"/>
  <c r="T109" i="3"/>
  <c r="T108" i="3"/>
  <c r="T107" i="3"/>
  <c r="T106" i="3"/>
  <c r="T105" i="3"/>
  <c r="T104" i="3"/>
  <c r="T103" i="3"/>
  <c r="T102" i="3"/>
  <c r="T101" i="3"/>
  <c r="T100" i="3"/>
  <c r="T99" i="3"/>
  <c r="T98" i="3"/>
  <c r="T97" i="3"/>
  <c r="T96" i="3"/>
  <c r="T95" i="3"/>
  <c r="T94" i="3"/>
  <c r="T93" i="3"/>
  <c r="T92" i="3"/>
  <c r="T91" i="3"/>
  <c r="T90" i="3"/>
  <c r="T89" i="3"/>
  <c r="T88" i="3"/>
  <c r="T87" i="3"/>
  <c r="T86" i="3"/>
  <c r="T85" i="3"/>
  <c r="T84" i="3"/>
  <c r="T83" i="3"/>
  <c r="T82" i="3"/>
  <c r="T81" i="3"/>
  <c r="T80" i="3"/>
  <c r="T79" i="3"/>
  <c r="T78" i="3"/>
  <c r="T77" i="3"/>
  <c r="T76" i="3"/>
  <c r="T75" i="3"/>
  <c r="T74" i="3"/>
  <c r="T73" i="3"/>
  <c r="T72" i="3"/>
  <c r="T71" i="3"/>
  <c r="T70" i="3"/>
  <c r="T69" i="3"/>
  <c r="T68" i="3"/>
  <c r="T67" i="3"/>
  <c r="T66" i="3"/>
  <c r="T65" i="3"/>
  <c r="T64" i="3"/>
  <c r="T63" i="3"/>
  <c r="T62" i="3"/>
  <c r="T61" i="3"/>
  <c r="T60" i="3"/>
  <c r="T59" i="3"/>
  <c r="T58" i="3"/>
  <c r="T57" i="3"/>
  <c r="T56" i="3"/>
  <c r="T55" i="3"/>
  <c r="T54" i="3"/>
  <c r="T53" i="3"/>
  <c r="T52" i="3"/>
  <c r="T51" i="3"/>
  <c r="T50" i="3"/>
  <c r="T49" i="3"/>
  <c r="T48" i="3"/>
  <c r="T47" i="3"/>
  <c r="T46" i="3"/>
  <c r="T45" i="3"/>
  <c r="T44" i="3"/>
  <c r="T43" i="3"/>
  <c r="T42" i="3"/>
  <c r="T41" i="3"/>
  <c r="T40" i="3"/>
  <c r="T39" i="3"/>
  <c r="T38" i="3"/>
  <c r="T37" i="3"/>
  <c r="T36" i="3"/>
  <c r="T35" i="3"/>
  <c r="T34" i="3"/>
  <c r="T33" i="3"/>
  <c r="T32" i="3"/>
  <c r="T31" i="3"/>
  <c r="T30" i="3"/>
  <c r="T29" i="3"/>
  <c r="T28" i="3"/>
  <c r="T27" i="3"/>
  <c r="T26" i="3"/>
  <c r="T25" i="3"/>
  <c r="T24" i="3"/>
  <c r="T23" i="3"/>
  <c r="T22" i="3"/>
  <c r="T21" i="3"/>
  <c r="T20" i="3"/>
  <c r="T19" i="3"/>
  <c r="T18" i="3"/>
  <c r="T17" i="3"/>
  <c r="T16" i="3"/>
  <c r="T15" i="3"/>
  <c r="T14" i="3"/>
  <c r="T13" i="3"/>
  <c r="T12" i="3"/>
  <c r="T11" i="3"/>
  <c r="T10" i="3"/>
  <c r="T9" i="3"/>
  <c r="T8" i="3"/>
  <c r="T7" i="3"/>
  <c r="T6" i="3"/>
  <c r="T5" i="3"/>
  <c r="T4" i="3"/>
  <c r="T3" i="3"/>
  <c r="R145" i="3"/>
  <c r="Q145" i="3"/>
  <c r="P145" i="3"/>
  <c r="R144" i="3"/>
  <c r="Q144" i="3"/>
  <c r="P144" i="3"/>
  <c r="R143" i="3"/>
  <c r="Q143" i="3"/>
  <c r="P143" i="3"/>
  <c r="R142" i="3"/>
  <c r="Q142" i="3"/>
  <c r="P142" i="3"/>
  <c r="R141" i="3"/>
  <c r="Q141" i="3"/>
  <c r="P141" i="3"/>
  <c r="R140" i="3"/>
  <c r="Q140" i="3"/>
  <c r="P140" i="3"/>
  <c r="R139" i="3"/>
  <c r="Q139" i="3"/>
  <c r="P139" i="3"/>
  <c r="R138" i="3"/>
  <c r="Q138" i="3"/>
  <c r="P138" i="3"/>
  <c r="R137" i="3"/>
  <c r="Q137" i="3"/>
  <c r="P137" i="3"/>
  <c r="R136" i="3"/>
  <c r="Q136" i="3"/>
  <c r="P136" i="3"/>
  <c r="R135" i="3"/>
  <c r="Q135" i="3"/>
  <c r="P135" i="3"/>
  <c r="R134" i="3"/>
  <c r="Q134" i="3"/>
  <c r="P134" i="3"/>
  <c r="R133" i="3"/>
  <c r="Q133" i="3"/>
  <c r="P133" i="3"/>
  <c r="R132" i="3"/>
  <c r="Q132" i="3"/>
  <c r="P132" i="3"/>
  <c r="R131" i="3"/>
  <c r="Q131" i="3"/>
  <c r="P131" i="3"/>
  <c r="R130" i="3"/>
  <c r="Q130" i="3"/>
  <c r="P130" i="3"/>
  <c r="R129" i="3"/>
  <c r="Q129" i="3"/>
  <c r="P129" i="3"/>
  <c r="R128" i="3"/>
  <c r="Q128" i="3"/>
  <c r="P128" i="3"/>
  <c r="R127" i="3"/>
  <c r="Q127" i="3"/>
  <c r="P127" i="3"/>
  <c r="R126" i="3"/>
  <c r="Q126" i="3"/>
  <c r="P126" i="3"/>
  <c r="R125" i="3"/>
  <c r="Q125" i="3"/>
  <c r="P125" i="3"/>
  <c r="R124" i="3"/>
  <c r="Q124" i="3"/>
  <c r="P124" i="3"/>
  <c r="R123" i="3"/>
  <c r="Q123" i="3"/>
  <c r="P123" i="3"/>
  <c r="R122" i="3"/>
  <c r="Q122" i="3"/>
  <c r="P122" i="3"/>
  <c r="R121" i="3"/>
  <c r="Q121" i="3"/>
  <c r="P121" i="3"/>
  <c r="R120" i="3"/>
  <c r="Q120" i="3"/>
  <c r="P120" i="3"/>
  <c r="R119" i="3"/>
  <c r="Q119" i="3"/>
  <c r="P119" i="3"/>
  <c r="R118" i="3"/>
  <c r="Q118" i="3"/>
  <c r="P118" i="3"/>
  <c r="R117" i="3"/>
  <c r="Q117" i="3"/>
  <c r="P117" i="3"/>
  <c r="R116" i="3"/>
  <c r="Q116" i="3"/>
  <c r="P116" i="3"/>
  <c r="R115" i="3"/>
  <c r="Q115" i="3"/>
  <c r="P115" i="3"/>
  <c r="R114" i="3"/>
  <c r="Q114" i="3"/>
  <c r="P114" i="3"/>
  <c r="R113" i="3"/>
  <c r="Q113" i="3"/>
  <c r="P113" i="3"/>
  <c r="R112" i="3"/>
  <c r="Q112" i="3"/>
  <c r="P112" i="3"/>
  <c r="R111" i="3"/>
  <c r="Q111" i="3"/>
  <c r="P111" i="3"/>
  <c r="R110" i="3"/>
  <c r="Q110" i="3"/>
  <c r="P110" i="3"/>
  <c r="R109" i="3"/>
  <c r="Q109" i="3"/>
  <c r="P109" i="3"/>
  <c r="R108" i="3"/>
  <c r="Q108" i="3"/>
  <c r="P108" i="3"/>
  <c r="R107" i="3"/>
  <c r="Q107" i="3"/>
  <c r="P107" i="3"/>
  <c r="R106" i="3"/>
  <c r="Q106" i="3"/>
  <c r="P106" i="3"/>
  <c r="R105" i="3"/>
  <c r="Q105" i="3"/>
  <c r="P105" i="3"/>
  <c r="R104" i="3"/>
  <c r="Q104" i="3"/>
  <c r="P104" i="3"/>
  <c r="R103" i="3"/>
  <c r="Q103" i="3"/>
  <c r="P103" i="3"/>
  <c r="R102" i="3"/>
  <c r="Q102" i="3"/>
  <c r="P102" i="3"/>
  <c r="R101" i="3"/>
  <c r="Q101" i="3"/>
  <c r="P101" i="3"/>
  <c r="R100" i="3"/>
  <c r="Q100" i="3"/>
  <c r="P100" i="3"/>
  <c r="R99" i="3"/>
  <c r="Q99" i="3"/>
  <c r="P99" i="3"/>
  <c r="R98" i="3"/>
  <c r="Q98" i="3"/>
  <c r="P98" i="3"/>
  <c r="R97" i="3"/>
  <c r="Q97" i="3"/>
  <c r="P97" i="3"/>
  <c r="R96" i="3"/>
  <c r="Q96" i="3"/>
  <c r="P96" i="3"/>
  <c r="R95" i="3"/>
  <c r="Q95" i="3"/>
  <c r="P95" i="3"/>
  <c r="R94" i="3"/>
  <c r="Q94" i="3"/>
  <c r="P94" i="3"/>
  <c r="R93" i="3"/>
  <c r="Q93" i="3"/>
  <c r="P93" i="3"/>
  <c r="R92" i="3"/>
  <c r="Q92" i="3"/>
  <c r="P92" i="3"/>
  <c r="R91" i="3"/>
  <c r="Q91" i="3"/>
  <c r="P91" i="3"/>
  <c r="R90" i="3"/>
  <c r="Q90" i="3"/>
  <c r="P90" i="3"/>
  <c r="R89" i="3"/>
  <c r="Q89" i="3"/>
  <c r="P89" i="3"/>
  <c r="R88" i="3"/>
  <c r="Q88" i="3"/>
  <c r="P88" i="3"/>
  <c r="R87" i="3"/>
  <c r="Q87" i="3"/>
  <c r="P87" i="3"/>
  <c r="R86" i="3"/>
  <c r="Q86" i="3"/>
  <c r="P86" i="3"/>
  <c r="R85" i="3"/>
  <c r="Q85" i="3"/>
  <c r="P85" i="3"/>
  <c r="R84" i="3"/>
  <c r="Q84" i="3"/>
  <c r="P84" i="3"/>
  <c r="R83" i="3"/>
  <c r="Q83" i="3"/>
  <c r="P83" i="3"/>
  <c r="R82" i="3"/>
  <c r="Q82" i="3"/>
  <c r="P82" i="3"/>
  <c r="R81" i="3"/>
  <c r="Q81" i="3"/>
  <c r="P81" i="3"/>
  <c r="R80" i="3"/>
  <c r="Q80" i="3"/>
  <c r="P80" i="3"/>
  <c r="R79" i="3"/>
  <c r="Q79" i="3"/>
  <c r="P79" i="3"/>
  <c r="R78" i="3"/>
  <c r="Q78" i="3"/>
  <c r="P78" i="3"/>
  <c r="R77" i="3"/>
  <c r="Q77" i="3"/>
  <c r="P77" i="3"/>
  <c r="R76" i="3"/>
  <c r="Q76" i="3"/>
  <c r="P76" i="3"/>
  <c r="R75" i="3"/>
  <c r="Q75" i="3"/>
  <c r="P75" i="3"/>
  <c r="R74" i="3"/>
  <c r="Q74" i="3"/>
  <c r="P74" i="3"/>
  <c r="R73" i="3"/>
  <c r="Q73" i="3"/>
  <c r="P73" i="3"/>
  <c r="R72" i="3"/>
  <c r="Q72" i="3"/>
  <c r="P72" i="3"/>
  <c r="R71" i="3"/>
  <c r="Q71" i="3"/>
  <c r="P71" i="3"/>
  <c r="R70" i="3"/>
  <c r="Q70" i="3"/>
  <c r="P70" i="3"/>
  <c r="R69" i="3"/>
  <c r="Q69" i="3"/>
  <c r="P69" i="3"/>
  <c r="R68" i="3"/>
  <c r="Q68" i="3"/>
  <c r="P68" i="3"/>
  <c r="R67" i="3"/>
  <c r="Q67" i="3"/>
  <c r="P67" i="3"/>
  <c r="R66" i="3"/>
  <c r="Q66" i="3"/>
  <c r="P66" i="3"/>
  <c r="R65" i="3"/>
  <c r="Q65" i="3"/>
  <c r="P65" i="3"/>
  <c r="R64" i="3"/>
  <c r="Q64" i="3"/>
  <c r="P64" i="3"/>
  <c r="R63" i="3"/>
  <c r="Q63" i="3"/>
  <c r="P63" i="3"/>
  <c r="R62" i="3"/>
  <c r="Q62" i="3"/>
  <c r="P62" i="3"/>
  <c r="R61" i="3"/>
  <c r="Q61" i="3"/>
  <c r="P61" i="3"/>
  <c r="R60" i="3"/>
  <c r="Q60" i="3"/>
  <c r="P60" i="3"/>
  <c r="R59" i="3"/>
  <c r="Q59" i="3"/>
  <c r="P59" i="3"/>
  <c r="R58" i="3"/>
  <c r="Q58" i="3"/>
  <c r="P58" i="3"/>
  <c r="R57" i="3"/>
  <c r="Q57" i="3"/>
  <c r="P57" i="3"/>
  <c r="R56" i="3"/>
  <c r="Q56" i="3"/>
  <c r="P56" i="3"/>
  <c r="R55" i="3"/>
  <c r="Q55" i="3"/>
  <c r="P55" i="3"/>
  <c r="R54" i="3"/>
  <c r="Q54" i="3"/>
  <c r="P54" i="3"/>
  <c r="R53" i="3"/>
  <c r="Q53" i="3"/>
  <c r="P53" i="3"/>
  <c r="R52" i="3"/>
  <c r="Q52" i="3"/>
  <c r="P52" i="3"/>
  <c r="R51" i="3"/>
  <c r="Q51" i="3"/>
  <c r="P51" i="3"/>
  <c r="R50" i="3"/>
  <c r="Q50" i="3"/>
  <c r="P50" i="3"/>
  <c r="R49" i="3"/>
  <c r="Q49" i="3"/>
  <c r="P49" i="3"/>
  <c r="R48" i="3"/>
  <c r="Q48" i="3"/>
  <c r="P48" i="3"/>
  <c r="R47" i="3"/>
  <c r="Q47" i="3"/>
  <c r="P47" i="3"/>
  <c r="R46" i="3"/>
  <c r="Q46" i="3"/>
  <c r="P46" i="3"/>
  <c r="R45" i="3"/>
  <c r="Q45" i="3"/>
  <c r="P45" i="3"/>
  <c r="R44" i="3"/>
  <c r="Q44" i="3"/>
  <c r="P44" i="3"/>
  <c r="R43" i="3"/>
  <c r="Q43" i="3"/>
  <c r="P43" i="3"/>
  <c r="R42" i="3"/>
  <c r="Q42" i="3"/>
  <c r="P42" i="3"/>
  <c r="R41" i="3"/>
  <c r="Q41" i="3"/>
  <c r="P41" i="3"/>
  <c r="R40" i="3"/>
  <c r="Q40" i="3"/>
  <c r="P40" i="3"/>
  <c r="R39" i="3"/>
  <c r="Q39" i="3"/>
  <c r="P39" i="3"/>
  <c r="R38" i="3"/>
  <c r="Q38" i="3"/>
  <c r="P38" i="3"/>
  <c r="R37" i="3"/>
  <c r="Q37" i="3"/>
  <c r="P37" i="3"/>
  <c r="R36" i="3"/>
  <c r="Q36" i="3"/>
  <c r="P36" i="3"/>
  <c r="R35" i="3"/>
  <c r="Q35" i="3"/>
  <c r="P35" i="3"/>
  <c r="R34" i="3"/>
  <c r="Q34" i="3"/>
  <c r="P34" i="3"/>
  <c r="R33" i="3"/>
  <c r="Q33" i="3"/>
  <c r="P33" i="3"/>
  <c r="R32" i="3"/>
  <c r="Q32" i="3"/>
  <c r="P32" i="3"/>
  <c r="R31" i="3"/>
  <c r="Q31" i="3"/>
  <c r="P31" i="3"/>
  <c r="R30" i="3"/>
  <c r="Q30" i="3"/>
  <c r="P30" i="3"/>
  <c r="R29" i="3"/>
  <c r="Q29" i="3"/>
  <c r="P29" i="3"/>
  <c r="R28" i="3"/>
  <c r="Q28" i="3"/>
  <c r="P28" i="3"/>
  <c r="R27" i="3"/>
  <c r="Q27" i="3"/>
  <c r="P27" i="3"/>
  <c r="R26" i="3"/>
  <c r="Q26" i="3"/>
  <c r="P26" i="3"/>
  <c r="R25" i="3"/>
  <c r="Q25" i="3"/>
  <c r="P25" i="3"/>
  <c r="R24" i="3"/>
  <c r="Q24" i="3"/>
  <c r="P24" i="3"/>
  <c r="R23" i="3"/>
  <c r="Q23" i="3"/>
  <c r="P23" i="3"/>
  <c r="R22" i="3"/>
  <c r="Q22" i="3"/>
  <c r="P22" i="3"/>
  <c r="R21" i="3"/>
  <c r="Q21" i="3"/>
  <c r="P21" i="3"/>
  <c r="R20" i="3"/>
  <c r="Q20" i="3"/>
  <c r="P20" i="3"/>
  <c r="R19" i="3"/>
  <c r="Q19" i="3"/>
  <c r="P19" i="3"/>
  <c r="R18" i="3"/>
  <c r="Q18" i="3"/>
  <c r="P18" i="3"/>
  <c r="R17" i="3"/>
  <c r="Q17" i="3"/>
  <c r="P17" i="3"/>
  <c r="R16" i="3"/>
  <c r="Q16" i="3"/>
  <c r="P16" i="3"/>
  <c r="R15" i="3"/>
  <c r="Q15" i="3"/>
  <c r="P15" i="3"/>
  <c r="R14" i="3"/>
  <c r="Q14" i="3"/>
  <c r="P14" i="3"/>
  <c r="R13" i="3"/>
  <c r="Q13" i="3"/>
  <c r="P13" i="3"/>
  <c r="R12" i="3"/>
  <c r="Q12" i="3"/>
  <c r="P12" i="3"/>
  <c r="R11" i="3"/>
  <c r="Q11" i="3"/>
  <c r="P11" i="3"/>
  <c r="R10" i="3"/>
  <c r="Q10" i="3"/>
  <c r="P10" i="3"/>
  <c r="R9" i="3"/>
  <c r="Q9" i="3"/>
  <c r="P9" i="3"/>
  <c r="R8" i="3"/>
  <c r="Q8" i="3"/>
  <c r="P8" i="3"/>
  <c r="R7" i="3"/>
  <c r="Q7" i="3"/>
  <c r="P7" i="3"/>
  <c r="R6" i="3"/>
  <c r="Q6" i="3"/>
  <c r="P6" i="3"/>
  <c r="R5" i="3"/>
  <c r="Q5" i="3"/>
  <c r="P5" i="3"/>
  <c r="R4" i="3"/>
  <c r="Q4" i="3"/>
  <c r="P4" i="3"/>
  <c r="R3" i="3"/>
  <c r="Q3" i="3"/>
  <c r="P3" i="3"/>
  <c r="R2" i="3"/>
  <c r="Q2" i="3"/>
  <c r="P2" i="3"/>
  <c r="T2" i="3"/>
  <c r="L5" i="9" l="1"/>
  <c r="J5" i="9"/>
  <c r="Z3" i="3"/>
  <c r="AC3" i="3" s="1"/>
  <c r="AC146" i="3" s="1"/>
  <c r="Z19" i="3"/>
  <c r="AC19" i="3" s="1"/>
  <c r="Z35" i="3"/>
  <c r="AC35" i="3" s="1"/>
  <c r="Z51" i="3"/>
  <c r="AC51" i="3" s="1"/>
  <c r="Z67" i="3"/>
  <c r="AC67" i="3" s="1"/>
  <c r="Z83" i="3"/>
  <c r="AC83" i="3" s="1"/>
  <c r="Z99" i="3"/>
  <c r="AC99" i="3" s="1"/>
  <c r="Z115" i="3"/>
  <c r="AC115" i="3" s="1"/>
  <c r="Z131" i="3"/>
  <c r="AC131" i="3" s="1"/>
  <c r="M86" i="3"/>
  <c r="Z14" i="3"/>
  <c r="AC14" i="3" s="1"/>
  <c r="Z30" i="3"/>
  <c r="AC30" i="3" s="1"/>
  <c r="Z46" i="3"/>
  <c r="AC46" i="3" s="1"/>
  <c r="Z62" i="3"/>
  <c r="AC62" i="3" s="1"/>
  <c r="Z78" i="3"/>
  <c r="AC78" i="3" s="1"/>
  <c r="Z94" i="3"/>
  <c r="AC94" i="3" s="1"/>
  <c r="Z110" i="3"/>
  <c r="AC110" i="3" s="1"/>
  <c r="Z126" i="3"/>
  <c r="AC126" i="3" s="1"/>
  <c r="Z142" i="3"/>
  <c r="AC142" i="3" s="1"/>
  <c r="Z16" i="3"/>
  <c r="AC16" i="3" s="1"/>
  <c r="Z32" i="3"/>
  <c r="AC32" i="3" s="1"/>
  <c r="Z48" i="3"/>
  <c r="AC48" i="3" s="1"/>
  <c r="Z64" i="3"/>
  <c r="AC64" i="3" s="1"/>
  <c r="Z80" i="3"/>
  <c r="AC80" i="3" s="1"/>
  <c r="Z96" i="3"/>
  <c r="AC96" i="3" s="1"/>
  <c r="Z112" i="3"/>
  <c r="AC112" i="3" s="1"/>
  <c r="Z128" i="3"/>
  <c r="AC128" i="3" s="1"/>
  <c r="Z144" i="3"/>
  <c r="AC144" i="3" s="1"/>
  <c r="Z17" i="3"/>
  <c r="AC17" i="3" s="1"/>
  <c r="Z33" i="3"/>
  <c r="AC33" i="3" s="1"/>
  <c r="Z49" i="3"/>
  <c r="AC49" i="3" s="1"/>
  <c r="Z65" i="3"/>
  <c r="AC65" i="3" s="1"/>
  <c r="Z81" i="3"/>
  <c r="AC81" i="3" s="1"/>
  <c r="Z97" i="3"/>
  <c r="AC97" i="3" s="1"/>
  <c r="Z113" i="3"/>
  <c r="AC113" i="3" s="1"/>
  <c r="Z129" i="3"/>
  <c r="AC129" i="3" s="1"/>
  <c r="Z145" i="3"/>
  <c r="AC145" i="3" s="1"/>
  <c r="Z18" i="3"/>
  <c r="AC18" i="3" s="1"/>
  <c r="Z34" i="3"/>
  <c r="AC34" i="3" s="1"/>
  <c r="Z50" i="3"/>
  <c r="AC50" i="3" s="1"/>
  <c r="Z66" i="3"/>
  <c r="AC66" i="3" s="1"/>
  <c r="Z82" i="3"/>
  <c r="AC82" i="3" s="1"/>
  <c r="M87" i="3"/>
  <c r="M25" i="3"/>
  <c r="M89" i="3"/>
  <c r="M121" i="3"/>
  <c r="B14" i="8"/>
  <c r="C11" i="8"/>
  <c r="M100" i="3"/>
  <c r="M116" i="3"/>
  <c r="M5" i="3"/>
  <c r="M21" i="3"/>
  <c r="M53" i="3"/>
  <c r="M85" i="3"/>
  <c r="M15" i="3"/>
  <c r="M31" i="3"/>
  <c r="M79" i="3"/>
  <c r="M95" i="3"/>
  <c r="M111" i="3"/>
  <c r="M127" i="3"/>
  <c r="M74" i="3"/>
  <c r="M58" i="3"/>
  <c r="M16" i="3"/>
  <c r="M32" i="3"/>
  <c r="M48" i="3"/>
  <c r="M64" i="3"/>
  <c r="M80" i="3"/>
  <c r="M96" i="3"/>
  <c r="M112" i="3"/>
  <c r="M128" i="3"/>
  <c r="M144" i="3"/>
  <c r="M33" i="3"/>
  <c r="M49" i="3"/>
  <c r="M65" i="3"/>
  <c r="M81" i="3"/>
  <c r="M97" i="3"/>
  <c r="M113" i="3"/>
  <c r="M129" i="3"/>
  <c r="M145" i="3"/>
  <c r="M27" i="3"/>
  <c r="M138" i="3"/>
  <c r="M59" i="3"/>
  <c r="M91" i="3"/>
  <c r="M12" i="3"/>
  <c r="M44" i="3"/>
  <c r="M76" i="3"/>
  <c r="M108" i="3"/>
  <c r="M13" i="3"/>
  <c r="M29" i="3"/>
  <c r="M45" i="3"/>
  <c r="M61" i="3"/>
  <c r="M93" i="3"/>
  <c r="M109" i="3"/>
  <c r="M125" i="3"/>
  <c r="M141" i="3"/>
  <c r="M39" i="3"/>
  <c r="M71" i="3"/>
  <c r="M43" i="3"/>
  <c r="M28" i="3"/>
  <c r="M60" i="3"/>
  <c r="M7" i="3"/>
  <c r="M14" i="3"/>
  <c r="M94" i="3"/>
  <c r="M110" i="3"/>
  <c r="M8" i="3"/>
  <c r="M135" i="3"/>
  <c r="M40" i="3"/>
  <c r="M56" i="3"/>
  <c r="M104" i="3"/>
  <c r="M136" i="3"/>
  <c r="M98" i="3"/>
  <c r="M130" i="3"/>
  <c r="M3" i="3"/>
  <c r="M19" i="3"/>
  <c r="M35" i="3"/>
  <c r="M51" i="3"/>
  <c r="M67" i="3"/>
  <c r="M83" i="3"/>
  <c r="M131" i="3"/>
  <c r="M124" i="3"/>
  <c r="M140" i="3"/>
  <c r="M30" i="3"/>
  <c r="M46" i="3"/>
  <c r="M78" i="3"/>
  <c r="M126" i="3"/>
  <c r="M142" i="3"/>
  <c r="M4" i="3"/>
  <c r="M20" i="3"/>
  <c r="M36" i="3"/>
  <c r="M52" i="3"/>
  <c r="M68" i="3"/>
  <c r="M84" i="3"/>
  <c r="M132" i="3"/>
  <c r="M101" i="3"/>
  <c r="M117" i="3"/>
  <c r="M133" i="3"/>
  <c r="M38" i="3"/>
  <c r="M54" i="3"/>
  <c r="M70" i="3"/>
  <c r="M102" i="3"/>
  <c r="M118" i="3"/>
  <c r="M134" i="3"/>
  <c r="M23" i="3"/>
  <c r="M55" i="3"/>
  <c r="M119" i="3"/>
  <c r="M24" i="3"/>
  <c r="M120" i="3"/>
  <c r="M57" i="3"/>
  <c r="M73" i="3"/>
  <c r="M10" i="3"/>
  <c r="M26" i="3"/>
  <c r="M42" i="3"/>
  <c r="M90" i="3"/>
  <c r="M106" i="3"/>
  <c r="M6" i="3"/>
  <c r="M22" i="3"/>
  <c r="M92" i="3"/>
  <c r="M77" i="3"/>
  <c r="M62" i="3"/>
  <c r="M114" i="3"/>
  <c r="M47" i="3"/>
  <c r="M63" i="3"/>
  <c r="M143" i="3"/>
  <c r="M17" i="3"/>
  <c r="M18" i="3"/>
  <c r="M99" i="3"/>
  <c r="M115" i="3"/>
  <c r="M37" i="3"/>
  <c r="M69" i="3"/>
  <c r="M50" i="3"/>
  <c r="M72" i="3"/>
  <c r="M103" i="3"/>
  <c r="M9" i="3"/>
  <c r="M41" i="3"/>
  <c r="M105" i="3"/>
  <c r="M137" i="3"/>
  <c r="M122" i="3"/>
  <c r="M82" i="3"/>
  <c r="M11" i="3"/>
  <c r="M75" i="3"/>
  <c r="M107" i="3"/>
  <c r="M123" i="3"/>
  <c r="M139" i="3"/>
  <c r="AD30" i="3" l="1"/>
  <c r="AH30" i="3" s="1"/>
  <c r="AD55" i="3"/>
  <c r="AH55" i="3" s="1"/>
  <c r="AD107" i="3"/>
  <c r="AH107" i="3" s="1"/>
  <c r="AD24" i="3"/>
  <c r="AH24" i="3" s="1"/>
  <c r="AD59" i="3"/>
  <c r="AH59" i="3" s="1"/>
  <c r="AD95" i="3"/>
  <c r="AH95" i="3" s="1"/>
  <c r="AD117" i="3"/>
  <c r="AH117" i="3" s="1"/>
  <c r="AD14" i="3"/>
  <c r="AH14" i="3" s="1"/>
  <c r="AD39" i="3"/>
  <c r="AH39" i="3" s="1"/>
  <c r="AD143" i="3"/>
  <c r="AH143" i="3" s="1"/>
  <c r="AD127" i="3"/>
  <c r="AH127" i="3" s="1"/>
  <c r="AD8" i="3"/>
  <c r="AH8" i="3" s="1"/>
  <c r="AD139" i="3"/>
  <c r="AH139" i="3" s="1"/>
  <c r="AD128" i="3"/>
  <c r="AH128" i="3" s="1"/>
  <c r="AD137" i="3"/>
  <c r="AH137" i="3" s="1"/>
  <c r="AD131" i="3"/>
  <c r="AH131" i="3" s="1"/>
  <c r="AD27" i="3"/>
  <c r="AH27" i="3"/>
  <c r="AD63" i="3"/>
  <c r="AH63" i="3"/>
  <c r="AD85" i="3"/>
  <c r="AH85" i="3" s="1"/>
  <c r="AD115" i="3"/>
  <c r="AH115" i="3" s="1"/>
  <c r="AD7" i="3"/>
  <c r="AH7" i="3" s="1"/>
  <c r="AD62" i="3"/>
  <c r="AH62" i="3" s="1"/>
  <c r="AD56" i="3"/>
  <c r="AH56" i="3" s="1"/>
  <c r="AD71" i="3"/>
  <c r="AH71" i="3" s="1"/>
  <c r="AD75" i="3"/>
  <c r="AH75" i="3" s="1"/>
  <c r="AD96" i="3"/>
  <c r="AH96" i="3" s="1"/>
  <c r="AD11" i="3"/>
  <c r="AH11" i="3" s="1"/>
  <c r="AD129" i="3"/>
  <c r="AH129" i="3"/>
  <c r="AD36" i="3"/>
  <c r="AH36" i="3"/>
  <c r="AD40" i="3"/>
  <c r="AH40" i="3" s="1"/>
  <c r="AD121" i="3"/>
  <c r="AH121" i="3" s="1"/>
  <c r="AD64" i="3"/>
  <c r="AH64" i="3" s="1"/>
  <c r="AD47" i="3"/>
  <c r="AH47" i="3" s="1"/>
  <c r="AD48" i="3"/>
  <c r="AH48" i="3" s="1"/>
  <c r="AD53" i="3"/>
  <c r="AH53" i="3" s="1"/>
  <c r="AD57" i="3"/>
  <c r="AH57" i="3" s="1"/>
  <c r="AD67" i="3"/>
  <c r="AH67" i="3"/>
  <c r="AD41" i="3"/>
  <c r="AH41" i="3" s="1"/>
  <c r="AD81" i="3"/>
  <c r="AH81" i="3" s="1"/>
  <c r="AD20" i="3"/>
  <c r="AH20" i="3"/>
  <c r="AD46" i="3"/>
  <c r="AH46" i="3" s="1"/>
  <c r="AD133" i="3"/>
  <c r="AH133" i="3"/>
  <c r="AD79" i="3"/>
  <c r="AH79" i="3" s="1"/>
  <c r="AD105" i="3"/>
  <c r="AH105" i="3" s="1"/>
  <c r="AD125" i="3"/>
  <c r="AH125" i="3" s="1"/>
  <c r="AD69" i="3"/>
  <c r="AH69" i="3" s="1"/>
  <c r="AD140" i="3"/>
  <c r="AH140" i="3" s="1"/>
  <c r="AD31" i="3"/>
  <c r="AH31" i="3" s="1"/>
  <c r="AD113" i="3"/>
  <c r="AH113" i="3" s="1"/>
  <c r="AD32" i="3"/>
  <c r="AH32" i="3"/>
  <c r="AD102" i="3"/>
  <c r="AH102" i="3" s="1"/>
  <c r="AD106" i="3"/>
  <c r="AH106" i="3" s="1"/>
  <c r="AD70" i="3"/>
  <c r="AH70" i="3" s="1"/>
  <c r="AD18" i="3"/>
  <c r="AH18" i="3" s="1"/>
  <c r="AD144" i="3"/>
  <c r="AH144" i="3" s="1"/>
  <c r="AD4" i="3"/>
  <c r="AH4" i="3" s="1"/>
  <c r="AD43" i="3"/>
  <c r="AH43" i="3" s="1"/>
  <c r="AD89" i="3"/>
  <c r="AH89" i="3" s="1"/>
  <c r="AD138" i="3"/>
  <c r="AH138" i="3" s="1"/>
  <c r="AD93" i="3"/>
  <c r="AH93" i="3" s="1"/>
  <c r="AD37" i="3"/>
  <c r="AH37" i="3" s="1"/>
  <c r="AD77" i="3"/>
  <c r="AH77" i="3" s="1"/>
  <c r="AD51" i="3"/>
  <c r="AH51" i="3" s="1"/>
  <c r="AD132" i="3"/>
  <c r="AH132" i="3"/>
  <c r="AD5" i="3"/>
  <c r="AH5" i="3" s="1"/>
  <c r="AD45" i="3"/>
  <c r="AH45" i="3" s="1"/>
  <c r="AD19" i="3"/>
  <c r="AH19" i="3" s="1"/>
  <c r="AD49" i="3"/>
  <c r="AH49" i="3" s="1"/>
  <c r="AD60" i="3"/>
  <c r="AH60" i="3" s="1"/>
  <c r="AD29" i="3"/>
  <c r="AH29" i="3" s="1"/>
  <c r="AD82" i="3"/>
  <c r="AH82" i="3" s="1"/>
  <c r="AD38" i="3"/>
  <c r="AH38" i="3" s="1"/>
  <c r="AD44" i="3"/>
  <c r="AH44" i="3" s="1"/>
  <c r="AD13" i="3"/>
  <c r="AH13" i="3" s="1"/>
  <c r="AD66" i="3"/>
  <c r="AH66" i="3" s="1"/>
  <c r="AD135" i="3"/>
  <c r="AH135" i="3" s="1"/>
  <c r="AD22" i="3"/>
  <c r="AH22" i="3" s="1"/>
  <c r="AD17" i="3"/>
  <c r="AH17" i="3" s="1"/>
  <c r="AD72" i="3"/>
  <c r="AH72" i="3" s="1"/>
  <c r="AD91" i="3"/>
  <c r="AH91" i="3"/>
  <c r="AD112" i="3"/>
  <c r="AH112" i="3" s="1"/>
  <c r="AD23" i="3"/>
  <c r="AH23" i="3" s="1"/>
  <c r="AD80" i="3"/>
  <c r="AH80" i="3" s="1"/>
  <c r="AD134" i="3"/>
  <c r="AH134" i="3" s="1"/>
  <c r="AD109" i="3"/>
  <c r="AH109" i="3"/>
  <c r="AD83" i="3"/>
  <c r="AH83" i="3" s="1"/>
  <c r="AD124" i="3"/>
  <c r="AH124" i="3" s="1"/>
  <c r="AD15" i="3"/>
  <c r="AH15" i="3" s="1"/>
  <c r="AD97" i="3"/>
  <c r="AH97" i="3" s="1"/>
  <c r="AD16" i="3"/>
  <c r="AH16" i="3" s="1"/>
  <c r="AD21" i="3"/>
  <c r="AH21" i="3" s="1"/>
  <c r="AD25" i="3"/>
  <c r="AH25" i="3" s="1"/>
  <c r="AD61" i="3"/>
  <c r="AH61" i="3" s="1"/>
  <c r="AD114" i="3"/>
  <c r="AH114" i="3"/>
  <c r="AD35" i="3"/>
  <c r="AH35" i="3" s="1"/>
  <c r="AD65" i="3"/>
  <c r="AH65" i="3"/>
  <c r="AD76" i="3"/>
  <c r="AH76" i="3" s="1"/>
  <c r="AD116" i="3"/>
  <c r="AH116" i="3" s="1"/>
  <c r="AD74" i="3"/>
  <c r="AH74" i="3" s="1"/>
  <c r="AD142" i="3"/>
  <c r="AH142" i="3" s="1"/>
  <c r="AD54" i="3"/>
  <c r="AH54" i="3" s="1"/>
  <c r="AD100" i="3"/>
  <c r="AH100" i="3" s="1"/>
  <c r="AD58" i="3"/>
  <c r="AH58" i="3" s="1"/>
  <c r="AD3" i="3"/>
  <c r="AH3" i="3"/>
  <c r="AD33" i="3"/>
  <c r="AH33" i="3"/>
  <c r="AD84" i="3"/>
  <c r="AH84" i="3" s="1"/>
  <c r="AD110" i="3"/>
  <c r="AH110" i="3" s="1"/>
  <c r="AD68" i="3"/>
  <c r="AH68" i="3" s="1"/>
  <c r="AD104" i="3"/>
  <c r="AH104" i="3" s="1"/>
  <c r="AD145" i="3"/>
  <c r="AH145" i="3" s="1"/>
  <c r="AD26" i="3"/>
  <c r="AH26" i="3" s="1"/>
  <c r="AD50" i="3"/>
  <c r="AH50" i="3" s="1"/>
  <c r="AD94" i="3"/>
  <c r="AH94" i="3" s="1"/>
  <c r="AD119" i="3"/>
  <c r="AH119" i="3" s="1"/>
  <c r="AD6" i="3"/>
  <c r="AH6" i="3" s="1"/>
  <c r="AD87" i="3"/>
  <c r="AH87" i="3" s="1"/>
  <c r="AD111" i="3"/>
  <c r="AH111" i="3"/>
  <c r="AD101" i="3"/>
  <c r="AH101" i="3" s="1"/>
  <c r="AD141" i="3"/>
  <c r="AH141" i="3" s="1"/>
  <c r="AD99" i="3"/>
  <c r="AH99" i="3" s="1"/>
  <c r="AD73" i="3"/>
  <c r="AH73" i="3" s="1"/>
  <c r="AD118" i="3"/>
  <c r="AH118" i="3"/>
  <c r="AD122" i="3"/>
  <c r="AH122" i="3" s="1"/>
  <c r="AD108" i="3"/>
  <c r="AH108" i="3" s="1"/>
  <c r="AD130" i="3"/>
  <c r="AH130" i="3" s="1"/>
  <c r="AD86" i="3"/>
  <c r="AH86" i="3" s="1"/>
  <c r="AD92" i="3"/>
  <c r="AH92" i="3"/>
  <c r="AD90" i="3"/>
  <c r="AH90" i="3" s="1"/>
  <c r="AD9" i="3"/>
  <c r="AH9" i="3" s="1"/>
  <c r="AD98" i="3"/>
  <c r="AH98" i="3" s="1"/>
  <c r="AD136" i="3"/>
  <c r="AH136" i="3" s="1"/>
  <c r="AD126" i="3"/>
  <c r="AH126" i="3" s="1"/>
  <c r="AD120" i="3"/>
  <c r="AH120" i="3" s="1"/>
  <c r="AD42" i="3"/>
  <c r="AH42" i="3"/>
  <c r="AD28" i="3"/>
  <c r="AH28" i="3" s="1"/>
  <c r="AD12" i="3"/>
  <c r="AH12" i="3" s="1"/>
  <c r="AD52" i="3"/>
  <c r="AH52" i="3" s="1"/>
  <c r="AD88" i="3"/>
  <c r="AH88" i="3" s="1"/>
  <c r="AD123" i="3"/>
  <c r="AH123" i="3" s="1"/>
  <c r="AD10" i="3"/>
  <c r="AH10" i="3"/>
  <c r="AD34" i="3"/>
  <c r="AH34" i="3" s="1"/>
  <c r="AD78" i="3"/>
  <c r="AH78" i="3" s="1"/>
  <c r="AD103" i="3"/>
  <c r="AH103" i="3" s="1"/>
  <c r="AD2" i="3"/>
  <c r="AH2" i="3" l="1"/>
  <c r="AH146" i="3" s="1"/>
  <c r="AD14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Lucas Barbuto</author>
  </authors>
  <commentList>
    <comment ref="G1" authorId="0" shapeId="0" xr:uid="{4235E3C2-C736-4D9A-ACD5-CB0B6C97B458}">
      <text>
        <r>
          <rPr>
            <b/>
            <sz val="9"/>
            <color indexed="81"/>
            <rFont val="Tahoma"/>
            <charset val="1"/>
          </rPr>
          <t>Lucas Barbuto:</t>
        </r>
        <r>
          <rPr>
            <sz val="9"/>
            <color indexed="81"/>
            <rFont val="Tahoma"/>
            <charset val="1"/>
          </rPr>
          <t xml:space="preserve">
Columna original conservada solo como referencia y auditoria. Las 11 celdas en amarillo son los valores que faltaban. No usar para analisis: usar 'Min Speed (mph)' o 'Min Speed (km/h)'.</t>
        </r>
      </text>
    </comment>
    <comment ref="H1" authorId="0" shapeId="0" xr:uid="{58776EA9-BB4E-4AB1-9050-EDBA97D54BF5}">
      <text>
        <r>
          <rPr>
            <b/>
            <sz val="9"/>
            <color indexed="81"/>
            <rFont val="Tahoma"/>
            <charset val="1"/>
          </rPr>
          <t>Lucas Barbuto:</t>
        </r>
        <r>
          <rPr>
            <sz val="9"/>
            <color indexed="81"/>
            <rFont val="Tahoma"/>
            <charset val="1"/>
          </rPr>
          <t xml:space="preserve">
Columna estandarizada: toma el valor original de la columna G y, cuando falta (11 filas: 7, 15, 27, 41, 49, 64, 71, 89, 117, 138, 142), lo imputa con XLOOKUP contra la tabla de especificaciones de producto en Lookups!G:I. Regla derivada del propio conjunto de datos: Unicycle 15 mph, Scooter 20 mph, Skateboard 18 mph (133 filas coincidentes, 0 excepciones).</t>
        </r>
      </text>
    </comment>
    <comment ref="A26" authorId="0" shapeId="0" xr:uid="{C93DE653-F4DF-4EB6-B4FE-2428EC06D1DE}">
      <text>
        <r>
          <rPr>
            <b/>
            <sz val="9"/>
            <color indexed="81"/>
            <rFont val="Tahoma"/>
            <charset val="1"/>
          </rPr>
          <t>DATA QUALITY: the 12 March rows are identical to the February rows (rep, product, units, discount, sales). Verify with the source system — March figures are unreliable until confirmed.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Lucas Barbuto</author>
  </authors>
  <commentList>
    <comment ref="O15" authorId="0" shapeId="0" xr:uid="{72B70C2C-CF68-43FE-A52F-44A7CA34692D}">
      <text>
        <r>
          <rPr>
            <b/>
            <sz val="9"/>
            <color indexed="81"/>
            <rFont val="Tahoma"/>
            <charset val="1"/>
          </rPr>
          <t>Assumption: the dataset does not state a year. Adjust if the real year is known — the 'Month (date)' column in the data table will update automatically.</t>
        </r>
      </text>
    </comment>
  </commentList>
</comments>
</file>

<file path=xl/sharedStrings.xml><?xml version="1.0" encoding="utf-8"?>
<sst xmlns="http://schemas.openxmlformats.org/spreadsheetml/2006/main" count="1655" uniqueCount="179">
  <si>
    <t>Sales Rep ID</t>
  </si>
  <si>
    <t>Rep First Name</t>
  </si>
  <si>
    <t>Rep Last Name</t>
  </si>
  <si>
    <t>Month</t>
  </si>
  <si>
    <t>Product Type</t>
  </si>
  <si>
    <t>Min Speed</t>
  </si>
  <si>
    <t>Speed</t>
  </si>
  <si>
    <t>Distance</t>
  </si>
  <si>
    <t>Shipping Address</t>
  </si>
  <si>
    <t>Country Code</t>
  </si>
  <si>
    <t>Unit Price</t>
  </si>
  <si>
    <t>Units Sold</t>
  </si>
  <si>
    <t>Discount (%)</t>
  </si>
  <si>
    <t>Sanya</t>
  </si>
  <si>
    <t>Joshi</t>
  </si>
  <si>
    <t>January</t>
  </si>
  <si>
    <t>Electric Unicycle</t>
  </si>
  <si>
    <t>15 mph</t>
  </si>
  <si>
    <t>30 mph</t>
  </si>
  <si>
    <t>30 miles</t>
  </si>
  <si>
    <t>456 Brigade Road, Bengaluru, 560001</t>
  </si>
  <si>
    <t>IN</t>
  </si>
  <si>
    <t>₹30,000</t>
  </si>
  <si>
    <t>Electric Scooter</t>
  </si>
  <si>
    <t>20 mph</t>
  </si>
  <si>
    <t>35 mph</t>
  </si>
  <si>
    <t>40 miles</t>
  </si>
  <si>
    <t>457 Brigade Road, Bengaluru, 560001</t>
  </si>
  <si>
    <t>₹25,000</t>
  </si>
  <si>
    <t>Electric Skateboard</t>
  </si>
  <si>
    <t>18 mph</t>
  </si>
  <si>
    <t>28 mph</t>
  </si>
  <si>
    <t>25 miles</t>
  </si>
  <si>
    <t>458 Brigade Road, Bengaluru, 560001</t>
  </si>
  <si>
    <t>₹22,000</t>
  </si>
  <si>
    <t>Fang</t>
  </si>
  <si>
    <t>Liu</t>
  </si>
  <si>
    <t>99 Nanjing Road, Shanghai, 200001</t>
  </si>
  <si>
    <t>CN</t>
  </si>
  <si>
    <t>¥5,000</t>
  </si>
  <si>
    <t>100 Nanjing Road, Shanghai, 200001</t>
  </si>
  <si>
    <t>¥3,500</t>
  </si>
  <si>
    <t>40,230 meters</t>
  </si>
  <si>
    <t>101 Nanjing Road, Shanghai, 200001</t>
  </si>
  <si>
    <t>¥4,200</t>
  </si>
  <si>
    <t>Jonas</t>
  </si>
  <si>
    <t>Fischer</t>
  </si>
  <si>
    <t>48,280 meters</t>
  </si>
  <si>
    <t>303 Ringstraße, Hamburg, 20095</t>
  </si>
  <si>
    <t>DE</t>
  </si>
  <si>
    <t>€1000</t>
  </si>
  <si>
    <t>304 Ringstraße, Hamburg, 20095</t>
  </si>
  <si>
    <t>€800</t>
  </si>
  <si>
    <t>305 Ringstraße, Hamburg, 20095</t>
  </si>
  <si>
    <t>€950</t>
  </si>
  <si>
    <t>Théo</t>
  </si>
  <si>
    <t>Bernard</t>
  </si>
  <si>
    <t>56 Boulevard Saint-Germain, Paris, 75005</t>
  </si>
  <si>
    <t>FR</t>
  </si>
  <si>
    <t>€1100</t>
  </si>
  <si>
    <t>64,370 meters</t>
  </si>
  <si>
    <t>57 Boulevard Saint-Germain, Paris, 75005</t>
  </si>
  <si>
    <t>€900</t>
  </si>
  <si>
    <t>58 Boulevard Saint-Germain, Paris, 75005</t>
  </si>
  <si>
    <t>€1050</t>
  </si>
  <si>
    <t>February</t>
  </si>
  <si>
    <t>March</t>
  </si>
  <si>
    <t>April</t>
  </si>
  <si>
    <t>May</t>
  </si>
  <si>
    <t>June</t>
  </si>
  <si>
    <t>July</t>
  </si>
  <si>
    <t>August</t>
  </si>
  <si>
    <t>September</t>
  </si>
  <si>
    <t>October</t>
  </si>
  <si>
    <t>November</t>
  </si>
  <si>
    <t>December</t>
  </si>
  <si>
    <t>Country Name</t>
  </si>
  <si>
    <t>India</t>
  </si>
  <si>
    <t>China</t>
  </si>
  <si>
    <t>Germany</t>
  </si>
  <si>
    <t>France</t>
  </si>
  <si>
    <t>Street</t>
  </si>
  <si>
    <t>City</t>
  </si>
  <si>
    <t>Postcode</t>
  </si>
  <si>
    <t>Continent</t>
  </si>
  <si>
    <t>Asia</t>
  </si>
  <si>
    <t>Europe</t>
  </si>
  <si>
    <t>Grand Total</t>
  </si>
  <si>
    <t>Currency</t>
  </si>
  <si>
    <t>FX Rate (per EUR)</t>
  </si>
  <si>
    <t>INR</t>
  </si>
  <si>
    <t>CNY</t>
  </si>
  <si>
    <t>EUR</t>
  </si>
  <si>
    <t>Unit Price (local)</t>
  </si>
  <si>
    <t>Unit Price (EUR)</t>
  </si>
  <si>
    <t>Gross Sales (EUR)</t>
  </si>
  <si>
    <t>Total Sales (EUR)</t>
  </si>
  <si>
    <t>Total</t>
  </si>
  <si>
    <t>Conversion</t>
  </si>
  <si>
    <t>Factor</t>
  </si>
  <si>
    <t>Min Speed (km/h)</t>
  </si>
  <si>
    <t>Max Speed (km/h)</t>
  </si>
  <si>
    <t>Distance (km)</t>
  </si>
  <si>
    <t>Speed Range (km/h)</t>
  </si>
  <si>
    <t>Sales Rep</t>
  </si>
  <si>
    <t>Liu, Fang</t>
  </si>
  <si>
    <t>Joshi, Sanya</t>
  </si>
  <si>
    <t>Bernard, Théo</t>
  </si>
  <si>
    <t>Fischer, Jonas</t>
  </si>
  <si>
    <t>Min Speed (original, incomplete)</t>
  </si>
  <si>
    <t>Min Speed (mph)</t>
  </si>
  <si>
    <t>Month No</t>
  </si>
  <si>
    <t>Month (sorted)</t>
  </si>
  <si>
    <t>Quarter</t>
  </si>
  <si>
    <t>Discount (EUR)</t>
  </si>
  <si>
    <t>Q1</t>
  </si>
  <si>
    <t>Q2</t>
  </si>
  <si>
    <t>Q3</t>
  </si>
  <si>
    <t>Q4</t>
  </si>
  <si>
    <t>01 - January</t>
  </si>
  <si>
    <t>02 - February</t>
  </si>
  <si>
    <t>03 - March</t>
  </si>
  <si>
    <t>04 - April</t>
  </si>
  <si>
    <t>05 - May</t>
  </si>
  <si>
    <t>06 - June</t>
  </si>
  <si>
    <t>07 - July</t>
  </si>
  <si>
    <t>08 - August</t>
  </si>
  <si>
    <t>09 - September</t>
  </si>
  <si>
    <t>10 - October</t>
  </si>
  <si>
    <t>11 - November</t>
  </si>
  <si>
    <t>12 - December</t>
  </si>
  <si>
    <t>Asia Total</t>
  </si>
  <si>
    <t>Europe Total</t>
  </si>
  <si>
    <t>Month (date)</t>
  </si>
  <si>
    <t>% MoM</t>
  </si>
  <si>
    <t>—</t>
  </si>
  <si>
    <t>Media global</t>
  </si>
  <si>
    <t>Uplift</t>
  </si>
  <si>
    <t>Sales (EUR)</t>
  </si>
  <si>
    <t>Units</t>
  </si>
  <si>
    <t>Discounts (EUR)</t>
  </si>
  <si>
    <t>Mobility Sales Dashboard</t>
  </si>
  <si>
    <t>KPIs, discount effectiveness and key charts  |  Source: 'Mobility sales data' sheet (Table3) and pivots</t>
  </si>
  <si>
    <t>Net sales (EUR)</t>
  </si>
  <si>
    <t>€ / unit</t>
  </si>
  <si>
    <t>Avg discount</t>
  </si>
  <si>
    <t>Best month</t>
  </si>
  <si>
    <t>Top rep</t>
  </si>
  <si>
    <t>Discount effectiveness</t>
  </si>
  <si>
    <t>Average units per order with vs without discount</t>
  </si>
  <si>
    <t>Product</t>
  </si>
  <si>
    <t>Units/order (no disc.)</t>
  </si>
  <si>
    <t>Units/order (with disc.)</t>
  </si>
  <si>
    <t>Avg discount (if &gt;0)</t>
  </si>
  <si>
    <t>Chart data (mirror of the pivots — do not edit)</t>
  </si>
  <si>
    <t>Product specifications derived from the dataset itself (133 matching rows, 0 exceptions).</t>
  </si>
  <si>
    <t>Exact conversion factors (1 mile = 1.609344 km).</t>
  </si>
  <si>
    <t>FX rates source: ECB euro reference rates, 21 July 2026 - https://www.ecb.europa.eu/stats/shared/pdf/eurofxref.pdf</t>
  </si>
  <si>
    <t>Data year (assumption)</t>
  </si>
  <si>
    <t>Sales summary</t>
  </si>
  <si>
    <t>Total sales (EUR) by product type in each region  |  Source: 'Mobility sales data' sheet</t>
  </si>
  <si>
    <t>Units by product type and country</t>
  </si>
  <si>
    <t>Effective average price (€ per unit) by product and country</t>
  </si>
  <si>
    <t>Sales by region</t>
  </si>
  <si>
    <t>Continent and country  |  Share of total and average price per unit</t>
  </si>
  <si>
    <t>% of total</t>
  </si>
  <si>
    <t>Helper data for the charts (linked to the pivots)</t>
  </si>
  <si>
    <t>Sales rep ranking and revenue mix by product type</t>
  </si>
  <si>
    <t>Performance analysis</t>
  </si>
  <si>
    <t>Lowest sales (EUR)</t>
  </si>
  <si>
    <t>Lowest units</t>
  </si>
  <si>
    <t>Highest sales (EUR)</t>
  </si>
  <si>
    <t>Best / worst gap</t>
  </si>
  <si>
    <t>Time analysis</t>
  </si>
  <si>
    <t>Monthly trend and quarterly performance  |  Revenue vs discounts granted</t>
  </si>
  <si>
    <t>Reps &amp; products</t>
  </si>
  <si>
    <t>mph to km/h</t>
  </si>
  <si>
    <t>miles to km</t>
  </si>
  <si>
    <t>meters to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</si>
</sst>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164" formatCode="0.0000"/>
    <numFmt numFmtId="165" formatCode="\€#,##0"/>
    <numFmt numFmtId="166" formatCode="\€#,##0;\(\€#,##0\);\-"/>
    <numFmt numFmtId="167" formatCode="0.000000"/>
    <numFmt numFmtId="168" formatCode="0&quot; km/h&quot;"/>
    <numFmt numFmtId="169" formatCode="0&quot; km&quot;"/>
    <numFmt numFmtId="170" formatCode="0.0%"/>
    <numFmt numFmtId="171" formatCode="0.0&quot;x&quot;"/>
    <numFmt numFmtId="172" formatCode="#,##0;\(#,##0\);\-"/>
    <numFmt numFmtId="173" formatCode="\€#,##0.00"/>
    <numFmt numFmtId="174" formatCode="mmm\ yyyy"/>
    <numFmt numFmtId="175" formatCode="\+0.0%;\-0.0%;0.0%"/>
  </numFmts>
  <fonts count="26" x14ac:knownFonts="1">
    <font>
      <sz val="11"/>
      <color theme="1"/>
      <name val="Aptos Narrow"/>
      <scheme val="minor"/>
    </font>
    <font>
      <sz val="11"/>
      <color theme="1"/>
      <name val="Arial"/>
    </font>
    <font>
      <sz val="8"/>
      <name val="Aptos Narrow"/>
      <scheme val="minor"/>
    </font>
    <font>
      <b/>
      <sz val="11"/>
      <color theme="1"/>
      <name val="Aptos Narrow"/>
      <scheme val="minor"/>
    </font>
    <font>
      <b/>
      <sz val="11"/>
      <color theme="1"/>
      <name val="Arial"/>
    </font>
    <font>
      <sz val="11"/>
      <color rgb="FF0000FF"/>
      <name val="Aptos Narrow"/>
      <scheme val="minor"/>
    </font>
    <font>
      <i/>
      <sz val="11"/>
      <color theme="1"/>
      <name val="Aptos Narrow"/>
      <scheme val="minor"/>
    </font>
    <font>
      <sz val="9"/>
      <color indexed="81"/>
      <name val="Tahoma"/>
      <charset val="1"/>
    </font>
    <font>
      <b/>
      <sz val="9"/>
      <color indexed="81"/>
      <name val="Tahoma"/>
      <charset val="1"/>
    </font>
    <font>
      <b/>
      <sz val="11"/>
      <color rgb="FFFFFFFF"/>
      <name val="Arial"/>
    </font>
    <font>
      <b/>
      <sz val="18"/>
      <color rgb="FF1F4E79"/>
      <name val="Arial"/>
    </font>
    <font>
      <i/>
      <sz val="10"/>
      <color theme="1"/>
      <name val="Aptos Narrow"/>
      <scheme val="minor"/>
    </font>
    <font>
      <i/>
      <sz val="10"/>
      <color rgb="FF7F7F7F"/>
      <name val="Aptos Narrow"/>
      <scheme val="minor"/>
    </font>
    <font>
      <b/>
      <sz val="11"/>
      <color rgb="FFFFFFFF"/>
      <name val="Aptos Narrow"/>
      <scheme val="minor"/>
    </font>
    <font>
      <sz val="10"/>
      <color rgb="FF000000"/>
      <name val="Arial"/>
    </font>
    <font>
      <b/>
      <sz val="10"/>
      <color rgb="FF000000"/>
      <name val="Arial"/>
    </font>
    <font>
      <i/>
      <sz val="9"/>
      <color rgb="FFA6A6A6"/>
      <name val="Aptos Narrow"/>
      <scheme val="minor"/>
    </font>
    <font>
      <b/>
      <sz val="10"/>
      <color theme="1"/>
      <name val="Arial"/>
    </font>
    <font>
      <sz val="10"/>
      <color theme="1"/>
      <name val="Arial"/>
    </font>
    <font>
      <b/>
      <sz val="10"/>
      <color rgb="FF1F4E79"/>
      <name val="Arial"/>
    </font>
    <font>
      <b/>
      <sz val="10"/>
      <color rgb="FFFFFFFF"/>
      <name val="Aptos Narrow"/>
      <scheme val="minor"/>
    </font>
    <font>
      <b/>
      <sz val="14"/>
      <color theme="1"/>
      <name val="Arial"/>
    </font>
    <font>
      <b/>
      <sz val="14"/>
      <color rgb="FF008000"/>
      <name val="Arial"/>
    </font>
    <font>
      <b/>
      <sz val="12"/>
      <color rgb="FF1F4E79"/>
      <name val="Arial"/>
    </font>
    <font>
      <i/>
      <sz val="9"/>
      <color rgb="FF7F7F7F"/>
      <name val="Aptos Narrow"/>
      <scheme val="minor"/>
    </font>
    <font>
      <i/>
      <sz val="9"/>
      <color rgb="FF808080"/>
      <name val="Aptos Narrow"/>
      <scheme val="minor"/>
    </font>
  </fonts>
  <fills count="6">
    <fill>
      <patternFill patternType="none"/>
    </fill>
    <fill>
      <patternFill patternType="gray125"/>
    </fill>
    <fill>
      <patternFill patternType="solid">
        <fgColor rgb="FF0070C0"/>
        <bgColor indexed="64"/>
      </patternFill>
    </fill>
    <fill>
      <patternFill patternType="solid">
        <fgColor rgb="FFFFFF00"/>
        <bgColor indexed="64"/>
      </patternFill>
    </fill>
    <fill>
      <patternFill patternType="solid">
        <fgColor rgb="FFDDEBF7"/>
        <bgColor indexed="64"/>
      </patternFill>
    </fill>
    <fill>
      <patternFill patternType="solid">
        <fgColor rgb="FFF2F7FB"/>
        <bgColor indexed="64"/>
      </patternFill>
    </fill>
  </fills>
  <borders count="30">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right/>
      <top style="thin">
        <color rgb="FF999999"/>
      </top>
      <bottom/>
      <diagonal/>
    </border>
    <border>
      <left/>
      <right style="thin">
        <color rgb="FF999999"/>
      </right>
      <top style="thin">
        <color rgb="FF999999"/>
      </top>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style="thin">
        <color rgb="FF999999"/>
      </left>
      <right/>
      <top style="medium">
        <color rgb="FF0070C0"/>
      </top>
      <bottom style="thin">
        <color rgb="FF999999"/>
      </bottom>
      <diagonal/>
    </border>
    <border>
      <left/>
      <right/>
      <top style="medium">
        <color rgb="FF0070C0"/>
      </top>
      <bottom/>
      <diagonal/>
    </border>
    <border>
      <left style="thin">
        <color rgb="FF999999"/>
      </left>
      <right style="thin">
        <color rgb="FF999999"/>
      </right>
      <top style="medium">
        <color rgb="FF0070C0"/>
      </top>
      <bottom style="thin">
        <color rgb="FF999999"/>
      </bottom>
      <diagonal/>
    </border>
    <border>
      <left/>
      <right/>
      <top style="thin">
        <color rgb="FFBDD7EE"/>
      </top>
      <bottom/>
      <diagonal/>
    </border>
    <border>
      <left/>
      <right/>
      <top/>
      <bottom style="thin">
        <color rgb="FFBDD7EE"/>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s>
  <cellStyleXfs count="1">
    <xf numFmtId="0" fontId="0" fillId="0" borderId="0"/>
  </cellStyleXfs>
  <cellXfs count="118">
    <xf numFmtId="0" fontId="0" fillId="0" borderId="0" xfId="0"/>
    <xf numFmtId="0" fontId="0" fillId="0" borderId="0" xfId="0" applyAlignment="1">
      <alignment horizontal="center"/>
    </xf>
    <xf numFmtId="0" fontId="3" fillId="0" borderId="0" xfId="0" applyFont="1"/>
    <xf numFmtId="0" fontId="4"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0" borderId="11" xfId="0" applyBorder="1"/>
    <xf numFmtId="164" fontId="5" fillId="0" borderId="0" xfId="0" applyNumberFormat="1" applyFont="1"/>
    <xf numFmtId="164" fontId="5" fillId="3" borderId="0" xfId="0" applyNumberFormat="1" applyFont="1" applyFill="1"/>
    <xf numFmtId="0" fontId="6" fillId="0" borderId="0" xfId="0" applyFont="1"/>
    <xf numFmtId="3" fontId="0" fillId="0" borderId="11" xfId="0" applyNumberFormat="1" applyBorder="1"/>
    <xf numFmtId="3" fontId="0" fillId="0" borderId="12" xfId="0" applyNumberFormat="1" applyBorder="1"/>
    <xf numFmtId="3" fontId="0" fillId="0" borderId="0" xfId="0" applyNumberFormat="1"/>
    <xf numFmtId="167" fontId="5" fillId="0" borderId="0" xfId="0" applyNumberFormat="1" applyFont="1"/>
    <xf numFmtId="0" fontId="9" fillId="2" borderId="2" xfId="0" applyFont="1" applyFill="1" applyBorder="1" applyAlignment="1">
      <alignment horizontal="center" vertical="center"/>
    </xf>
    <xf numFmtId="0" fontId="1" fillId="0" borderId="4" xfId="0" applyFont="1" applyBorder="1" applyAlignment="1">
      <alignment horizontal="left"/>
    </xf>
    <xf numFmtId="0" fontId="1" fillId="0" borderId="5" xfId="0" applyFont="1" applyBorder="1" applyAlignment="1">
      <alignment horizontal="left"/>
    </xf>
    <xf numFmtId="168" fontId="1" fillId="0" borderId="5" xfId="0" applyNumberFormat="1" applyFont="1" applyBorder="1" applyAlignment="1">
      <alignment horizontal="left"/>
    </xf>
    <xf numFmtId="169" fontId="1" fillId="0" borderId="5" xfId="0" applyNumberFormat="1" applyFont="1" applyBorder="1" applyAlignment="1">
      <alignment horizontal="left"/>
    </xf>
    <xf numFmtId="164" fontId="1" fillId="0" borderId="5" xfId="0" applyNumberFormat="1" applyFont="1" applyBorder="1" applyAlignment="1">
      <alignment horizontal="left"/>
    </xf>
    <xf numFmtId="0" fontId="1" fillId="0" borderId="6" xfId="0" applyFont="1" applyBorder="1" applyAlignment="1">
      <alignment horizontal="left"/>
    </xf>
    <xf numFmtId="166" fontId="1" fillId="0" borderId="3" xfId="0" applyNumberFormat="1" applyFont="1" applyBorder="1" applyAlignment="1">
      <alignment horizontal="left"/>
    </xf>
    <xf numFmtId="166" fontId="1" fillId="0" borderId="6" xfId="0" applyNumberFormat="1" applyFont="1" applyBorder="1" applyAlignment="1">
      <alignment horizontal="left"/>
    </xf>
    <xf numFmtId="0" fontId="1" fillId="3" borderId="5" xfId="0" applyFont="1" applyFill="1" applyBorder="1" applyAlignment="1">
      <alignment horizontal="left"/>
    </xf>
    <xf numFmtId="166" fontId="1" fillId="0" borderId="9" xfId="0" applyNumberFormat="1" applyFont="1" applyBorder="1" applyAlignment="1">
      <alignment horizontal="left"/>
    </xf>
    <xf numFmtId="0" fontId="4" fillId="0" borderId="7" xfId="0" applyFont="1" applyBorder="1" applyAlignment="1">
      <alignment horizontal="left"/>
    </xf>
    <xf numFmtId="0" fontId="1" fillId="0" borderId="8" xfId="0" applyFont="1" applyBorder="1" applyAlignment="1">
      <alignment horizontal="left"/>
    </xf>
    <xf numFmtId="0" fontId="1" fillId="0" borderId="9" xfId="0" applyFont="1" applyBorder="1" applyAlignment="1">
      <alignment horizontal="left"/>
    </xf>
    <xf numFmtId="0" fontId="0" fillId="0" borderId="10" xfId="0" applyBorder="1" applyAlignment="1">
      <alignment horizontal="left"/>
    </xf>
    <xf numFmtId="0" fontId="3" fillId="0" borderId="0" xfId="0" applyFont="1" applyFill="1" applyBorder="1"/>
    <xf numFmtId="165" fontId="0" fillId="0" borderId="0" xfId="0" applyNumberFormat="1"/>
    <xf numFmtId="0" fontId="10" fillId="0" borderId="0" xfId="0" applyFont="1"/>
    <xf numFmtId="0" fontId="11" fillId="0" borderId="0" xfId="0" applyFont="1"/>
    <xf numFmtId="0" fontId="12" fillId="0" borderId="0" xfId="0" applyFont="1"/>
    <xf numFmtId="0" fontId="10" fillId="0" borderId="0" xfId="0" applyFont="1" applyAlignment="1">
      <alignment horizontal="left"/>
    </xf>
    <xf numFmtId="0" fontId="12" fillId="0" borderId="0" xfId="0" applyFont="1" applyAlignment="1">
      <alignment horizontal="left"/>
    </xf>
    <xf numFmtId="0" fontId="13" fillId="2" borderId="1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13" fillId="2" borderId="0" xfId="0" applyFont="1" applyFill="1" applyBorder="1" applyAlignment="1">
      <alignment horizontal="center" vertical="center" wrapText="1"/>
    </xf>
    <xf numFmtId="3" fontId="13" fillId="2" borderId="11" xfId="0" applyNumberFormat="1" applyFont="1" applyFill="1" applyBorder="1" applyAlignment="1">
      <alignment horizontal="center" vertical="center" wrapText="1"/>
    </xf>
    <xf numFmtId="3" fontId="13" fillId="2" borderId="12" xfId="0" applyNumberFormat="1" applyFont="1" applyFill="1" applyBorder="1" applyAlignment="1">
      <alignment horizontal="center" vertical="center" wrapText="1"/>
    </xf>
    <xf numFmtId="3" fontId="13" fillId="2" borderId="13" xfId="0" applyNumberFormat="1" applyFont="1" applyFill="1" applyBorder="1" applyAlignment="1">
      <alignment horizontal="center" vertical="center" wrapText="1"/>
    </xf>
    <xf numFmtId="3" fontId="13" fillId="2" borderId="14" xfId="0" applyNumberFormat="1" applyFont="1" applyFill="1" applyBorder="1" applyAlignment="1">
      <alignment horizontal="center" vertical="center" wrapText="1"/>
    </xf>
    <xf numFmtId="3" fontId="13" fillId="2" borderId="15" xfId="0" applyNumberFormat="1" applyFont="1" applyFill="1" applyBorder="1" applyAlignment="1">
      <alignment horizontal="center" vertical="center" wrapText="1"/>
    </xf>
    <xf numFmtId="3" fontId="13" fillId="2" borderId="18" xfId="0" applyNumberFormat="1" applyFont="1" applyFill="1" applyBorder="1" applyAlignment="1">
      <alignment horizontal="center" vertical="center" wrapText="1"/>
    </xf>
    <xf numFmtId="3" fontId="13" fillId="2" borderId="16" xfId="0" applyNumberFormat="1" applyFont="1" applyFill="1" applyBorder="1" applyAlignment="1">
      <alignment horizontal="center" vertical="center" wrapText="1"/>
    </xf>
    <xf numFmtId="0" fontId="14" fillId="0" borderId="11" xfId="0" applyFont="1" applyBorder="1" applyAlignment="1">
      <alignment horizontal="left"/>
    </xf>
    <xf numFmtId="166" fontId="14" fillId="0" borderId="11" xfId="0" applyNumberFormat="1" applyFont="1" applyBorder="1" applyAlignment="1">
      <alignment horizontal="right"/>
    </xf>
    <xf numFmtId="172" fontId="14" fillId="0" borderId="11" xfId="0" applyNumberFormat="1" applyFont="1" applyBorder="1" applyAlignment="1">
      <alignment horizontal="right"/>
    </xf>
    <xf numFmtId="170" fontId="14" fillId="0" borderId="20" xfId="0" applyNumberFormat="1" applyFont="1" applyBorder="1" applyAlignment="1">
      <alignment horizontal="right"/>
    </xf>
    <xf numFmtId="165" fontId="14" fillId="0" borderId="20" xfId="0" applyNumberFormat="1" applyFont="1" applyBorder="1" applyAlignment="1">
      <alignment horizontal="right"/>
    </xf>
    <xf numFmtId="0" fontId="14" fillId="0" borderId="14" xfId="0" applyFont="1" applyBorder="1" applyAlignment="1">
      <alignment horizontal="left" indent="1"/>
    </xf>
    <xf numFmtId="166" fontId="14" fillId="0" borderId="14" xfId="0" applyNumberFormat="1" applyFont="1" applyBorder="1" applyAlignment="1">
      <alignment horizontal="right"/>
    </xf>
    <xf numFmtId="172" fontId="14" fillId="0" borderId="14" xfId="0" applyNumberFormat="1" applyFont="1" applyBorder="1" applyAlignment="1">
      <alignment horizontal="right"/>
    </xf>
    <xf numFmtId="170" fontId="14" fillId="0" borderId="21" xfId="0" applyNumberFormat="1" applyFont="1" applyBorder="1" applyAlignment="1">
      <alignment horizontal="right"/>
    </xf>
    <xf numFmtId="165" fontId="14" fillId="0" borderId="21" xfId="0" applyNumberFormat="1" applyFont="1" applyBorder="1" applyAlignment="1">
      <alignment horizontal="right"/>
    </xf>
    <xf numFmtId="0" fontId="14" fillId="0" borderId="14" xfId="0" applyFont="1" applyBorder="1" applyAlignment="1">
      <alignment horizontal="left"/>
    </xf>
    <xf numFmtId="170" fontId="14" fillId="0" borderId="22" xfId="0" applyNumberFormat="1" applyFont="1" applyBorder="1" applyAlignment="1">
      <alignment horizontal="right"/>
    </xf>
    <xf numFmtId="165" fontId="14" fillId="0" borderId="22" xfId="0" applyNumberFormat="1" applyFont="1" applyBorder="1" applyAlignment="1">
      <alignment horizontal="right"/>
    </xf>
    <xf numFmtId="0" fontId="15" fillId="4" borderId="23" xfId="0" applyFont="1" applyFill="1" applyBorder="1" applyAlignment="1">
      <alignment horizontal="left"/>
    </xf>
    <xf numFmtId="166" fontId="15" fillId="4" borderId="23" xfId="0" applyNumberFormat="1" applyFont="1" applyFill="1" applyBorder="1" applyAlignment="1">
      <alignment horizontal="right"/>
    </xf>
    <xf numFmtId="172" fontId="15" fillId="4" borderId="23" xfId="0" applyNumberFormat="1" applyFont="1" applyFill="1" applyBorder="1" applyAlignment="1">
      <alignment horizontal="right"/>
    </xf>
    <xf numFmtId="170" fontId="15" fillId="4" borderId="24" xfId="0" applyNumberFormat="1" applyFont="1" applyFill="1" applyBorder="1" applyAlignment="1">
      <alignment horizontal="right"/>
    </xf>
    <xf numFmtId="165" fontId="15" fillId="4" borderId="24" xfId="0" applyNumberFormat="1" applyFont="1" applyFill="1" applyBorder="1" applyAlignment="1">
      <alignment horizontal="right"/>
    </xf>
    <xf numFmtId="166" fontId="14" fillId="0" borderId="17" xfId="0" applyNumberFormat="1" applyFont="1" applyBorder="1" applyAlignment="1">
      <alignment horizontal="right"/>
    </xf>
    <xf numFmtId="172" fontId="14" fillId="0" borderId="17" xfId="0" applyNumberFormat="1" applyFont="1" applyBorder="1" applyAlignment="1">
      <alignment horizontal="right"/>
    </xf>
    <xf numFmtId="0" fontId="15" fillId="4" borderId="25" xfId="0" applyFont="1" applyFill="1" applyBorder="1" applyAlignment="1">
      <alignment horizontal="left"/>
    </xf>
    <xf numFmtId="166" fontId="15" fillId="4" borderId="25" xfId="0" applyNumberFormat="1" applyFont="1" applyFill="1" applyBorder="1" applyAlignment="1">
      <alignment horizontal="right"/>
    </xf>
    <xf numFmtId="172" fontId="15" fillId="4" borderId="25" xfId="0" applyNumberFormat="1" applyFont="1" applyFill="1" applyBorder="1" applyAlignment="1">
      <alignment horizontal="right"/>
    </xf>
    <xf numFmtId="3" fontId="14" fillId="0" borderId="11" xfId="0" applyNumberFormat="1" applyFont="1" applyBorder="1" applyAlignment="1">
      <alignment horizontal="left"/>
    </xf>
    <xf numFmtId="3" fontId="14" fillId="0" borderId="14" xfId="0" applyNumberFormat="1" applyFont="1" applyBorder="1" applyAlignment="1">
      <alignment horizontal="left"/>
    </xf>
    <xf numFmtId="3" fontId="15" fillId="4" borderId="25" xfId="0" applyNumberFormat="1" applyFont="1" applyFill="1" applyBorder="1" applyAlignment="1">
      <alignment horizontal="left"/>
    </xf>
    <xf numFmtId="0" fontId="16" fillId="0" borderId="0" xfId="0" applyFont="1"/>
    <xf numFmtId="3" fontId="18" fillId="0" borderId="0" xfId="0" applyNumberFormat="1" applyFont="1"/>
    <xf numFmtId="0" fontId="18" fillId="5" borderId="0" xfId="0" applyFont="1" applyFill="1" applyBorder="1" applyAlignment="1">
      <alignment horizontal="left"/>
    </xf>
    <xf numFmtId="0" fontId="18" fillId="5" borderId="26" xfId="0" applyFont="1" applyFill="1" applyBorder="1" applyAlignment="1">
      <alignment horizontal="left"/>
    </xf>
    <xf numFmtId="0" fontId="18" fillId="5" borderId="27" xfId="0" applyFont="1" applyFill="1" applyBorder="1" applyAlignment="1">
      <alignment horizontal="left"/>
    </xf>
    <xf numFmtId="0" fontId="19" fillId="0" borderId="0" xfId="0" applyFont="1" applyFill="1" applyBorder="1" applyAlignment="1">
      <alignment horizontal="left"/>
    </xf>
    <xf numFmtId="3" fontId="17" fillId="5" borderId="26" xfId="0" applyNumberFormat="1" applyFont="1" applyFill="1" applyBorder="1"/>
    <xf numFmtId="3" fontId="17" fillId="5" borderId="0" xfId="0" applyNumberFormat="1" applyFont="1" applyFill="1" applyBorder="1"/>
    <xf numFmtId="3" fontId="17" fillId="5" borderId="27" xfId="0" applyNumberFormat="1" applyFont="1" applyFill="1" applyBorder="1"/>
    <xf numFmtId="165" fontId="18" fillId="5" borderId="26" xfId="0" applyNumberFormat="1" applyFont="1" applyFill="1" applyBorder="1" applyAlignment="1">
      <alignment horizontal="right"/>
    </xf>
    <xf numFmtId="3" fontId="18" fillId="5" borderId="0" xfId="0" applyNumberFormat="1" applyFont="1" applyFill="1" applyBorder="1" applyAlignment="1">
      <alignment horizontal="right"/>
    </xf>
    <xf numFmtId="165" fontId="18" fillId="5" borderId="0" xfId="0" applyNumberFormat="1" applyFont="1" applyFill="1" applyBorder="1" applyAlignment="1">
      <alignment horizontal="right"/>
    </xf>
    <xf numFmtId="171" fontId="18" fillId="5" borderId="27" xfId="0" applyNumberFormat="1" applyFont="1" applyFill="1" applyBorder="1" applyAlignment="1">
      <alignment horizontal="right"/>
    </xf>
    <xf numFmtId="0" fontId="1" fillId="0" borderId="9" xfId="0" applyNumberFormat="1" applyFont="1" applyBorder="1" applyAlignment="1">
      <alignment horizontal="left"/>
    </xf>
    <xf numFmtId="166" fontId="0" fillId="0" borderId="10" xfId="0" applyNumberFormat="1" applyBorder="1" applyAlignment="1">
      <alignment horizontal="left"/>
    </xf>
    <xf numFmtId="173" fontId="1" fillId="0" borderId="5" xfId="0" applyNumberFormat="1" applyFont="1" applyBorder="1" applyAlignment="1">
      <alignment horizontal="left"/>
    </xf>
    <xf numFmtId="1" fontId="5" fillId="0" borderId="0" xfId="0" applyNumberFormat="1" applyFont="1"/>
    <xf numFmtId="174" fontId="1" fillId="0" borderId="3" xfId="0" applyNumberFormat="1" applyFont="1" applyBorder="1" applyAlignment="1">
      <alignment horizontal="left"/>
    </xf>
    <xf numFmtId="0" fontId="18" fillId="0" borderId="0" xfId="0" applyFont="1"/>
    <xf numFmtId="0" fontId="13" fillId="2" borderId="15" xfId="0" applyFont="1" applyFill="1" applyBorder="1" applyAlignment="1">
      <alignment horizontal="center"/>
    </xf>
    <xf numFmtId="175" fontId="18" fillId="0" borderId="0" xfId="0" applyNumberFormat="1" applyFont="1" applyAlignment="1">
      <alignment horizontal="right"/>
    </xf>
    <xf numFmtId="0" fontId="18" fillId="0" borderId="29" xfId="0" applyFont="1" applyBorder="1" applyAlignment="1">
      <alignment horizontal="right"/>
    </xf>
    <xf numFmtId="175" fontId="18" fillId="0" borderId="28" xfId="0" applyNumberFormat="1" applyFont="1" applyBorder="1" applyAlignment="1">
      <alignment horizontal="right"/>
    </xf>
    <xf numFmtId="3" fontId="19" fillId="0" borderId="0" xfId="0" applyNumberFormat="1" applyFont="1"/>
    <xf numFmtId="3" fontId="13" fillId="2" borderId="0" xfId="0" applyNumberFormat="1" applyFont="1" applyFill="1" applyAlignment="1">
      <alignment horizontal="center"/>
    </xf>
    <xf numFmtId="3" fontId="17" fillId="4" borderId="0" xfId="0" applyNumberFormat="1" applyFont="1" applyFill="1"/>
    <xf numFmtId="3" fontId="18" fillId="0" borderId="0" xfId="0" applyNumberFormat="1" applyFont="1" applyAlignment="1">
      <alignment horizontal="right"/>
    </xf>
    <xf numFmtId="172" fontId="18" fillId="0" borderId="0" xfId="0" applyNumberFormat="1" applyFont="1" applyAlignment="1">
      <alignment horizontal="right"/>
    </xf>
    <xf numFmtId="3" fontId="17" fillId="4" borderId="0" xfId="0" applyNumberFormat="1" applyFont="1" applyFill="1" applyAlignment="1">
      <alignment horizontal="right"/>
    </xf>
    <xf numFmtId="172" fontId="17" fillId="4" borderId="0" xfId="0" applyNumberFormat="1" applyFont="1" applyFill="1" applyAlignment="1">
      <alignment horizontal="right"/>
    </xf>
    <xf numFmtId="172" fontId="17" fillId="0" borderId="0" xfId="0" applyNumberFormat="1" applyFont="1" applyAlignment="1">
      <alignment horizontal="right"/>
    </xf>
    <xf numFmtId="165" fontId="18" fillId="0" borderId="0" xfId="0" applyNumberFormat="1" applyFont="1" applyAlignment="1">
      <alignment horizontal="right"/>
    </xf>
    <xf numFmtId="165" fontId="17" fillId="4" borderId="0" xfId="0" applyNumberFormat="1" applyFont="1" applyFill="1" applyAlignment="1">
      <alignment horizontal="right"/>
    </xf>
    <xf numFmtId="165" fontId="17" fillId="0" borderId="0" xfId="0" applyNumberFormat="1" applyFont="1" applyAlignment="1">
      <alignment horizontal="right"/>
    </xf>
    <xf numFmtId="0" fontId="20" fillId="2" borderId="0" xfId="0" applyFont="1" applyFill="1" applyAlignment="1">
      <alignment horizontal="center"/>
    </xf>
    <xf numFmtId="165" fontId="21" fillId="5" borderId="0" xfId="0" applyNumberFormat="1" applyFont="1" applyFill="1" applyAlignment="1">
      <alignment horizontal="center"/>
    </xf>
    <xf numFmtId="3" fontId="21" fillId="5" borderId="0" xfId="0" applyNumberFormat="1" applyFont="1" applyFill="1" applyAlignment="1">
      <alignment horizontal="center"/>
    </xf>
    <xf numFmtId="170" fontId="21" fillId="5" borderId="0" xfId="0" applyNumberFormat="1" applyFont="1" applyFill="1" applyAlignment="1">
      <alignment horizontal="center"/>
    </xf>
    <xf numFmtId="0" fontId="22" fillId="5" borderId="0" xfId="0" applyFont="1" applyFill="1" applyAlignment="1">
      <alignment horizontal="center"/>
    </xf>
    <xf numFmtId="0" fontId="23" fillId="0" borderId="0" xfId="0" applyFont="1"/>
    <xf numFmtId="0" fontId="24" fillId="0" borderId="0" xfId="0" applyFont="1"/>
    <xf numFmtId="0" fontId="17" fillId="4" borderId="0" xfId="0" applyFont="1" applyFill="1"/>
    <xf numFmtId="170" fontId="18" fillId="0" borderId="0" xfId="0" applyNumberFormat="1" applyFont="1" applyAlignment="1">
      <alignment horizontal="right"/>
    </xf>
    <xf numFmtId="175" fontId="17" fillId="4" borderId="0" xfId="0" applyNumberFormat="1" applyFont="1" applyFill="1" applyAlignment="1">
      <alignment horizontal="right"/>
    </xf>
    <xf numFmtId="170" fontId="17" fillId="4" borderId="0" xfId="0" applyNumberFormat="1" applyFont="1" applyFill="1" applyAlignment="1">
      <alignment horizontal="right"/>
    </xf>
    <xf numFmtId="0" fontId="25" fillId="0" borderId="0" xfId="0" applyFont="1"/>
  </cellXfs>
  <cellStyles count="1">
    <cellStyle name="Normal" xfId="0" builtinId="0"/>
  </cellStyles>
  <dxfs count="2104">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color rgb="FF000000"/>
      </font>
    </dxf>
    <dxf>
      <font>
        <color rgb="FF000000"/>
      </font>
    </dxf>
    <dxf>
      <font>
        <name val="Arial"/>
      </font>
    </dxf>
    <dxf>
      <font>
        <name val="Arial"/>
      </font>
    </dxf>
    <dxf>
      <font>
        <name val="Arial"/>
      </font>
    </dxf>
    <dxf>
      <font>
        <name val="Arial"/>
      </font>
    </dxf>
    <dxf>
      <font>
        <name val="Arial"/>
      </font>
    </dxf>
    <dxf>
      <font>
        <sz val="10"/>
      </font>
    </dxf>
    <dxf>
      <font>
        <sz val="10"/>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color rgb="FF000000"/>
      </font>
    </dxf>
    <dxf>
      <font>
        <color rgb="FF000000"/>
      </font>
    </dxf>
    <dxf>
      <font>
        <name val="Arial"/>
      </font>
    </dxf>
    <dxf>
      <font>
        <name val="Arial"/>
      </font>
    </dxf>
    <dxf>
      <font>
        <name val="Arial"/>
      </font>
    </dxf>
    <dxf>
      <font>
        <name val="Arial"/>
      </font>
    </dxf>
    <dxf>
      <font>
        <name val="Arial"/>
      </font>
    </dxf>
    <dxf>
      <font>
        <sz val="10"/>
      </font>
    </dxf>
    <dxf>
      <font>
        <sz val="10"/>
      </font>
    </dxf>
    <dxf>
      <font>
        <sz val="10"/>
      </font>
    </dxf>
    <dxf>
      <font>
        <sz val="10"/>
      </font>
    </dxf>
    <dxf>
      <font>
        <sz val="10"/>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color rgb="FF000000"/>
      </font>
    </dxf>
    <dxf>
      <font>
        <color rgb="FF000000"/>
      </font>
    </dxf>
    <dxf>
      <font>
        <name val="Arial"/>
      </font>
    </dxf>
    <dxf>
      <font>
        <name val="Arial"/>
      </font>
    </dxf>
    <dxf>
      <font>
        <name val="Arial"/>
      </font>
    </dxf>
    <dxf>
      <font>
        <name val="Arial"/>
      </font>
    </dxf>
    <dxf>
      <font>
        <name val="Arial"/>
      </font>
    </dxf>
    <dxf>
      <font>
        <sz val="10"/>
      </font>
    </dxf>
    <dxf>
      <font>
        <sz val="10"/>
      </font>
    </dxf>
    <dxf>
      <font>
        <sz val="10"/>
      </font>
    </dxf>
    <dxf>
      <font>
        <sz val="10"/>
      </font>
    </dxf>
    <dxf>
      <font>
        <sz val="10"/>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color rgb="FF000000"/>
      </font>
    </dxf>
    <dxf>
      <font>
        <color rgb="FF000000"/>
      </font>
    </dxf>
    <dxf>
      <font>
        <name val="Arial"/>
      </font>
    </dxf>
    <dxf>
      <font>
        <name val="Arial"/>
      </font>
    </dxf>
    <dxf>
      <font>
        <name val="Arial"/>
      </font>
    </dxf>
    <dxf>
      <font>
        <name val="Arial"/>
      </font>
    </dxf>
    <dxf>
      <font>
        <name val="Arial"/>
      </font>
    </dxf>
    <dxf>
      <font>
        <sz val="10"/>
      </font>
    </dxf>
    <dxf>
      <font>
        <sz val="10"/>
      </font>
    </dxf>
    <dxf>
      <font>
        <sz val="10"/>
      </font>
    </dxf>
    <dxf>
      <font>
        <sz val="10"/>
      </font>
    </dxf>
    <dxf>
      <font>
        <sz val="10"/>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color rgb="FF000000"/>
      </font>
    </dxf>
    <dxf>
      <font>
        <color rgb="FF000000"/>
      </font>
    </dxf>
    <dxf>
      <font>
        <name val="Arial"/>
      </font>
    </dxf>
    <dxf>
      <font>
        <name val="Arial"/>
      </font>
    </dxf>
    <dxf>
      <font>
        <name val="Arial"/>
      </font>
    </dxf>
    <dxf>
      <font>
        <name val="Arial"/>
      </font>
    </dxf>
    <dxf>
      <font>
        <name val="Arial"/>
      </font>
    </dxf>
    <dxf>
      <font>
        <sz val="10"/>
      </font>
    </dxf>
    <dxf>
      <font>
        <sz val="10"/>
      </font>
    </dxf>
    <dxf>
      <font>
        <sz val="10"/>
      </font>
    </dxf>
    <dxf>
      <font>
        <sz val="10"/>
      </font>
    </dxf>
    <dxf>
      <font>
        <sz val="10"/>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color rgb="FF000000"/>
      </font>
    </dxf>
    <dxf>
      <font>
        <color rgb="FF000000"/>
      </font>
    </dxf>
    <dxf>
      <font>
        <name val="Arial"/>
      </font>
    </dxf>
    <dxf>
      <font>
        <name val="Arial"/>
      </font>
    </dxf>
    <dxf>
      <font>
        <name val="Arial"/>
      </font>
    </dxf>
    <dxf>
      <font>
        <name val="Arial"/>
      </font>
    </dxf>
    <dxf>
      <font>
        <name val="Arial"/>
      </font>
    </dxf>
    <dxf>
      <font>
        <sz val="10"/>
      </font>
    </dxf>
    <dxf>
      <font>
        <sz val="10"/>
      </font>
    </dxf>
    <dxf>
      <font>
        <sz val="10"/>
      </font>
    </dxf>
    <dxf>
      <font>
        <sz val="10"/>
      </font>
    </dxf>
    <dxf>
      <font>
        <sz val="10"/>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color rgb="FF000000"/>
      </font>
    </dxf>
    <dxf>
      <font>
        <color rgb="FF000000"/>
      </font>
    </dxf>
    <dxf>
      <font>
        <name val="Arial"/>
      </font>
    </dxf>
    <dxf>
      <font>
        <name val="Arial"/>
      </font>
    </dxf>
    <dxf>
      <font>
        <name val="Arial"/>
      </font>
    </dxf>
    <dxf>
      <font>
        <name val="Arial"/>
      </font>
    </dxf>
    <dxf>
      <font>
        <name val="Arial"/>
      </font>
    </dxf>
    <dxf>
      <font>
        <sz val="10"/>
      </font>
    </dxf>
    <dxf>
      <font>
        <sz val="10"/>
      </font>
    </dxf>
    <dxf>
      <font>
        <sz val="10"/>
      </font>
    </dxf>
    <dxf>
      <font>
        <sz val="10"/>
      </font>
    </dxf>
    <dxf>
      <font>
        <sz val="10"/>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color rgb="FF000000"/>
      </font>
    </dxf>
    <dxf>
      <font>
        <color rgb="FF000000"/>
      </font>
    </dxf>
    <dxf>
      <font>
        <name val="Arial"/>
      </font>
    </dxf>
    <dxf>
      <font>
        <name val="Arial"/>
      </font>
    </dxf>
    <dxf>
      <font>
        <name val="Arial"/>
      </font>
    </dxf>
    <dxf>
      <font>
        <name val="Arial"/>
      </font>
    </dxf>
    <dxf>
      <font>
        <name val="Arial"/>
      </font>
    </dxf>
    <dxf>
      <font>
        <sz val="10"/>
      </font>
    </dxf>
    <dxf>
      <font>
        <sz val="10"/>
      </font>
    </dxf>
    <dxf>
      <font>
        <sz val="10"/>
      </font>
    </dxf>
    <dxf>
      <font>
        <sz val="10"/>
      </font>
    </dxf>
    <dxf>
      <font>
        <sz val="10"/>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color rgb="FF000000"/>
      </font>
    </dxf>
    <dxf>
      <font>
        <color rgb="FF000000"/>
      </font>
    </dxf>
    <dxf>
      <font>
        <color rgb="FF000000"/>
      </font>
    </dxf>
    <dxf>
      <font>
        <color rgb="FF000000"/>
      </font>
    </dxf>
    <dxf>
      <font>
        <color rgb="FF000000"/>
      </font>
    </dxf>
    <dxf>
      <font>
        <name val="Arial"/>
      </font>
    </dxf>
    <dxf>
      <font>
        <name val="Arial"/>
      </font>
    </dxf>
    <dxf>
      <font>
        <name val="Arial"/>
      </font>
    </dxf>
    <dxf>
      <font>
        <name val="Arial"/>
      </font>
    </dxf>
    <dxf>
      <font>
        <name val="Arial"/>
      </font>
    </dxf>
    <dxf>
      <font>
        <sz val="10"/>
      </font>
    </dxf>
    <dxf>
      <font>
        <sz val="10"/>
      </font>
    </dxf>
    <dxf>
      <font>
        <sz val="10"/>
      </font>
    </dxf>
    <dxf>
      <font>
        <sz val="10"/>
      </font>
    </dxf>
    <dxf>
      <font>
        <sz val="10"/>
      </font>
    </dxf>
    <dxf>
      <numFmt numFmtId="3" formatCode="#,##0"/>
    </dxf>
    <dxf>
      <fill>
        <patternFill patternType="solid">
          <fgColor indexed="64"/>
          <bgColor rgb="FF0070C0"/>
        </patternFill>
      </fill>
    </dxf>
    <dxf>
      <font>
        <color rgb="FFFFFFFF"/>
      </font>
    </dxf>
    <dxf>
      <font>
        <b/>
      </font>
    </dxf>
    <dxf>
      <alignment horizontal="center"/>
    </dxf>
    <dxf>
      <alignment vertical="center"/>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numFmt numFmtId="172"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ont>
        <color rgb="FFFFFFFF"/>
      </font>
    </dxf>
    <dxf>
      <font>
        <color rgb="FFFFFFFF"/>
      </font>
    </dxf>
    <dxf>
      <font>
        <color rgb="FFFFFFFF"/>
      </font>
    </dxf>
    <dxf>
      <font>
        <color rgb="FFFFFFFF"/>
      </font>
    </dxf>
    <dxf>
      <font>
        <color rgb="FFFFFFFF"/>
      </font>
    </dxf>
    <dxf>
      <font>
        <color rgb="FFFFFFFF"/>
      </font>
    </dxf>
    <dxf>
      <font>
        <color rgb="FFFFFFFF"/>
      </font>
    </dxf>
    <dxf>
      <font>
        <b/>
      </font>
    </dxf>
    <dxf>
      <font>
        <b/>
      </font>
    </dxf>
    <dxf>
      <font>
        <b/>
      </font>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horizontal="right"/>
    </dxf>
    <dxf>
      <font>
        <name val="Arial"/>
      </font>
    </dxf>
    <dxf>
      <border diagonalUp="0" diagonalDown="0" outline="0">
        <left style="thin">
          <color rgb="FF999999"/>
        </left>
        <right style="thin">
          <color rgb="FF999999"/>
        </right>
        <top style="thin">
          <color rgb="FF999999"/>
        </top>
        <bottom style="thin">
          <color rgb="FF999999"/>
        </bottom>
      </border>
    </dxf>
    <dxf>
      <numFmt numFmtId="166" formatCode="\€#,##0;\(\€#,##0\);\-"/>
    </dxf>
    <dxf>
      <fill>
        <patternFill patternType="solid">
          <fgColor indexed="64"/>
          <bgColor rgb="FFDDEBF7"/>
        </patternFill>
      </fill>
    </dxf>
    <dxf>
      <fill>
        <patternFill patternType="solid">
          <fgColor indexed="64"/>
          <bgColor rgb="FFDDEBF7"/>
        </patternFill>
      </fill>
    </dxf>
    <dxf>
      <font>
        <b/>
      </font>
    </dxf>
    <dxf>
      <font>
        <b/>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color rgb="FF000000"/>
      </font>
    </dxf>
    <dxf>
      <font>
        <color rgb="FF000000"/>
      </font>
    </dxf>
    <dxf>
      <font>
        <color rgb="FF000000"/>
      </font>
    </dxf>
    <dxf>
      <font>
        <name val="Arial"/>
      </font>
    </dxf>
    <dxf>
      <font>
        <name val="Arial"/>
      </font>
    </dxf>
    <dxf>
      <font>
        <name val="Arial"/>
      </font>
    </dxf>
    <dxf>
      <font>
        <sz val="10"/>
      </font>
    </dxf>
    <dxf>
      <font>
        <sz val="10"/>
      </font>
    </dxf>
    <dxf>
      <font>
        <sz val="10"/>
      </font>
    </dxf>
    <dxf>
      <font>
        <name val="Arial"/>
      </font>
      <numFmt numFmtId="174" formatCode="mmm\ yyyy"/>
      <alignment horizontal="left"/>
      <border>
        <left style="thin">
          <color rgb="FF000000"/>
        </left>
        <right/>
        <top style="thin">
          <color rgb="FF000000"/>
        </top>
        <bottom style="thin">
          <color rgb="FF000000"/>
        </bottom>
        <vertical style="thin">
          <color rgb="FF000000"/>
        </vertical>
        <horizontal style="thin">
          <color rgb="FF000000"/>
        </horizontal>
      </border>
    </dxf>
    <dxf>
      <alignment horizontal="left" vertical="bottom" textRotation="0" wrapText="0" indent="0" justifyLastLine="0" shrinkToFit="0" readingOrder="0"/>
      <border diagonalUp="0" diagonalDown="0">
        <left/>
        <right/>
        <top style="thin">
          <color rgb="FF000000"/>
        </top>
        <bottom/>
      </border>
    </dxf>
    <dxf>
      <font>
        <color rgb="FF9C0006"/>
      </font>
      <fill>
        <patternFill patternType="solid">
          <fgColor indexed="64"/>
          <bgColor rgb="FFFFFF00"/>
        </patternFill>
      </fill>
    </dxf>
    <dxf>
      <numFmt numFmtId="166" formatCode="\€#,##0;\(\€#,##0\);\-"/>
      <alignment horizontal="left" vertical="bottom" textRotation="0" wrapText="0" indent="0" justifyLastLine="0" shrinkToFit="0" readingOrder="0"/>
      <border diagonalUp="0" diagonalDown="0" outline="0">
        <left/>
        <right/>
        <top style="thin">
          <color rgb="FF000000"/>
        </top>
        <bottom/>
      </border>
    </dxf>
    <dxf>
      <font>
        <b val="0"/>
        <i val="0"/>
        <strike val="0"/>
        <condense val="0"/>
        <extend val="0"/>
        <outline val="0"/>
        <shadow val="0"/>
        <u val="none"/>
        <vertAlign val="baseline"/>
        <sz val="11"/>
        <color theme="1"/>
        <name val="Arial"/>
        <scheme val="none"/>
      </font>
      <numFmt numFmtId="0" formatCode="General"/>
      <alignment horizontal="left" vertical="bottom"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Arial"/>
        <scheme val="none"/>
      </font>
      <numFmt numFmtId="0" formatCode="General"/>
      <alignment horizontal="left" vertical="bottom" textRotation="0" wrapText="0" indent="0" justifyLastLine="0" shrinkToFit="0" readingOrder="0"/>
      <border diagonalUp="0" diagonalDown="0" outline="0">
        <left style="thin">
          <color rgb="FF000000"/>
        </left>
        <right/>
        <top style="thin">
          <color rgb="FF000000"/>
        </top>
        <bottom/>
      </border>
    </dxf>
    <dxf>
      <font>
        <sz val="10"/>
      </font>
    </dxf>
    <dxf>
      <font>
        <sz val="10"/>
      </font>
    </dxf>
    <dxf>
      <font>
        <sz val="10"/>
      </font>
    </dxf>
    <dxf>
      <font>
        <name val="Arial"/>
      </font>
    </dxf>
    <dxf>
      <font>
        <name val="Arial"/>
      </font>
    </dxf>
    <dxf>
      <font>
        <name val="Arial"/>
      </font>
    </dxf>
    <dxf>
      <font>
        <color rgb="FF000000"/>
      </font>
    </dxf>
    <dxf>
      <font>
        <color rgb="FF000000"/>
      </font>
    </dxf>
    <dxf>
      <font>
        <color rgb="FF000000"/>
      </font>
    </dxf>
    <dxf>
      <font>
        <sz val="10"/>
      </font>
    </dxf>
    <dxf>
      <font>
        <sz val="10"/>
      </font>
    </dxf>
    <dxf>
      <font>
        <sz val="10"/>
      </font>
    </dxf>
    <dxf>
      <font>
        <name val="Arial"/>
      </font>
    </dxf>
    <dxf>
      <font>
        <name val="Arial"/>
      </font>
    </dxf>
    <dxf>
      <font>
        <name val="Arial"/>
      </font>
    </dxf>
    <dxf>
      <font>
        <color rgb="FF000000"/>
      </font>
    </dxf>
    <dxf>
      <font>
        <color rgb="FF000000"/>
      </font>
    </dxf>
    <dxf>
      <font>
        <color rgb="FF000000"/>
      </font>
    </dxf>
    <dxf>
      <font>
        <sz val="10"/>
      </font>
    </dxf>
    <dxf>
      <font>
        <sz val="10"/>
      </font>
    </dxf>
    <dxf>
      <font>
        <sz val="10"/>
      </font>
    </dxf>
    <dxf>
      <font>
        <name val="Arial"/>
      </font>
    </dxf>
    <dxf>
      <font>
        <name val="Arial"/>
      </font>
    </dxf>
    <dxf>
      <font>
        <name val="Arial"/>
      </font>
    </dxf>
    <dxf>
      <font>
        <color rgb="FF000000"/>
      </font>
    </dxf>
    <dxf>
      <font>
        <color rgb="FF000000"/>
      </font>
    </dxf>
    <dxf>
      <font>
        <color rgb="FF000000"/>
      </font>
    </dxf>
    <dxf>
      <font>
        <sz val="10"/>
      </font>
    </dxf>
    <dxf>
      <font>
        <sz val="10"/>
      </font>
    </dxf>
    <dxf>
      <font>
        <sz val="10"/>
      </font>
    </dxf>
    <dxf>
      <font>
        <name val="Arial"/>
      </font>
    </dxf>
    <dxf>
      <font>
        <name val="Arial"/>
      </font>
    </dxf>
    <dxf>
      <font>
        <name val="Arial"/>
      </font>
    </dxf>
    <dxf>
      <font>
        <color rgb="FF000000"/>
      </font>
    </dxf>
    <dxf>
      <font>
        <color rgb="FF000000"/>
      </font>
    </dxf>
    <dxf>
      <font>
        <color rgb="FF000000"/>
      </font>
    </dxf>
    <dxf>
      <font>
        <sz val="10"/>
      </font>
    </dxf>
    <dxf>
      <font>
        <sz val="10"/>
      </font>
    </dxf>
    <dxf>
      <font>
        <sz val="10"/>
      </font>
    </dxf>
    <dxf>
      <font>
        <name val="Arial"/>
      </font>
    </dxf>
    <dxf>
      <font>
        <name val="Arial"/>
      </font>
    </dxf>
    <dxf>
      <font>
        <name val="Arial"/>
      </font>
    </dxf>
    <dxf>
      <font>
        <color rgb="FF000000"/>
      </font>
    </dxf>
    <dxf>
      <font>
        <color rgb="FF000000"/>
      </font>
    </dxf>
    <dxf>
      <font>
        <color rgb="FF000000"/>
      </font>
    </dxf>
    <dxf>
      <font>
        <sz val="10"/>
      </font>
    </dxf>
    <dxf>
      <font>
        <sz val="10"/>
      </font>
    </dxf>
    <dxf>
      <font>
        <sz val="10"/>
      </font>
    </dxf>
    <dxf>
      <font>
        <sz val="10"/>
      </font>
    </dxf>
    <dxf>
      <font>
        <sz val="10"/>
      </font>
    </dxf>
    <dxf>
      <font>
        <name val="Arial"/>
      </font>
    </dxf>
    <dxf>
      <font>
        <name val="Arial"/>
      </font>
    </dxf>
    <dxf>
      <font>
        <name val="Arial"/>
      </font>
    </dxf>
    <dxf>
      <font>
        <name val="Arial"/>
      </font>
    </dxf>
    <dxf>
      <font>
        <name val="Arial"/>
      </font>
    </dxf>
    <dxf>
      <font>
        <color rgb="FF000000"/>
      </font>
    </dxf>
    <dxf>
      <font>
        <color rgb="FF000000"/>
      </font>
    </dxf>
    <dxf>
      <font>
        <color rgb="FF000000"/>
      </font>
    </dxf>
    <dxf>
      <font>
        <color rgb="FF000000"/>
      </font>
    </dxf>
    <dxf>
      <font>
        <color rgb="FF000000"/>
      </font>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b/>
      </font>
    </dxf>
    <dxf>
      <font>
        <b/>
      </font>
    </dxf>
    <dxf>
      <fill>
        <patternFill patternType="solid">
          <fgColor indexed="64"/>
          <bgColor rgb="FFDDEBF7"/>
        </patternFill>
      </fill>
    </dxf>
    <dxf>
      <fill>
        <patternFill patternType="solid">
          <fgColor indexed="64"/>
          <bgColor rgb="FFDDEBF7"/>
        </patternFill>
      </fill>
    </dxf>
    <dxf>
      <numFmt numFmtId="166" formatCode="\€#,##0;\(\€#,##0\);\-"/>
    </dxf>
    <dxf>
      <border diagonalUp="0" diagonalDown="0" outline="0">
        <left style="thin">
          <color rgb="FF999999"/>
        </left>
        <right style="thin">
          <color rgb="FF999999"/>
        </right>
        <top style="thin">
          <color rgb="FF999999"/>
        </top>
        <bottom style="thin">
          <color rgb="FF999999"/>
        </bottom>
      </border>
    </dxf>
    <dxf>
      <font>
        <name val="Arial"/>
      </font>
    </dxf>
    <dxf>
      <alignment horizontal="right"/>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b/>
      </font>
    </dxf>
    <dxf>
      <font>
        <color rgb="FFFFFFFF"/>
      </font>
    </dxf>
    <dxf>
      <font>
        <color rgb="FFFFFFFF"/>
      </font>
    </dxf>
    <dxf>
      <font>
        <color rgb="FFFFFFFF"/>
      </font>
    </dxf>
    <dxf>
      <font>
        <color rgb="FFFFFFFF"/>
      </font>
    </dxf>
    <dxf>
      <font>
        <color rgb="FFFFFFFF"/>
      </font>
    </dxf>
    <dxf>
      <font>
        <color rgb="FFFFFFFF"/>
      </font>
    </dxf>
    <dxf>
      <font>
        <color rgb="FFFFFFFF"/>
      </font>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fill>
        <patternFill patternType="solid">
          <fgColor indexed="64"/>
          <bgColor rgb="FF0070C0"/>
        </patternFill>
      </fill>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b/>
      </font>
    </dxf>
    <dxf>
      <font>
        <b/>
      </font>
    </dxf>
    <dxf>
      <fill>
        <patternFill patternType="solid">
          <fgColor indexed="64"/>
          <bgColor rgb="FFDDEBF7"/>
        </patternFill>
      </fill>
    </dxf>
    <dxf>
      <fill>
        <patternFill patternType="solid">
          <fgColor indexed="64"/>
          <bgColor rgb="FFDDEBF7"/>
        </patternFill>
      </fill>
    </dxf>
    <dxf>
      <numFmt numFmtId="172" formatCode="#,##0;\(#,##0\);\-"/>
    </dxf>
    <dxf>
      <numFmt numFmtId="166" formatCode="\€#,##0;\(\€#,##0\);\-"/>
    </dxf>
    <dxf>
      <border diagonalUp="0" diagonalDown="0" outline="0">
        <left style="thin">
          <color rgb="FF999999"/>
        </left>
        <right style="thin">
          <color rgb="FF999999"/>
        </right>
        <top style="thin">
          <color rgb="FF999999"/>
        </top>
        <bottom style="thin">
          <color rgb="FF999999"/>
        </bottom>
      </border>
    </dxf>
    <dxf>
      <font>
        <name val="Arial"/>
      </font>
    </dxf>
    <dxf>
      <alignment horizontal="right"/>
    </dxf>
    <dxf>
      <alignment wrapText="1"/>
    </dxf>
    <dxf>
      <alignment vertical="center"/>
    </dxf>
    <dxf>
      <alignment horizontal="center"/>
    </dxf>
    <dxf>
      <font>
        <b/>
      </font>
    </dxf>
    <dxf>
      <font>
        <color rgb="FFFFFFFF"/>
      </font>
    </dxf>
    <dxf>
      <fill>
        <patternFill patternType="solid">
          <fgColor indexed="64"/>
          <bgColor rgb="FF0070C0"/>
        </patternFill>
      </fill>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b/>
      </font>
    </dxf>
    <dxf>
      <font>
        <b/>
      </font>
    </dxf>
    <dxf>
      <fill>
        <patternFill patternType="solid">
          <fgColor indexed="64"/>
          <bgColor rgb="FFDDEBF7"/>
        </patternFill>
      </fill>
    </dxf>
    <dxf>
      <fill>
        <patternFill patternType="solid">
          <fgColor indexed="64"/>
          <bgColor rgb="FFDDEBF7"/>
        </patternFill>
      </fill>
    </dxf>
    <dxf>
      <numFmt numFmtId="172" formatCode="#,##0;\(#,##0\);\-"/>
    </dxf>
    <dxf>
      <numFmt numFmtId="166" formatCode="\€#,##0;\(\€#,##0\);\-"/>
    </dxf>
    <dxf>
      <border diagonalUp="0" diagonalDown="0" outline="0">
        <left style="thin">
          <color rgb="FF999999"/>
        </left>
        <right/>
      </border>
    </dxf>
    <dxf>
      <font>
        <name val="Arial"/>
      </font>
    </dxf>
    <dxf>
      <alignment horizontal="right"/>
    </dxf>
    <dxf>
      <alignment wrapText="1"/>
    </dxf>
    <dxf>
      <alignment vertical="center"/>
    </dxf>
    <dxf>
      <alignment horizontal="center"/>
    </dxf>
    <dxf>
      <font>
        <b/>
      </font>
    </dxf>
    <dxf>
      <font>
        <color rgb="FFFFFFFF"/>
      </font>
    </dxf>
    <dxf>
      <fill>
        <patternFill patternType="solid">
          <fgColor indexed="64"/>
          <bgColor rgb="FF0070C0"/>
        </patternFill>
      </fill>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b/>
      </font>
    </dxf>
    <dxf>
      <font>
        <b/>
      </font>
    </dxf>
    <dxf>
      <fill>
        <patternFill patternType="solid">
          <fgColor indexed="64"/>
          <bgColor rgb="FFDDEBF7"/>
        </patternFill>
      </fill>
    </dxf>
    <dxf>
      <fill>
        <patternFill patternType="solid">
          <fgColor indexed="64"/>
          <bgColor rgb="FFDDEBF7"/>
        </patternFill>
      </fill>
    </dxf>
    <dxf>
      <numFmt numFmtId="166" formatCode="\€#,##0;\(\€#,##0\);\-"/>
    </dxf>
    <dxf>
      <border diagonalUp="0" diagonalDown="0" outline="0">
        <left style="thin">
          <color rgb="FF999999"/>
        </left>
        <right style="thin">
          <color rgb="FF999999"/>
        </right>
        <top style="thin">
          <color rgb="FF999999"/>
        </top>
        <bottom style="thin">
          <color rgb="FF999999"/>
        </bottom>
      </border>
    </dxf>
    <dxf>
      <font>
        <name val="Arial"/>
      </font>
    </dxf>
    <dxf>
      <alignment horizontal="right"/>
    </dxf>
    <dxf>
      <alignment wrapText="1"/>
    </dxf>
    <dxf>
      <alignment vertical="center"/>
    </dxf>
    <dxf>
      <alignment horizontal="center"/>
    </dxf>
    <dxf>
      <font>
        <b/>
      </font>
    </dxf>
    <dxf>
      <font>
        <color rgb="FFFFFFFF"/>
      </font>
    </dxf>
    <dxf>
      <fill>
        <patternFill patternType="solid">
          <fgColor indexed="64"/>
          <bgColor rgb="FF0070C0"/>
        </patternFill>
      </fill>
    </dxf>
    <dxf>
      <border diagonalUp="0" diagonalDown="0" outline="0">
        <left style="thin">
          <color rgb="FF999999"/>
        </left>
        <right style="thin">
          <color rgb="FF999999"/>
        </right>
        <top style="medium">
          <color rgb="FF0070C0"/>
        </top>
        <bottom style="thin">
          <color rgb="FF999999"/>
        </bottom>
      </border>
    </dxf>
    <dxf>
      <border diagonalUp="0" diagonalDown="0" outline="0">
        <left style="thin">
          <color rgb="FF999999"/>
        </left>
        <right style="thin">
          <color rgb="FF999999"/>
        </right>
        <top style="medium">
          <color rgb="FF0070C0"/>
        </top>
        <bottom style="thin">
          <color rgb="FF999999"/>
        </bottom>
      </border>
    </dxf>
    <dxf>
      <font>
        <b/>
      </font>
    </dxf>
    <dxf>
      <font>
        <b/>
      </font>
    </dxf>
    <dxf>
      <fill>
        <patternFill patternType="solid">
          <fgColor indexed="64"/>
          <bgColor rgb="FFDDEBF7"/>
        </patternFill>
      </fill>
    </dxf>
    <dxf>
      <fill>
        <patternFill patternType="solid">
          <fgColor indexed="64"/>
          <bgColor rgb="FFDDEBF7"/>
        </patternFill>
      </fill>
    </dxf>
    <dxf>
      <numFmt numFmtId="172" formatCode="#,##0;\(#,##0\);\-"/>
    </dxf>
    <dxf>
      <numFmt numFmtId="166" formatCode="\€#,##0;\(\€#,##0\);\-"/>
    </dxf>
    <dxf>
      <border diagonalUp="0" diagonalDown="0" outline="0">
        <left style="thin">
          <color rgb="FF999999"/>
        </left>
        <right style="thin">
          <color rgb="FF999999"/>
        </right>
        <top style="thin">
          <color rgb="FF999999"/>
        </top>
        <bottom style="thin">
          <color rgb="FF999999"/>
        </bottom>
      </border>
    </dxf>
    <dxf>
      <font>
        <name val="Arial"/>
      </font>
    </dxf>
    <dxf>
      <alignment horizontal="right"/>
    </dxf>
    <dxf>
      <alignment wrapText="1"/>
    </dxf>
    <dxf>
      <alignment vertical="center"/>
    </dxf>
    <dxf>
      <alignment horizontal="center"/>
    </dxf>
    <dxf>
      <font>
        <b/>
      </font>
    </dxf>
    <dxf>
      <font>
        <color rgb="FFFFFFFF"/>
      </font>
    </dxf>
    <dxf>
      <fill>
        <patternFill patternType="solid">
          <fgColor indexed="64"/>
          <bgColor rgb="FF0070C0"/>
        </patternFill>
      </fill>
    </dxf>
    <dxf>
      <border diagonalUp="0" diagonalDown="0" outline="0">
        <left style="thin">
          <color rgb="FF999999"/>
        </left>
        <right/>
        <top style="medium">
          <color rgb="FF0070C0"/>
        </top>
      </border>
    </dxf>
    <dxf>
      <border diagonalUp="0" diagonalDown="0" outline="0">
        <left style="thin">
          <color rgb="FF999999"/>
        </left>
        <right/>
        <top style="medium">
          <color rgb="FF0070C0"/>
        </top>
      </border>
    </dxf>
    <dxf>
      <font>
        <b/>
      </font>
    </dxf>
    <dxf>
      <font>
        <b/>
      </font>
    </dxf>
    <dxf>
      <fill>
        <patternFill patternType="solid">
          <fgColor indexed="64"/>
          <bgColor rgb="FFDDEBF7"/>
        </patternFill>
      </fill>
    </dxf>
    <dxf>
      <fill>
        <patternFill patternType="solid">
          <fgColor indexed="64"/>
          <bgColor rgb="FFDDEBF7"/>
        </patternFill>
      </fill>
    </dxf>
    <dxf>
      <numFmt numFmtId="172" formatCode="#,##0;\(#,##0\);\-"/>
    </dxf>
    <dxf>
      <numFmt numFmtId="166" formatCode="\€#,##0;\(\€#,##0\);\-"/>
    </dxf>
    <dxf>
      <border diagonalUp="0" diagonalDown="0" outline="0">
        <left style="thin">
          <color rgb="FF999999"/>
        </left>
        <right/>
      </border>
    </dxf>
    <dxf>
      <font>
        <name val="Arial"/>
      </font>
    </dxf>
    <dxf>
      <alignment horizontal="right"/>
    </dxf>
    <dxf>
      <alignment wrapText="1"/>
    </dxf>
    <dxf>
      <alignment vertical="center"/>
    </dxf>
    <dxf>
      <alignment horizontal="center"/>
    </dxf>
    <dxf>
      <font>
        <b/>
      </font>
    </dxf>
    <dxf>
      <font>
        <color rgb="FFFFFFFF"/>
      </font>
    </dxf>
    <dxf>
      <fill>
        <patternFill patternType="solid">
          <fgColor indexed="64"/>
          <bgColor rgb="FF0070C0"/>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alignment horizontal="left" vertical="bottom" textRotation="0" wrapText="0" indent="0" justifyLastLine="0" shrinkToFit="0" readingOrder="0"/>
      <border diagonalUp="0" diagonalDown="0" outline="0">
        <left/>
        <right/>
        <top style="thin">
          <color rgb="FF000000"/>
        </top>
        <bottom/>
      </border>
    </dxf>
    <dxf>
      <alignment horizontal="left" vertical="bottom" textRotation="0" wrapText="0" indent="0" justifyLastLine="0" shrinkToFit="0" readingOrder="0"/>
      <border diagonalUp="0" diagonalDown="0" outline="0">
        <left/>
        <right/>
        <top style="thin">
          <color rgb="FF000000"/>
        </top>
        <bottom/>
      </border>
    </dxf>
    <dxf>
      <alignment horizontal="left" vertical="bottom" textRotation="0" wrapText="0" indent="0" justifyLastLine="0" shrinkToFit="0" readingOrder="0"/>
      <border diagonalUp="0" diagonalDown="0" outline="0">
        <left/>
        <right/>
        <top style="thin">
          <color rgb="FF000000"/>
        </top>
        <bottom/>
      </border>
    </dxf>
    <dxf>
      <font>
        <b/>
        <name val="Arial"/>
      </font>
      <fill>
        <patternFill patternType="solid">
          <fgColor indexed="64"/>
          <bgColor rgb="FF0070C0"/>
        </patternFill>
      </fill>
      <alignment horizontal="center" vertical="center"/>
      <border>
        <left style="thin">
          <color rgb="FF000000"/>
        </left>
        <right style="thin">
          <color rgb="FF000000"/>
        </right>
        <top/>
        <bottom/>
        <vertical style="thin">
          <color rgb="FF000000"/>
        </vertical>
        <horizontal style="thin">
          <color rgb="FF000000"/>
        </horizontal>
      </border>
    </dxf>
    <dxf>
      <font>
        <name val="Arial"/>
      </font>
      <numFmt numFmtId="166" formatCode="\€#,##0;\(\€#,##0\);\-"/>
      <alignment horizontal="left"/>
      <border>
        <left style="thin">
          <color rgb="FF000000"/>
        </left>
        <right/>
        <top style="thin">
          <color rgb="FF000000"/>
        </top>
        <bottom style="thin">
          <color rgb="FF000000"/>
        </bottom>
        <vertical style="thin">
          <color rgb="FF000000"/>
        </vertical>
        <horizontal style="thin">
          <color rgb="FF000000"/>
        </horizontal>
      </border>
    </dxf>
    <dxf>
      <font>
        <name val="Arial"/>
      </font>
      <numFmt numFmtId="166" formatCode="\€#,##0;\(\€#,##0\);\-"/>
      <alignment horizontal="left"/>
      <border>
        <left style="thin">
          <color rgb="FF000000"/>
        </left>
        <right/>
        <top style="thin">
          <color rgb="FF000000"/>
        </top>
        <bottom style="thin">
          <color rgb="FF000000"/>
        </bottom>
        <vertical style="thin">
          <color rgb="FF000000"/>
        </vertical>
        <horizontal style="thin">
          <color rgb="FF000000"/>
        </horizontal>
      </border>
    </dxf>
    <dxf>
      <font>
        <name val="Arial"/>
      </font>
      <numFmt numFmtId="166" formatCode="\€#,##0;\(\€#,##0\);\-"/>
      <alignment horizontal="left"/>
      <border>
        <left style="thin">
          <color rgb="FF000000"/>
        </left>
        <right/>
        <top style="thin">
          <color rgb="FF000000"/>
        </top>
        <bottom style="thin">
          <color rgb="FF000000"/>
        </bottom>
        <vertical style="thin">
          <color rgb="FF000000"/>
        </vertical>
        <horizontal style="thin">
          <color rgb="FF000000"/>
        </horizontal>
      </border>
    </dxf>
    <dxf>
      <font>
        <name val="Arial"/>
      </font>
      <numFmt numFmtId="166" formatCode="\€#,##0;\(\€#,##0\);\-"/>
      <alignment horizontal="left"/>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outline="0">
        <left style="thin">
          <color rgb="FF000000"/>
        </left>
        <right style="thin">
          <color rgb="FF000000"/>
        </right>
        <top style="thin">
          <color rgb="FF000000"/>
        </top>
        <bottom/>
      </border>
    </dxf>
    <dxf>
      <font>
        <name val="Arial"/>
      </font>
      <numFmt numFmtId="166" formatCode="\€#,##0;\(\€#,##0\);\-"/>
      <alignment horizontal="left"/>
      <border>
        <left style="thin">
          <color rgb="FF000000"/>
        </left>
        <right/>
        <top style="thin">
          <color rgb="FF000000"/>
        </top>
        <bottom style="thin">
          <color rgb="FF000000"/>
        </bottom>
        <vertical style="thin">
          <color rgb="FF000000"/>
        </vertical>
        <horizontal style="thin">
          <color rgb="FF000000"/>
        </horizontal>
      </border>
    </dxf>
    <dxf>
      <font>
        <name val="Arial"/>
      </font>
      <numFmt numFmtId="166" formatCode="\€#,##0;\(\€#,##0\);\-"/>
      <alignment horizontal="left"/>
      <border>
        <left style="thin">
          <color rgb="FF000000"/>
        </left>
        <right/>
        <top style="thin">
          <color rgb="FF000000"/>
        </top>
        <bottom style="thin">
          <color rgb="FF000000"/>
        </bottom>
        <vertical style="thin">
          <color rgb="FF000000"/>
        </vertical>
        <horizontal style="thin">
          <color rgb="FF000000"/>
        </horizontal>
      </border>
    </dxf>
    <dxf>
      <font>
        <name val="Arial"/>
      </font>
      <alignment horizontal="left"/>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border>
    </dxf>
    <dxf>
      <font>
        <name val="Arial"/>
      </font>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scheme val="none"/>
      </font>
      <numFmt numFmtId="165" formatCode="\€#,##0"/>
      <alignment horizontal="lef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none"/>
      </font>
      <numFmt numFmtId="164" formatCode="0.0000"/>
      <alignment horizontal="lef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none"/>
      </font>
      <alignment horizontal="lef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none"/>
      </font>
      <alignment horizontal="left"/>
      <border diagonalUp="0" diagonalDown="0">
        <left style="thin">
          <color rgb="FF000000"/>
        </left>
        <right style="thin">
          <color rgb="FF000000"/>
        </right>
        <top style="thin">
          <color rgb="FF000000"/>
        </top>
        <bottom style="thin">
          <color rgb="FF000000"/>
        </bottom>
        <vertical/>
        <horizontal/>
      </border>
    </dxf>
    <dxf>
      <font>
        <name val="Arial"/>
      </font>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border>
    </dxf>
    <dxf>
      <font>
        <name val="Arial"/>
      </font>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scheme val="none"/>
      </font>
      <alignment horizontal="lef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none"/>
      </font>
      <alignment horizontal="lef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none"/>
      </font>
      <alignment horizontal="left"/>
      <border diagonalUp="0" diagonalDown="0">
        <left style="thin">
          <color rgb="FF000000"/>
        </left>
        <right style="thin">
          <color rgb="FF000000"/>
        </right>
        <top style="thin">
          <color rgb="FF000000"/>
        </top>
        <bottom style="thin">
          <color rgb="FF000000"/>
        </bottom>
        <vertical/>
        <horizontal/>
      </border>
    </dxf>
    <dxf>
      <font>
        <name val="Arial"/>
      </font>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numFmt numFmtId="169" formatCode="0&quot; km&quo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numFmt numFmtId="168" formatCode="0&quot; km/h&quo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numFmt numFmtId="168" formatCode="0&quot; km/h&quo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Arial"/>
        <scheme val="none"/>
      </font>
      <numFmt numFmtId="168" formatCode="0&quot; km/h&quot;"/>
      <alignment horizontal="lef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border>
    </dxf>
    <dxf>
      <font>
        <name val="Arial"/>
      </font>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font>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scheme val="none"/>
      </font>
      <alignment horizontal="left"/>
      <border diagonalUp="0" diagonalDown="0">
        <left style="thin">
          <color rgb="FF000000"/>
        </left>
        <right style="thin">
          <color rgb="FF000000"/>
        </right>
        <top style="thin">
          <color rgb="FF000000"/>
        </top>
        <bottom style="thin">
          <color rgb="FF000000"/>
        </bottom>
        <vertical/>
        <horizontal/>
      </border>
    </dxf>
    <dxf>
      <font>
        <name val="Arial"/>
      </font>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border>
    </dxf>
    <dxf>
      <font>
        <name val="Arial"/>
      </font>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name val="Arial"/>
      </font>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scheme val="none"/>
      </font>
      <alignment horizontal="left"/>
      <border diagonalUp="0" diagonalDown="0">
        <left style="thin">
          <color rgb="FF000000"/>
        </left>
        <right style="thin">
          <color rgb="FF000000"/>
        </right>
        <top style="thin">
          <color rgb="FF000000"/>
        </top>
        <bottom style="thin">
          <color rgb="FF000000"/>
        </bottom>
        <vertical/>
        <horizontal/>
      </border>
    </dxf>
    <dxf>
      <font>
        <name val="Arial"/>
      </font>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style="thin">
          <color rgb="FF000000"/>
        </left>
        <right style="thin">
          <color rgb="FF000000"/>
        </right>
        <top style="thin">
          <color rgb="FF000000"/>
        </top>
        <bottom/>
      </border>
    </dxf>
    <dxf>
      <font>
        <name val="Arial"/>
      </font>
      <alignment horizontal="lef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theme="1"/>
        <name val="Arial"/>
        <scheme val="none"/>
      </font>
      <alignment horizontal="left" vertical="bottom" textRotation="0" wrapText="0" indent="0" justifyLastLine="0" shrinkToFit="0" readingOrder="0"/>
      <border diagonalUp="0" diagonalDown="0">
        <left/>
        <right style="thin">
          <color rgb="FF000000"/>
        </right>
        <top style="thin">
          <color rgb="FF000000"/>
        </top>
        <bottom/>
      </border>
    </dxf>
    <dxf>
      <font>
        <name val="Arial"/>
      </font>
      <alignment horizontal="left"/>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font>
        <name val="Arial"/>
      </font>
    </dxf>
    <dxf>
      <border>
        <bottom style="thin">
          <color rgb="FF000000"/>
        </bottom>
      </border>
    </dxf>
    <dxf>
      <fill>
        <patternFill patternType="solid">
          <fgColor rgb="FF82CAEB"/>
          <bgColor rgb="FF82CAEB"/>
        </patternFill>
      </fill>
    </dxf>
    <dxf>
      <fill>
        <patternFill patternType="solid">
          <fgColor rgb="FFC0E4F5"/>
          <bgColor rgb="FFC0E4F5"/>
        </patternFill>
      </fill>
    </dxf>
    <dxf>
      <fill>
        <patternFill patternType="solid">
          <fgColor theme="1"/>
          <bgColor theme="1"/>
        </patternFill>
      </fill>
    </dxf>
    <dxf>
      <fill>
        <patternFill patternType="solid">
          <fgColor rgb="FF82CAEB"/>
          <bgColor rgb="FF82CAEB"/>
        </patternFill>
      </fill>
    </dxf>
    <dxf>
      <fill>
        <patternFill patternType="solid">
          <fgColor rgb="FFC0E4F5"/>
          <bgColor rgb="FFC0E4F5"/>
        </patternFill>
      </fill>
    </dxf>
    <dxf>
      <fill>
        <patternFill patternType="solid">
          <fgColor theme="1"/>
          <bgColor theme="1"/>
        </patternFill>
      </fill>
    </dxf>
  </dxfs>
  <tableStyles count="2">
    <tableStyle name="C2_M5_L2 Rental Data-style" pivot="0" count="3" xr9:uid="{00000000-0011-0000-FFFF-FFFF00000000}">
      <tableStyleElement type="headerRow" dxfId="2103"/>
      <tableStyleElement type="firstRowStripe" dxfId="2102"/>
      <tableStyleElement type="secondRowStripe" dxfId="2101"/>
    </tableStyle>
    <tableStyle name="C2_M5_L2 Mobility Sales Data-style" pivot="0" count="3" xr9:uid="{00000000-0011-0000-FFFF-FFFF01000000}">
      <tableStyleElement type="headerRow" dxfId="2100"/>
      <tableStyleElement type="firstRowStripe" dxfId="2099"/>
      <tableStyleElement type="secondRowStripe" dxfId="209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(EUR)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Dashboard!$C$50</c:f>
              <c:strCache>
                <c:ptCount val="1"/>
                <c:pt idx="0">
                  <c:v>Sales (EUR)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Dashboard!$B$51:$B$62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Dashboard!$C$51:$C$62</c:f>
              <c:numCache>
                <c:formatCode>General</c:formatCode>
                <c:ptCount val="12"/>
                <c:pt idx="0">
                  <c:v>2076593</c:v>
                </c:pt>
                <c:pt idx="1">
                  <c:v>2552085</c:v>
                </c:pt>
                <c:pt idx="2">
                  <c:v>2552085</c:v>
                </c:pt>
                <c:pt idx="3">
                  <c:v>3167122</c:v>
                </c:pt>
                <c:pt idx="4">
                  <c:v>3311633</c:v>
                </c:pt>
                <c:pt idx="5">
                  <c:v>3805536</c:v>
                </c:pt>
                <c:pt idx="6">
                  <c:v>3744231</c:v>
                </c:pt>
                <c:pt idx="7">
                  <c:v>3308633</c:v>
                </c:pt>
                <c:pt idx="8">
                  <c:v>3088159</c:v>
                </c:pt>
                <c:pt idx="9">
                  <c:v>2817184</c:v>
                </c:pt>
                <c:pt idx="10">
                  <c:v>2639595</c:v>
                </c:pt>
                <c:pt idx="11">
                  <c:v>3319674</c:v>
                </c:pt>
              </c:numCache>
            </c:numRef>
          </c:val>
          <c:smooth val="0"/>
          <c:extLst>
            <c:ext xmlns:c16="http://schemas.microsoft.com/office/drawing/2014/chart" uri="{C3380CC4-5D6E-409C-BE32-E72D297353CC}">
              <c16:uniqueId val="{00000000-1004-4AB7-97D7-AC68277F3FBA}"/>
            </c:ext>
          </c:extLst>
        </c:ser>
        <c:dLbls>
          <c:showLegendKey val="0"/>
          <c:showVal val="0"/>
          <c:showCatName val="0"/>
          <c:showSerName val="0"/>
          <c:showPercent val="0"/>
          <c:showBubbleSize val="0"/>
        </c:dLbls>
        <c:marker val="1"/>
        <c:smooth val="0"/>
        <c:axId val="1179984927"/>
        <c:axId val="377415599"/>
      </c:lineChart>
      <c:catAx>
        <c:axId val="1179984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415599"/>
        <c:crosses val="autoZero"/>
        <c:auto val="1"/>
        <c:lblAlgn val="ctr"/>
        <c:lblOffset val="100"/>
        <c:noMultiLvlLbl val="0"/>
      </c:catAx>
      <c:valAx>
        <c:axId val="3774155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84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vs discounts by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Dashboard!$F$50</c:f>
              <c:strCache>
                <c:ptCount val="1"/>
                <c:pt idx="0">
                  <c:v>Sales (EUR)</c:v>
                </c:pt>
              </c:strCache>
            </c:strRef>
          </c:tx>
          <c:spPr>
            <a:solidFill>
              <a:schemeClr val="accent1"/>
            </a:solidFill>
            <a:ln>
              <a:noFill/>
            </a:ln>
            <a:effectLst/>
          </c:spPr>
          <c:invertIfNegative val="0"/>
          <c:cat>
            <c:strRef>
              <c:f>Dashboard!$E$51:$E$54</c:f>
              <c:strCache>
                <c:ptCount val="4"/>
                <c:pt idx="0">
                  <c:v>Q1</c:v>
                </c:pt>
                <c:pt idx="1">
                  <c:v>Q2</c:v>
                </c:pt>
                <c:pt idx="2">
                  <c:v>Q3</c:v>
                </c:pt>
                <c:pt idx="3">
                  <c:v>Q4</c:v>
                </c:pt>
              </c:strCache>
            </c:strRef>
          </c:cat>
          <c:val>
            <c:numRef>
              <c:f>Dashboard!$F$51:$F$54</c:f>
              <c:numCache>
                <c:formatCode>General</c:formatCode>
                <c:ptCount val="4"/>
                <c:pt idx="0">
                  <c:v>7180763</c:v>
                </c:pt>
                <c:pt idx="1">
                  <c:v>10284291</c:v>
                </c:pt>
                <c:pt idx="2">
                  <c:v>10141023</c:v>
                </c:pt>
                <c:pt idx="3">
                  <c:v>8776453</c:v>
                </c:pt>
              </c:numCache>
            </c:numRef>
          </c:val>
          <c:extLst>
            <c:ext xmlns:c16="http://schemas.microsoft.com/office/drawing/2014/chart" uri="{C3380CC4-5D6E-409C-BE32-E72D297353CC}">
              <c16:uniqueId val="{00000000-A089-4DA2-B6FD-A36E68D022F4}"/>
            </c:ext>
          </c:extLst>
        </c:ser>
        <c:ser>
          <c:idx val="1"/>
          <c:order val="1"/>
          <c:tx>
            <c:strRef>
              <c:f>Dashboard!$G$50</c:f>
              <c:strCache>
                <c:ptCount val="1"/>
                <c:pt idx="0">
                  <c:v>Discounts (EUR)</c:v>
                </c:pt>
              </c:strCache>
            </c:strRef>
          </c:tx>
          <c:spPr>
            <a:solidFill>
              <a:schemeClr val="accent2"/>
            </a:solidFill>
            <a:ln>
              <a:noFill/>
            </a:ln>
            <a:effectLst/>
          </c:spPr>
          <c:invertIfNegative val="0"/>
          <c:cat>
            <c:strRef>
              <c:f>Dashboard!$E$51:$E$54</c:f>
              <c:strCache>
                <c:ptCount val="4"/>
                <c:pt idx="0">
                  <c:v>Q1</c:v>
                </c:pt>
                <c:pt idx="1">
                  <c:v>Q2</c:v>
                </c:pt>
                <c:pt idx="2">
                  <c:v>Q3</c:v>
                </c:pt>
                <c:pt idx="3">
                  <c:v>Q4</c:v>
                </c:pt>
              </c:strCache>
            </c:strRef>
          </c:cat>
          <c:val>
            <c:numRef>
              <c:f>Dashboard!$G$51:$G$54</c:f>
              <c:numCache>
                <c:formatCode>General</c:formatCode>
                <c:ptCount val="4"/>
                <c:pt idx="0">
                  <c:v>230730</c:v>
                </c:pt>
                <c:pt idx="1">
                  <c:v>0</c:v>
                </c:pt>
                <c:pt idx="2">
                  <c:v>0</c:v>
                </c:pt>
                <c:pt idx="3">
                  <c:v>1295729</c:v>
                </c:pt>
              </c:numCache>
            </c:numRef>
          </c:val>
          <c:extLst>
            <c:ext xmlns:c16="http://schemas.microsoft.com/office/drawing/2014/chart" uri="{C3380CC4-5D6E-409C-BE32-E72D297353CC}">
              <c16:uniqueId val="{00000001-A089-4DA2-B6FD-A36E68D022F4}"/>
            </c:ext>
          </c:extLst>
        </c:ser>
        <c:dLbls>
          <c:showLegendKey val="0"/>
          <c:showVal val="0"/>
          <c:showCatName val="0"/>
          <c:showSerName val="0"/>
          <c:showPercent val="0"/>
          <c:showBubbleSize val="0"/>
        </c:dLbls>
        <c:gapWidth val="219"/>
        <c:overlap val="-27"/>
        <c:axId val="1009755599"/>
        <c:axId val="377411759"/>
      </c:barChart>
      <c:catAx>
        <c:axId val="100975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411759"/>
        <c:crosses val="autoZero"/>
        <c:auto val="1"/>
        <c:lblAlgn val="ctr"/>
        <c:lblOffset val="100"/>
        <c:noMultiLvlLbl val="0"/>
      </c:catAx>
      <c:valAx>
        <c:axId val="37741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755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rep (EUR)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Dashboard!$J$50</c:f>
              <c:strCache>
                <c:ptCount val="1"/>
                <c:pt idx="0">
                  <c:v>Sales (EUR)</c:v>
                </c:pt>
              </c:strCache>
            </c:strRef>
          </c:tx>
          <c:spPr>
            <a:solidFill>
              <a:schemeClr val="accent1"/>
            </a:solidFill>
            <a:ln>
              <a:noFill/>
            </a:ln>
            <a:effectLst/>
          </c:spPr>
          <c:invertIfNegative val="0"/>
          <c:cat>
            <c:strRef>
              <c:f>Dashboard!$I$51:$I$54</c:f>
              <c:strCache>
                <c:ptCount val="4"/>
                <c:pt idx="0">
                  <c:v>Liu, Fang</c:v>
                </c:pt>
                <c:pt idx="1">
                  <c:v>Bernard, Théo</c:v>
                </c:pt>
                <c:pt idx="2">
                  <c:v>Fischer, Jonas</c:v>
                </c:pt>
                <c:pt idx="3">
                  <c:v>Joshi, Sanya</c:v>
                </c:pt>
              </c:strCache>
            </c:strRef>
          </c:cat>
          <c:val>
            <c:numRef>
              <c:f>Dashboard!$J$51:$J$54</c:f>
              <c:numCache>
                <c:formatCode>General</c:formatCode>
                <c:ptCount val="4"/>
                <c:pt idx="0">
                  <c:v>18770889</c:v>
                </c:pt>
                <c:pt idx="1">
                  <c:v>8059775</c:v>
                </c:pt>
                <c:pt idx="2">
                  <c:v>7068725</c:v>
                </c:pt>
                <c:pt idx="3">
                  <c:v>2483141</c:v>
                </c:pt>
              </c:numCache>
            </c:numRef>
          </c:val>
          <c:extLst>
            <c:ext xmlns:c16="http://schemas.microsoft.com/office/drawing/2014/chart" uri="{C3380CC4-5D6E-409C-BE32-E72D297353CC}">
              <c16:uniqueId val="{00000000-B6AA-452C-9F55-B6ADD31C5BB9}"/>
            </c:ext>
          </c:extLst>
        </c:ser>
        <c:dLbls>
          <c:showLegendKey val="0"/>
          <c:showVal val="0"/>
          <c:showCatName val="0"/>
          <c:showSerName val="0"/>
          <c:showPercent val="0"/>
          <c:showBubbleSize val="0"/>
        </c:dLbls>
        <c:gapWidth val="182"/>
        <c:axId val="1055903151"/>
        <c:axId val="377399279"/>
      </c:barChart>
      <c:catAx>
        <c:axId val="1055903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399279"/>
        <c:crosses val="autoZero"/>
        <c:auto val="1"/>
        <c:lblAlgn val="ctr"/>
        <c:lblOffset val="100"/>
        <c:noMultiLvlLbl val="0"/>
      </c:catAx>
      <c:valAx>
        <c:axId val="3773992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903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mix (sales EUR)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Dashboard!$M$50</c:f>
              <c:strCache>
                <c:ptCount val="1"/>
                <c:pt idx="0">
                  <c:v>Sales (EUR)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Dashboard!$L$51:$L$53</c:f>
              <c:strCache>
                <c:ptCount val="3"/>
                <c:pt idx="0">
                  <c:v>Electric Scooter</c:v>
                </c:pt>
                <c:pt idx="1">
                  <c:v>Electric Skateboard</c:v>
                </c:pt>
                <c:pt idx="2">
                  <c:v>Electric Unicycle</c:v>
                </c:pt>
              </c:strCache>
            </c:strRef>
          </c:cat>
          <c:val>
            <c:numRef>
              <c:f>Dashboard!$M$51:$M$53</c:f>
              <c:numCache>
                <c:formatCode>General</c:formatCode>
                <c:ptCount val="3"/>
                <c:pt idx="0">
                  <c:v>14904265</c:v>
                </c:pt>
                <c:pt idx="1">
                  <c:v>12366531</c:v>
                </c:pt>
                <c:pt idx="2">
                  <c:v>9111734</c:v>
                </c:pt>
              </c:numCache>
            </c:numRef>
          </c:val>
          <c:extLst>
            <c:ext xmlns:c16="http://schemas.microsoft.com/office/drawing/2014/chart" uri="{C3380CC4-5D6E-409C-BE32-E72D297353CC}">
              <c16:uniqueId val="{00000000-0541-43E4-9F23-FDD1364AAED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4E79"/>
                </a:solidFill>
                <a:latin typeface="+mn-lt"/>
                <a:ea typeface="+mn-ea"/>
                <a:cs typeface="+mn-cs"/>
              </a:defRPr>
            </a:pPr>
            <a:r>
              <a:rPr lang="en-US"/>
              <a:t>Monthly sales (EUR)</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4E79"/>
              </a:solidFill>
              <a:latin typeface="+mn-lt"/>
              <a:ea typeface="+mn-ea"/>
              <a:cs typeface="+mn-cs"/>
            </a:defRPr>
          </a:pPr>
          <a:endParaRPr lang="en-US"/>
        </a:p>
      </c:txPr>
    </c:title>
    <c:autoTitleDeleted val="0"/>
    <c:plotArea>
      <c:layout/>
      <c:lineChart>
        <c:grouping val="standard"/>
        <c:varyColors val="0"/>
        <c:ser>
          <c:idx val="0"/>
          <c:order val="0"/>
          <c:tx>
            <c:strRef>
              <c:f>'Pivot Time'!$N$3</c:f>
              <c:strCache>
                <c:ptCount val="1"/>
                <c:pt idx="0">
                  <c:v>Sales (EUR)</c:v>
                </c:pt>
              </c:strCache>
            </c:strRef>
          </c:tx>
          <c:spPr>
            <a:ln w="31750" cap="rnd">
              <a:solidFill>
                <a:srgbClr val="0070C0"/>
              </a:solidFill>
              <a:prstDash val="solid"/>
              <a:round/>
            </a:ln>
            <a:effectLst/>
          </c:spPr>
          <c:marker>
            <c:symbol val="none"/>
          </c:marker>
          <c:cat>
            <c:strRef>
              <c:f>'Pivot Time'!$M$4:$M$15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Time'!$N$4:$N$15</c:f>
              <c:numCache>
                <c:formatCode>\€#,##0</c:formatCode>
                <c:ptCount val="12"/>
                <c:pt idx="0">
                  <c:v>2076593</c:v>
                </c:pt>
                <c:pt idx="1">
                  <c:v>2552085</c:v>
                </c:pt>
                <c:pt idx="2">
                  <c:v>2552085</c:v>
                </c:pt>
                <c:pt idx="3">
                  <c:v>3167122</c:v>
                </c:pt>
                <c:pt idx="4">
                  <c:v>3311633</c:v>
                </c:pt>
                <c:pt idx="5">
                  <c:v>3805536</c:v>
                </c:pt>
                <c:pt idx="6">
                  <c:v>3744231</c:v>
                </c:pt>
                <c:pt idx="7">
                  <c:v>3308633</c:v>
                </c:pt>
                <c:pt idx="8">
                  <c:v>3088159</c:v>
                </c:pt>
                <c:pt idx="9">
                  <c:v>2817184</c:v>
                </c:pt>
                <c:pt idx="10">
                  <c:v>2639595</c:v>
                </c:pt>
                <c:pt idx="11">
                  <c:v>3319674</c:v>
                </c:pt>
              </c:numCache>
            </c:numRef>
          </c:val>
          <c:smooth val="0"/>
          <c:extLst>
            <c:ext xmlns:c16="http://schemas.microsoft.com/office/drawing/2014/chart" uri="{C3380CC4-5D6E-409C-BE32-E72D297353CC}">
              <c16:uniqueId val="{00000000-BE20-4366-AE1D-F12475A17215}"/>
            </c:ext>
          </c:extLst>
        </c:ser>
        <c:dLbls>
          <c:showLegendKey val="0"/>
          <c:showVal val="0"/>
          <c:showCatName val="0"/>
          <c:showSerName val="0"/>
          <c:showPercent val="0"/>
          <c:showBubbleSize val="0"/>
        </c:dLbls>
        <c:smooth val="0"/>
        <c:axId val="1024610575"/>
        <c:axId val="1040502831"/>
      </c:lineChart>
      <c:catAx>
        <c:axId val="1024610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502831"/>
        <c:crosses val="autoZero"/>
        <c:auto val="1"/>
        <c:lblAlgn val="ctr"/>
        <c:lblOffset val="100"/>
        <c:noMultiLvlLbl val="0"/>
      </c:catAx>
      <c:valAx>
        <c:axId val="1040502831"/>
        <c:scaling>
          <c:orientation val="minMax"/>
        </c:scaling>
        <c:delete val="0"/>
        <c:axPos val="l"/>
        <c:majorGridlines>
          <c:spPr>
            <a:ln w="9525" cap="flat" cmpd="sng" algn="ctr">
              <a:solidFill>
                <a:srgbClr val="EDEDED"/>
              </a:solidFill>
              <a:prstDash val="solid"/>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10575"/>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4E79"/>
                </a:solidFill>
                <a:latin typeface="+mn-lt"/>
                <a:ea typeface="+mn-ea"/>
                <a:cs typeface="+mn-cs"/>
              </a:defRPr>
            </a:pPr>
            <a:r>
              <a:rPr lang="en-US"/>
              <a:t>Revenue vs discounts by quarter (EUR)</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4E79"/>
              </a:solidFill>
              <a:latin typeface="+mn-lt"/>
              <a:ea typeface="+mn-ea"/>
              <a:cs typeface="+mn-cs"/>
            </a:defRPr>
          </a:pPr>
          <a:endParaRPr lang="en-US"/>
        </a:p>
      </c:txPr>
    </c:title>
    <c:autoTitleDeleted val="0"/>
    <c:plotArea>
      <c:layout/>
      <c:barChart>
        <c:barDir val="col"/>
        <c:grouping val="clustered"/>
        <c:varyColors val="0"/>
        <c:ser>
          <c:idx val="0"/>
          <c:order val="0"/>
          <c:tx>
            <c:strRef>
              <c:f>'Pivot Time'!$Q$3</c:f>
              <c:strCache>
                <c:ptCount val="1"/>
                <c:pt idx="0">
                  <c:v>Sales (EUR)</c:v>
                </c:pt>
              </c:strCache>
            </c:strRef>
          </c:tx>
          <c:spPr>
            <a:solidFill>
              <a:srgbClr val="0070C0"/>
            </a:solidFill>
            <a:ln>
              <a:noFill/>
            </a:ln>
            <a:effectLst/>
          </c:spPr>
          <c:invertIfNegative val="0"/>
          <c:cat>
            <c:strRef>
              <c:f>'Pivot Time'!$P$4:$P$7</c:f>
              <c:strCache>
                <c:ptCount val="4"/>
                <c:pt idx="0">
                  <c:v>Q1</c:v>
                </c:pt>
                <c:pt idx="1">
                  <c:v>Q2</c:v>
                </c:pt>
                <c:pt idx="2">
                  <c:v>Q3</c:v>
                </c:pt>
                <c:pt idx="3">
                  <c:v>Q4</c:v>
                </c:pt>
              </c:strCache>
            </c:strRef>
          </c:cat>
          <c:val>
            <c:numRef>
              <c:f>'Pivot Time'!$Q$4:$Q$7</c:f>
              <c:numCache>
                <c:formatCode>\€#,##0</c:formatCode>
                <c:ptCount val="4"/>
                <c:pt idx="0">
                  <c:v>7180763</c:v>
                </c:pt>
                <c:pt idx="1">
                  <c:v>10284291</c:v>
                </c:pt>
                <c:pt idx="2">
                  <c:v>10141023</c:v>
                </c:pt>
                <c:pt idx="3">
                  <c:v>8776453</c:v>
                </c:pt>
              </c:numCache>
            </c:numRef>
          </c:val>
          <c:extLst>
            <c:ext xmlns:c16="http://schemas.microsoft.com/office/drawing/2014/chart" uri="{C3380CC4-5D6E-409C-BE32-E72D297353CC}">
              <c16:uniqueId val="{00000000-B5AB-425C-9A65-2480C2CCA815}"/>
            </c:ext>
          </c:extLst>
        </c:ser>
        <c:ser>
          <c:idx val="1"/>
          <c:order val="1"/>
          <c:tx>
            <c:strRef>
              <c:f>'Pivot Time'!$R$3</c:f>
              <c:strCache>
                <c:ptCount val="1"/>
                <c:pt idx="0">
                  <c:v>Discounts (EUR)</c:v>
                </c:pt>
              </c:strCache>
            </c:strRef>
          </c:tx>
          <c:spPr>
            <a:solidFill>
              <a:srgbClr val="ED7D31"/>
            </a:solidFill>
            <a:ln>
              <a:noFill/>
            </a:ln>
            <a:effectLst/>
          </c:spPr>
          <c:invertIfNegative val="0"/>
          <c:cat>
            <c:strRef>
              <c:f>'Pivot Time'!$P$4:$P$7</c:f>
              <c:strCache>
                <c:ptCount val="4"/>
                <c:pt idx="0">
                  <c:v>Q1</c:v>
                </c:pt>
                <c:pt idx="1">
                  <c:v>Q2</c:v>
                </c:pt>
                <c:pt idx="2">
                  <c:v>Q3</c:v>
                </c:pt>
                <c:pt idx="3">
                  <c:v>Q4</c:v>
                </c:pt>
              </c:strCache>
            </c:strRef>
          </c:cat>
          <c:val>
            <c:numRef>
              <c:f>'Pivot Time'!$R$4:$R$7</c:f>
              <c:numCache>
                <c:formatCode>\€#,##0</c:formatCode>
                <c:ptCount val="4"/>
                <c:pt idx="0">
                  <c:v>230730</c:v>
                </c:pt>
                <c:pt idx="1">
                  <c:v>0</c:v>
                </c:pt>
                <c:pt idx="2">
                  <c:v>0</c:v>
                </c:pt>
                <c:pt idx="3">
                  <c:v>1295729</c:v>
                </c:pt>
              </c:numCache>
            </c:numRef>
          </c:val>
          <c:extLst>
            <c:ext xmlns:c16="http://schemas.microsoft.com/office/drawing/2014/chart" uri="{C3380CC4-5D6E-409C-BE32-E72D297353CC}">
              <c16:uniqueId val="{00000001-B5AB-425C-9A65-2480C2CCA815}"/>
            </c:ext>
          </c:extLst>
        </c:ser>
        <c:dLbls>
          <c:showLegendKey val="0"/>
          <c:showVal val="0"/>
          <c:showCatName val="0"/>
          <c:showSerName val="0"/>
          <c:showPercent val="0"/>
          <c:showBubbleSize val="0"/>
        </c:dLbls>
        <c:gapWidth val="219"/>
        <c:overlap val="-27"/>
        <c:axId val="1024611039"/>
        <c:axId val="1040530191"/>
      </c:barChart>
      <c:catAx>
        <c:axId val="1024611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530191"/>
        <c:crosses val="autoZero"/>
        <c:auto val="1"/>
        <c:lblAlgn val="ctr"/>
        <c:lblOffset val="100"/>
        <c:noMultiLvlLbl val="0"/>
      </c:catAx>
      <c:valAx>
        <c:axId val="1040530191"/>
        <c:scaling>
          <c:orientation val="minMax"/>
        </c:scaling>
        <c:delete val="0"/>
        <c:axPos val="l"/>
        <c:majorGridlines>
          <c:spPr>
            <a:ln w="9525" cap="flat" cmpd="sng" algn="ctr">
              <a:solidFill>
                <a:srgbClr val="EDEDED"/>
              </a:solidFill>
              <a:prstDash val="solid"/>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46110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4E79"/>
                </a:solidFill>
                <a:latin typeface="+mn-lt"/>
                <a:ea typeface="+mn-ea"/>
                <a:cs typeface="+mn-cs"/>
              </a:defRPr>
            </a:pPr>
            <a:r>
              <a:rPr lang="en-US"/>
              <a:t>Total sales by rep (EUR)</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4E79"/>
              </a:solidFill>
              <a:latin typeface="+mn-lt"/>
              <a:ea typeface="+mn-ea"/>
              <a:cs typeface="+mn-cs"/>
            </a:defRPr>
          </a:pPr>
          <a:endParaRPr lang="en-US"/>
        </a:p>
      </c:txPr>
    </c:title>
    <c:autoTitleDeleted val="0"/>
    <c:plotArea>
      <c:layout/>
      <c:barChart>
        <c:barDir val="bar"/>
        <c:grouping val="clustered"/>
        <c:varyColors val="0"/>
        <c:ser>
          <c:idx val="0"/>
          <c:order val="0"/>
          <c:tx>
            <c:strRef>
              <c:f>'Pivot Reps &amp; Products'!$K$3</c:f>
              <c:strCache>
                <c:ptCount val="1"/>
                <c:pt idx="0">
                  <c:v>Sales (EUR)</c:v>
                </c:pt>
              </c:strCache>
            </c:strRef>
          </c:tx>
          <c:spPr>
            <a:solidFill>
              <a:srgbClr val="0070C0"/>
            </a:solidFill>
            <a:ln>
              <a:noFill/>
            </a:ln>
            <a:effectLst/>
          </c:spPr>
          <c:invertIfNegative val="0"/>
          <c:cat>
            <c:strRef>
              <c:f>'Pivot Reps &amp; Products'!$J$4:$J$7</c:f>
              <c:strCache>
                <c:ptCount val="4"/>
                <c:pt idx="0">
                  <c:v>Liu, Fang</c:v>
                </c:pt>
                <c:pt idx="1">
                  <c:v>Bernard, Théo</c:v>
                </c:pt>
                <c:pt idx="2">
                  <c:v>Fischer, Jonas</c:v>
                </c:pt>
                <c:pt idx="3">
                  <c:v>Joshi, Sanya</c:v>
                </c:pt>
              </c:strCache>
            </c:strRef>
          </c:cat>
          <c:val>
            <c:numRef>
              <c:f>'Pivot Reps &amp; Products'!$K$4:$K$7</c:f>
              <c:numCache>
                <c:formatCode>\€#,##0</c:formatCode>
                <c:ptCount val="4"/>
                <c:pt idx="0">
                  <c:v>18770889</c:v>
                </c:pt>
                <c:pt idx="1">
                  <c:v>8059775</c:v>
                </c:pt>
                <c:pt idx="2">
                  <c:v>7068725</c:v>
                </c:pt>
                <c:pt idx="3">
                  <c:v>2483141</c:v>
                </c:pt>
              </c:numCache>
            </c:numRef>
          </c:val>
          <c:extLst>
            <c:ext xmlns:c16="http://schemas.microsoft.com/office/drawing/2014/chart" uri="{C3380CC4-5D6E-409C-BE32-E72D297353CC}">
              <c16:uniqueId val="{00000000-0AAF-4B95-9362-17848DFB31A2}"/>
            </c:ext>
          </c:extLst>
        </c:ser>
        <c:dLbls>
          <c:showLegendKey val="0"/>
          <c:showVal val="0"/>
          <c:showCatName val="0"/>
          <c:showSerName val="0"/>
          <c:showPercent val="0"/>
          <c:showBubbleSize val="0"/>
        </c:dLbls>
        <c:gapWidth val="182"/>
        <c:axId val="1179967759"/>
        <c:axId val="1040477391"/>
      </c:barChart>
      <c:catAx>
        <c:axId val="1179967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477391"/>
        <c:crosses val="autoZero"/>
        <c:auto val="1"/>
        <c:lblAlgn val="ctr"/>
        <c:lblOffset val="100"/>
        <c:noMultiLvlLbl val="0"/>
      </c:catAx>
      <c:valAx>
        <c:axId val="1040477391"/>
        <c:scaling>
          <c:orientation val="minMax"/>
        </c:scaling>
        <c:delete val="0"/>
        <c:axPos val="b"/>
        <c:majorGridlines>
          <c:spPr>
            <a:ln w="9525" cap="flat" cmpd="sng" algn="ctr">
              <a:solidFill>
                <a:srgbClr val="EDEDED"/>
              </a:solidFill>
              <a:prstDash val="solid"/>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967759"/>
        <c:crosses val="autoZero"/>
        <c:crossBetween val="between"/>
      </c:valAx>
      <c:spPr>
        <a:noFill/>
        <a:ln>
          <a:noFill/>
        </a:ln>
        <a:effectLst/>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1F4E79"/>
                </a:solidFill>
                <a:latin typeface="+mn-lt"/>
                <a:ea typeface="+mn-ea"/>
                <a:cs typeface="+mn-cs"/>
              </a:defRPr>
            </a:pPr>
            <a:r>
              <a:rPr lang="en-US"/>
              <a:t>Revenue mix by product type</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1F4E79"/>
              </a:solidFill>
              <a:latin typeface="+mn-lt"/>
              <a:ea typeface="+mn-ea"/>
              <a:cs typeface="+mn-cs"/>
            </a:defRPr>
          </a:pPr>
          <a:endParaRPr lang="en-US"/>
        </a:p>
      </c:txPr>
    </c:title>
    <c:autoTitleDeleted val="0"/>
    <c:plotArea>
      <c:layout/>
      <c:pieChart>
        <c:varyColors val="1"/>
        <c:ser>
          <c:idx val="0"/>
          <c:order val="0"/>
          <c:tx>
            <c:strRef>
              <c:f>'Pivot Reps &amp; Products'!$N$3</c:f>
              <c:strCache>
                <c:ptCount val="1"/>
                <c:pt idx="0">
                  <c:v>Sales (EUR)</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Reps &amp; Products'!$M$4:$M$6</c:f>
              <c:strCache>
                <c:ptCount val="3"/>
                <c:pt idx="0">
                  <c:v>Electric Scooter</c:v>
                </c:pt>
                <c:pt idx="1">
                  <c:v>Electric Skateboard</c:v>
                </c:pt>
                <c:pt idx="2">
                  <c:v>Electric Unicycle</c:v>
                </c:pt>
              </c:strCache>
            </c:strRef>
          </c:cat>
          <c:val>
            <c:numRef>
              <c:f>'Pivot Reps &amp; Products'!$N$4:$N$6</c:f>
              <c:numCache>
                <c:formatCode>\€#,##0</c:formatCode>
                <c:ptCount val="3"/>
                <c:pt idx="0">
                  <c:v>14904265</c:v>
                </c:pt>
                <c:pt idx="1">
                  <c:v>12366531</c:v>
                </c:pt>
                <c:pt idx="2">
                  <c:v>9111734</c:v>
                </c:pt>
              </c:numCache>
            </c:numRef>
          </c:val>
          <c:extLst>
            <c:ext xmlns:c16="http://schemas.microsoft.com/office/drawing/2014/chart" uri="{C3380CC4-5D6E-409C-BE32-E72D297353CC}">
              <c16:uniqueId val="{00000000-8D72-430B-9D08-43DC79C3BD0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D9D9D9"/>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0</xdr:colOff>
      <xdr:row>14</xdr:row>
      <xdr:rowOff>17145</xdr:rowOff>
    </xdr:from>
    <xdr:to>
      <xdr:col>7</xdr:col>
      <xdr:colOff>0</xdr:colOff>
      <xdr:row>30</xdr:row>
      <xdr:rowOff>53340</xdr:rowOff>
    </xdr:to>
    <xdr:graphicFrame macro="">
      <xdr:nvGraphicFramePr>
        <xdr:cNvPr id="6" name="MonthlyTrendDash">
          <a:extLst>
            <a:ext uri="{FF2B5EF4-FFF2-40B4-BE49-F238E27FC236}">
              <a16:creationId xmlns:a16="http://schemas.microsoft.com/office/drawing/2014/main" id="{B159625D-371A-F227-7003-BE175B84D6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14</xdr:row>
      <xdr:rowOff>20955</xdr:rowOff>
    </xdr:from>
    <xdr:to>
      <xdr:col>13</xdr:col>
      <xdr:colOff>1062990</xdr:colOff>
      <xdr:row>30</xdr:row>
      <xdr:rowOff>49530</xdr:rowOff>
    </xdr:to>
    <xdr:graphicFrame macro="">
      <xdr:nvGraphicFramePr>
        <xdr:cNvPr id="7" name="SalesVsDiscountsDash">
          <a:extLst>
            <a:ext uri="{FF2B5EF4-FFF2-40B4-BE49-F238E27FC236}">
              <a16:creationId xmlns:a16="http://schemas.microsoft.com/office/drawing/2014/main" id="{304C8151-86BF-F7F3-2A61-310CF9746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31</xdr:row>
      <xdr:rowOff>53340</xdr:rowOff>
    </xdr:from>
    <xdr:to>
      <xdr:col>6</xdr:col>
      <xdr:colOff>1082040</xdr:colOff>
      <xdr:row>47</xdr:row>
      <xdr:rowOff>91440</xdr:rowOff>
    </xdr:to>
    <xdr:graphicFrame macro="">
      <xdr:nvGraphicFramePr>
        <xdr:cNvPr id="8" name="SalesByRepDash">
          <a:extLst>
            <a:ext uri="{FF2B5EF4-FFF2-40B4-BE49-F238E27FC236}">
              <a16:creationId xmlns:a16="http://schemas.microsoft.com/office/drawing/2014/main" id="{F76E8C45-C1B6-E958-9E81-D378DF373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31</xdr:row>
      <xdr:rowOff>53340</xdr:rowOff>
    </xdr:from>
    <xdr:to>
      <xdr:col>13</xdr:col>
      <xdr:colOff>1062990</xdr:colOff>
      <xdr:row>47</xdr:row>
      <xdr:rowOff>91440</xdr:rowOff>
    </xdr:to>
    <xdr:graphicFrame macro="">
      <xdr:nvGraphicFramePr>
        <xdr:cNvPr id="9" name="ProductMixDash">
          <a:extLst>
            <a:ext uri="{FF2B5EF4-FFF2-40B4-BE49-F238E27FC236}">
              <a16:creationId xmlns:a16="http://schemas.microsoft.com/office/drawing/2014/main" id="{291AF7E1-C6F9-F569-2DF5-5C6F37F109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73025</xdr:colOff>
      <xdr:row>1</xdr:row>
      <xdr:rowOff>24765</xdr:rowOff>
    </xdr:from>
    <xdr:to>
      <xdr:col>12</xdr:col>
      <xdr:colOff>149225</xdr:colOff>
      <xdr:row>9</xdr:row>
      <xdr:rowOff>174625</xdr:rowOff>
    </xdr:to>
    <mc:AlternateContent xmlns:mc="http://schemas.openxmlformats.org/markup-compatibility/2006">
      <mc:Choice xmlns:a14="http://schemas.microsoft.com/office/drawing/2010/main" Requires="a14">
        <xdr:graphicFrame macro="">
          <xdr:nvGraphicFramePr>
            <xdr:cNvPr id="2" name="Sales Rep">
              <a:extLst>
                <a:ext uri="{FF2B5EF4-FFF2-40B4-BE49-F238E27FC236}">
                  <a16:creationId xmlns:a16="http://schemas.microsoft.com/office/drawing/2014/main" id="{1BBAB073-2753-10F1-138A-9AC33D408667}"/>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7874000" y="373380"/>
              <a:ext cx="1905000" cy="16548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483235</xdr:colOff>
      <xdr:row>1</xdr:row>
      <xdr:rowOff>24765</xdr:rowOff>
    </xdr:from>
    <xdr:to>
      <xdr:col>9</xdr:col>
      <xdr:colOff>551815</xdr:colOff>
      <xdr:row>9</xdr:row>
      <xdr:rowOff>170815</xdr:rowOff>
    </xdr:to>
    <mc:AlternateContent xmlns:mc="http://schemas.openxmlformats.org/markup-compatibility/2006">
      <mc:Choice xmlns:a14="http://schemas.microsoft.com/office/drawing/2010/main" Requires="a14">
        <xdr:graphicFrame macro="">
          <xdr:nvGraphicFramePr>
            <xdr:cNvPr id="2" name="Product Type 1">
              <a:extLst>
                <a:ext uri="{FF2B5EF4-FFF2-40B4-BE49-F238E27FC236}">
                  <a16:creationId xmlns:a16="http://schemas.microsoft.com/office/drawing/2014/main" id="{F0E63065-F2F0-52FE-2177-B0C9B9DF8EE7}"/>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dr:sp macro="" textlink="">
          <xdr:nvSpPr>
            <xdr:cNvPr id="0" name=""/>
            <xdr:cNvSpPr>
              <a:spLocks noTextEdit="1"/>
            </xdr:cNvSpPr>
          </xdr:nvSpPr>
          <xdr:spPr>
            <a:xfrm>
              <a:off x="5184775" y="373380"/>
              <a:ext cx="1905000" cy="1658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18</xdr:row>
      <xdr:rowOff>17145</xdr:rowOff>
    </xdr:from>
    <xdr:to>
      <xdr:col>6</xdr:col>
      <xdr:colOff>142875</xdr:colOff>
      <xdr:row>38</xdr:row>
      <xdr:rowOff>55245</xdr:rowOff>
    </xdr:to>
    <xdr:graphicFrame macro="">
      <xdr:nvGraphicFramePr>
        <xdr:cNvPr id="4" name="MonthlyTrend">
          <a:extLst>
            <a:ext uri="{FF2B5EF4-FFF2-40B4-BE49-F238E27FC236}">
              <a16:creationId xmlns:a16="http://schemas.microsoft.com/office/drawing/2014/main" id="{4E573C0D-581C-C8DB-EC8A-C61339B683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466725</xdr:colOff>
      <xdr:row>18</xdr:row>
      <xdr:rowOff>17145</xdr:rowOff>
    </xdr:from>
    <xdr:to>
      <xdr:col>19</xdr:col>
      <xdr:colOff>129540</xdr:colOff>
      <xdr:row>38</xdr:row>
      <xdr:rowOff>57150</xdr:rowOff>
    </xdr:to>
    <xdr:graphicFrame macro="">
      <xdr:nvGraphicFramePr>
        <xdr:cNvPr id="5" name="RevenueVsDiscounts">
          <a:extLst>
            <a:ext uri="{FF2B5EF4-FFF2-40B4-BE49-F238E27FC236}">
              <a16:creationId xmlns:a16="http://schemas.microsoft.com/office/drawing/2014/main" id="{A8645C80-6565-81E3-0545-EBD4205E06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605790</xdr:colOff>
      <xdr:row>6</xdr:row>
      <xdr:rowOff>145415</xdr:rowOff>
    </xdr:from>
    <xdr:to>
      <xdr:col>18</xdr:col>
      <xdr:colOff>91440</xdr:colOff>
      <xdr:row>15</xdr:row>
      <xdr:rowOff>135255</xdr:rowOff>
    </xdr:to>
    <mc:AlternateContent xmlns:mc="http://schemas.openxmlformats.org/markup-compatibility/2006">
      <mc:Choice xmlns:a14="http://schemas.microsoft.com/office/drawing/2010/main" Requires="a14">
        <xdr:graphicFrame macro="">
          <xdr:nvGraphicFramePr>
            <xdr:cNvPr id="6" name="Product Type">
              <a:extLst>
                <a:ext uri="{FF2B5EF4-FFF2-40B4-BE49-F238E27FC236}">
                  <a16:creationId xmlns:a16="http://schemas.microsoft.com/office/drawing/2014/main" id="{4FBC5E4F-9D8A-7965-514B-70976DA67D0F}"/>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dr:sp macro="" textlink="">
          <xdr:nvSpPr>
            <xdr:cNvPr id="0" name=""/>
            <xdr:cNvSpPr>
              <a:spLocks noTextEdit="1"/>
            </xdr:cNvSpPr>
          </xdr:nvSpPr>
          <xdr:spPr>
            <a:xfrm>
              <a:off x="6368415" y="1448435"/>
              <a:ext cx="1927860" cy="16357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16</xdr:row>
      <xdr:rowOff>20954</xdr:rowOff>
    </xdr:from>
    <xdr:to>
      <xdr:col>4</xdr:col>
      <xdr:colOff>7620</xdr:colOff>
      <xdr:row>34</xdr:row>
      <xdr:rowOff>55244</xdr:rowOff>
    </xdr:to>
    <xdr:graphicFrame macro="">
      <xdr:nvGraphicFramePr>
        <xdr:cNvPr id="4" name="SalesByRep">
          <a:extLst>
            <a:ext uri="{FF2B5EF4-FFF2-40B4-BE49-F238E27FC236}">
              <a16:creationId xmlns:a16="http://schemas.microsoft.com/office/drawing/2014/main" id="{E08B4AF1-AB25-044D-FEDE-CB16CF928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11429</xdr:colOff>
      <xdr:row>16</xdr:row>
      <xdr:rowOff>20954</xdr:rowOff>
    </xdr:from>
    <xdr:to>
      <xdr:col>9</xdr:col>
      <xdr:colOff>11429</xdr:colOff>
      <xdr:row>34</xdr:row>
      <xdr:rowOff>55244</xdr:rowOff>
    </xdr:to>
    <xdr:graphicFrame macro="">
      <xdr:nvGraphicFramePr>
        <xdr:cNvPr id="5" name="ProductMix">
          <a:extLst>
            <a:ext uri="{FF2B5EF4-FFF2-40B4-BE49-F238E27FC236}">
              <a16:creationId xmlns:a16="http://schemas.microsoft.com/office/drawing/2014/main" id="{AEBC3FB3-0932-EE1E-350E-10884BA340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551180</xdr:colOff>
      <xdr:row>3</xdr:row>
      <xdr:rowOff>124460</xdr:rowOff>
    </xdr:from>
    <xdr:to>
      <xdr:col>17</xdr:col>
      <xdr:colOff>21590</xdr:colOff>
      <xdr:row>12</xdr:row>
      <xdr:rowOff>133350</xdr:rowOff>
    </xdr:to>
    <mc:AlternateContent xmlns:mc="http://schemas.openxmlformats.org/markup-compatibility/2006">
      <mc:Choice xmlns:a14="http://schemas.microsoft.com/office/drawing/2010/main" Requires="a14">
        <xdr:graphicFrame macro="">
          <xdr:nvGraphicFramePr>
            <xdr:cNvPr id="6" name="Quarter">
              <a:extLst>
                <a:ext uri="{FF2B5EF4-FFF2-40B4-BE49-F238E27FC236}">
                  <a16:creationId xmlns:a16="http://schemas.microsoft.com/office/drawing/2014/main" id="{52D9A71D-349F-4FD7-9C6D-AD6B556A5C8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6289040" y="888365"/>
              <a:ext cx="1901190" cy="1651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ucas Barbuto" refreshedDate="46233.519301273147" createdVersion="8" refreshedVersion="8" minRefreshableVersion="3" recordCount="144" xr:uid="{6CC192DD-25A6-4E16-95F2-FB28C4E5704A}">
  <cacheSource type="worksheet">
    <worksheetSource ref="A1:AH145" sheet="Mobility sales data"/>
  </cacheSource>
  <cacheFields count="34">
    <cacheField name="Sales Rep ID" numFmtId="0">
      <sharedItems containsSemiMixedTypes="0" containsString="0" containsNumber="1" containsInteger="1" minValue="1" maxValue="144"/>
    </cacheField>
    <cacheField name="Rep First Name" numFmtId="0">
      <sharedItems/>
    </cacheField>
    <cacheField name="Rep Last Name" numFmtId="0">
      <sharedItems/>
    </cacheField>
    <cacheField name="Sales Rep" numFmtId="0">
      <sharedItems count="4">
        <s v="Joshi, Sanya"/>
        <s v="Liu, Fang"/>
        <s v="Fischer, Jonas"/>
        <s v="Bernard, Théo"/>
      </sharedItems>
    </cacheField>
    <cacheField name="Month" numFmtId="0">
      <sharedItems/>
    </cacheField>
    <cacheField name="Product Type" numFmtId="0">
      <sharedItems count="3">
        <s v="Electric Unicycle"/>
        <s v="Electric Scooter"/>
        <s v="Electric Skateboard"/>
      </sharedItems>
    </cacheField>
    <cacheField name="Min Speed (original, incomplete)" numFmtId="0">
      <sharedItems containsBlank="1"/>
    </cacheField>
    <cacheField name="Min Speed (mph)" numFmtId="0">
      <sharedItems/>
    </cacheField>
    <cacheField name="Speed" numFmtId="0">
      <sharedItems/>
    </cacheField>
    <cacheField name="Distance" numFmtId="0">
      <sharedItems/>
    </cacheField>
    <cacheField name="Min Speed (km/h)" numFmtId="168">
      <sharedItems containsSemiMixedTypes="0" containsString="0" containsNumber="1" containsInteger="1" minValue="24" maxValue="32"/>
    </cacheField>
    <cacheField name="Max Speed (km/h)" numFmtId="168">
      <sharedItems containsSemiMixedTypes="0" containsString="0" containsNumber="1" containsInteger="1" minValue="45" maxValue="56"/>
    </cacheField>
    <cacheField name="Speed Range (km/h)" numFmtId="168">
      <sharedItems/>
    </cacheField>
    <cacheField name="Distance (km)" numFmtId="169">
      <sharedItems containsSemiMixedTypes="0" containsString="0" containsNumber="1" containsInteger="1" minValue="40" maxValue="64"/>
    </cacheField>
    <cacheField name="Shipping Address" numFmtId="0">
      <sharedItems/>
    </cacheField>
    <cacheField name="Street" numFmtId="0">
      <sharedItems/>
    </cacheField>
    <cacheField name="City" numFmtId="0">
      <sharedItems/>
    </cacheField>
    <cacheField name="Postcode" numFmtId="0">
      <sharedItems/>
    </cacheField>
    <cacheField name="Country Code" numFmtId="0">
      <sharedItems/>
    </cacheField>
    <cacheField name="Country Name" numFmtId="0">
      <sharedItems count="4">
        <s v="India"/>
        <s v="China"/>
        <s v="Germany"/>
        <s v="France"/>
      </sharedItems>
    </cacheField>
    <cacheField name="Continent" numFmtId="0">
      <sharedItems count="2">
        <s v="Asia"/>
        <s v="Europe"/>
      </sharedItems>
    </cacheField>
    <cacheField name="Unit Price" numFmtId="0">
      <sharedItems/>
    </cacheField>
    <cacheField name="Currency" numFmtId="0">
      <sharedItems/>
    </cacheField>
    <cacheField name="Unit Price (local)" numFmtId="0">
      <sharedItems containsSemiMixedTypes="0" containsString="0" containsNumber="1" containsInteger="1" minValue="800" maxValue="30000"/>
    </cacheField>
    <cacheField name="FX Rate (per EUR)" numFmtId="164">
      <sharedItems containsSemiMixedTypes="0" containsString="0" containsNumber="1" minValue="1" maxValue="109.88200000000001"/>
    </cacheField>
    <cacheField name="Unit Price (EUR)" numFmtId="173">
      <sharedItems containsSemiMixedTypes="0" containsString="0" containsNumber="1" minValue="200.21477585045776" maxValue="1100"/>
    </cacheField>
    <cacheField name="Units Sold" numFmtId="0">
      <sharedItems containsSemiMixedTypes="0" containsString="0" containsNumber="1" containsInteger="1" minValue="100" maxValue="2000"/>
    </cacheField>
    <cacheField name="Discount (%)" numFmtId="0">
      <sharedItems containsSemiMixedTypes="0" containsString="0" containsNumber="1" containsInteger="1" minValue="0" maxValue="20"/>
    </cacheField>
    <cacheField name="Gross Sales (EUR)" numFmtId="166">
      <sharedItems containsSemiMixedTypes="0" containsString="0" containsNumber="1" containsInteger="1" minValue="40043" maxValue="906090"/>
    </cacheField>
    <cacheField name="Total Sales (EUR)" numFmtId="166">
      <sharedItems containsSemiMixedTypes="0" containsString="0" containsNumber="1" containsInteger="1" minValue="36039" maxValue="860786"/>
    </cacheField>
    <cacheField name="Month No" numFmtId="166">
      <sharedItems containsSemiMixedTypes="0" containsString="0" containsNumber="1" containsInteger="1" minValue="1" maxValue="12"/>
    </cacheField>
    <cacheField name="Month (sorted)" numFmtId="166">
      <sharedItems count="12">
        <s v="01 - January"/>
        <s v="02 - February"/>
        <s v="03 - March"/>
        <s v="04 - April"/>
        <s v="05 - May"/>
        <s v="06 - June"/>
        <s v="07 - July"/>
        <s v="08 - August"/>
        <s v="09 - September"/>
        <s v="10 - October"/>
        <s v="11 - November"/>
        <s v="12 - December"/>
      </sharedItems>
    </cacheField>
    <cacheField name="Quarter" numFmtId="166">
      <sharedItems count="4">
        <s v="Q1"/>
        <s v="Q2"/>
        <s v="Q3"/>
        <s v="Q4"/>
      </sharedItems>
    </cacheField>
    <cacheField name="Discount (EUR)" numFmtId="166">
      <sharedItems containsSemiMixedTypes="0" containsString="0" containsNumber="1" containsInteger="1" minValue="0" maxValue="181218"/>
    </cacheField>
  </cacheFields>
  <extLst>
    <ext xmlns:x14="http://schemas.microsoft.com/office/spreadsheetml/2009/9/main" uri="{725AE2AE-9491-48be-B2B4-4EB974FC3084}">
      <x14:pivotCacheDefinition pivotCacheId="8665764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4">
  <r>
    <n v="1"/>
    <s v="Sanya"/>
    <s v="Joshi"/>
    <x v="0"/>
    <s v="January"/>
    <x v="0"/>
    <s v="15 mph"/>
    <s v="15 mph"/>
    <s v="30 mph"/>
    <s v="30 miles"/>
    <n v="24"/>
    <n v="48"/>
    <s v="24 – 48 km/h"/>
    <n v="48"/>
    <s v="456 Brigade Road, Bengaluru, 560001"/>
    <s v="456 Brigade Road"/>
    <s v="Bengaluru"/>
    <s v="560001"/>
    <s v="IN"/>
    <x v="0"/>
    <x v="0"/>
    <s v="₹30,000"/>
    <s v="INR"/>
    <n v="30000"/>
    <n v="109.88200000000001"/>
    <n v="273.02014888698784"/>
    <n v="150"/>
    <n v="10"/>
    <n v="40953"/>
    <n v="36858"/>
    <n v="1"/>
    <x v="0"/>
    <x v="0"/>
    <n v="4095"/>
  </r>
  <r>
    <n v="2"/>
    <s v="Sanya"/>
    <s v="Joshi"/>
    <x v="0"/>
    <s v="January"/>
    <x v="1"/>
    <s v="20 mph"/>
    <s v="20 mph"/>
    <s v="35 mph"/>
    <s v="40 miles"/>
    <n v="32"/>
    <n v="56"/>
    <s v="32 – 56 km/h"/>
    <n v="64"/>
    <s v="457 Brigade Road, Bengaluru, 560001"/>
    <s v="457 Brigade Road"/>
    <s v="Bengaluru"/>
    <s v="560001"/>
    <s v="IN"/>
    <x v="0"/>
    <x v="0"/>
    <s v="₹25,000"/>
    <s v="INR"/>
    <n v="25000"/>
    <n v="109.88200000000001"/>
    <n v="227.51679073915653"/>
    <n v="300"/>
    <n v="10"/>
    <n v="68255"/>
    <n v="61430"/>
    <n v="1"/>
    <x v="0"/>
    <x v="0"/>
    <n v="6825"/>
  </r>
  <r>
    <n v="3"/>
    <s v="Sanya"/>
    <s v="Joshi"/>
    <x v="0"/>
    <s v="January"/>
    <x v="2"/>
    <s v="18 mph"/>
    <s v="18 mph"/>
    <s v="28 mph"/>
    <s v="25 miles"/>
    <n v="29"/>
    <n v="45"/>
    <s v="29 – 45 km/h"/>
    <n v="40"/>
    <s v="458 Brigade Road, Bengaluru, 560001"/>
    <s v="458 Brigade Road"/>
    <s v="Bengaluru"/>
    <s v="560001"/>
    <s v="IN"/>
    <x v="0"/>
    <x v="0"/>
    <s v="₹22,000"/>
    <s v="INR"/>
    <n v="22000"/>
    <n v="109.88200000000001"/>
    <n v="200.21477585045776"/>
    <n v="200"/>
    <n v="10"/>
    <n v="40043"/>
    <n v="36039"/>
    <n v="1"/>
    <x v="0"/>
    <x v="0"/>
    <n v="4004"/>
  </r>
  <r>
    <n v="4"/>
    <s v="Fang"/>
    <s v="Liu"/>
    <x v="1"/>
    <s v="January"/>
    <x v="0"/>
    <s v="15 mph"/>
    <s v="15 mph"/>
    <s v="30 mph"/>
    <s v="30 miles"/>
    <n v="24"/>
    <n v="48"/>
    <s v="24 – 48 km/h"/>
    <n v="48"/>
    <s v="99 Nanjing Road, Shanghai, 200001"/>
    <s v="99 Nanjing Road"/>
    <s v="Shanghai"/>
    <s v="200001"/>
    <s v="CN"/>
    <x v="1"/>
    <x v="0"/>
    <s v="¥5,000"/>
    <s v="CNY"/>
    <n v="5000"/>
    <n v="7.7255000000000003"/>
    <n v="647.20730049834958"/>
    <n v="500"/>
    <n v="10"/>
    <n v="323604"/>
    <n v="291244"/>
    <n v="1"/>
    <x v="0"/>
    <x v="0"/>
    <n v="32360"/>
  </r>
  <r>
    <n v="5"/>
    <s v="Fang"/>
    <s v="Liu"/>
    <x v="1"/>
    <s v="January"/>
    <x v="1"/>
    <s v="20 mph"/>
    <s v="20 mph"/>
    <s v="35 mph"/>
    <s v="40 miles"/>
    <n v="32"/>
    <n v="56"/>
    <s v="32 – 56 km/h"/>
    <n v="64"/>
    <s v="100 Nanjing Road, Shanghai, 200001"/>
    <s v="100 Nanjing Road"/>
    <s v="Shanghai"/>
    <s v="200001"/>
    <s v="CN"/>
    <x v="1"/>
    <x v="0"/>
    <s v="¥3,500"/>
    <s v="CNY"/>
    <n v="3500"/>
    <n v="7.7255000000000003"/>
    <n v="453.04511034884473"/>
    <n v="1000"/>
    <n v="10"/>
    <n v="453045"/>
    <n v="407741"/>
    <n v="1"/>
    <x v="0"/>
    <x v="0"/>
    <n v="45304"/>
  </r>
  <r>
    <n v="6"/>
    <s v="Fang"/>
    <s v="Liu"/>
    <x v="1"/>
    <s v="January"/>
    <x v="2"/>
    <m/>
    <s v="18 mph"/>
    <s v="28 mph"/>
    <s v="40,230 meters"/>
    <n v="29"/>
    <n v="45"/>
    <s v="29 – 45 km/h"/>
    <n v="40"/>
    <s v="101 Nanjing Road, Shanghai, 200001"/>
    <s v="101 Nanjing Road"/>
    <s v="Shanghai"/>
    <s v="200001"/>
    <s v="CN"/>
    <x v="1"/>
    <x v="0"/>
    <s v="¥4,200"/>
    <s v="CNY"/>
    <n v="4200"/>
    <n v="7.7255000000000003"/>
    <n v="543.6541324186137"/>
    <n v="800"/>
    <n v="10"/>
    <n v="434923"/>
    <n v="391431"/>
    <n v="1"/>
    <x v="0"/>
    <x v="0"/>
    <n v="43492"/>
  </r>
  <r>
    <n v="7"/>
    <s v="Jonas"/>
    <s v="Fischer"/>
    <x v="2"/>
    <s v="January"/>
    <x v="0"/>
    <s v="15 mph"/>
    <s v="15 mph"/>
    <s v="30 mph"/>
    <s v="48,280 meters"/>
    <n v="24"/>
    <n v="48"/>
    <s v="24 – 48 km/h"/>
    <n v="48"/>
    <s v="303 Ringstraße, Hamburg, 20095"/>
    <s v="303 Ringstraße"/>
    <s v="Hamburg"/>
    <s v="20095"/>
    <s v="DE"/>
    <x v="2"/>
    <x v="1"/>
    <s v="€1000"/>
    <s v="EUR"/>
    <n v="1000"/>
    <n v="1"/>
    <n v="1000"/>
    <n v="120"/>
    <n v="10"/>
    <n v="120000"/>
    <n v="108000"/>
    <n v="1"/>
    <x v="0"/>
    <x v="0"/>
    <n v="12000"/>
  </r>
  <r>
    <n v="8"/>
    <s v="Jonas"/>
    <s v="Fischer"/>
    <x v="2"/>
    <s v="January"/>
    <x v="1"/>
    <s v="20 mph"/>
    <s v="20 mph"/>
    <s v="35 mph"/>
    <s v="40 miles"/>
    <n v="32"/>
    <n v="56"/>
    <s v="32 – 56 km/h"/>
    <n v="64"/>
    <s v="304 Ringstraße, Hamburg, 20095"/>
    <s v="304 Ringstraße"/>
    <s v="Hamburg"/>
    <s v="20095"/>
    <s v="DE"/>
    <x v="2"/>
    <x v="1"/>
    <s v="€800"/>
    <s v="EUR"/>
    <n v="800"/>
    <n v="1"/>
    <n v="800"/>
    <n v="200"/>
    <n v="10"/>
    <n v="160000"/>
    <n v="144000"/>
    <n v="1"/>
    <x v="0"/>
    <x v="0"/>
    <n v="16000"/>
  </r>
  <r>
    <n v="9"/>
    <s v="Jonas"/>
    <s v="Fischer"/>
    <x v="2"/>
    <s v="January"/>
    <x v="2"/>
    <s v="18 mph"/>
    <s v="18 mph"/>
    <s v="28 mph"/>
    <s v="25 miles"/>
    <n v="29"/>
    <n v="45"/>
    <s v="29 – 45 km/h"/>
    <n v="40"/>
    <s v="305 Ringstraße, Hamburg, 20095"/>
    <s v="305 Ringstraße"/>
    <s v="Hamburg"/>
    <s v="20095"/>
    <s v="DE"/>
    <x v="2"/>
    <x v="1"/>
    <s v="€950"/>
    <s v="EUR"/>
    <n v="950"/>
    <n v="1"/>
    <n v="950"/>
    <n v="150"/>
    <n v="10"/>
    <n v="142500"/>
    <n v="128250"/>
    <n v="1"/>
    <x v="0"/>
    <x v="0"/>
    <n v="14250"/>
  </r>
  <r>
    <n v="10"/>
    <s v="Théo"/>
    <s v="Bernard"/>
    <x v="3"/>
    <s v="January"/>
    <x v="0"/>
    <s v="15 mph"/>
    <s v="15 mph"/>
    <s v="30 mph"/>
    <s v="30 miles"/>
    <n v="24"/>
    <n v="48"/>
    <s v="24 – 48 km/h"/>
    <n v="48"/>
    <s v="56 Boulevard Saint-Germain, Paris, 75005"/>
    <s v="56 Boulevard Saint-Germain"/>
    <s v="Paris"/>
    <s v="75005"/>
    <s v="FR"/>
    <x v="3"/>
    <x v="1"/>
    <s v="€1100"/>
    <s v="EUR"/>
    <n v="1100"/>
    <n v="1"/>
    <n v="1100"/>
    <n v="100"/>
    <n v="10"/>
    <n v="110000"/>
    <n v="99000"/>
    <n v="1"/>
    <x v="0"/>
    <x v="0"/>
    <n v="11000"/>
  </r>
  <r>
    <n v="11"/>
    <s v="Théo"/>
    <s v="Bernard"/>
    <x v="3"/>
    <s v="January"/>
    <x v="1"/>
    <s v="20 mph"/>
    <s v="20 mph"/>
    <s v="35 mph"/>
    <s v="64,370 meters"/>
    <n v="32"/>
    <n v="56"/>
    <s v="32 – 56 km/h"/>
    <n v="64"/>
    <s v="57 Boulevard Saint-Germain, Paris, 75005"/>
    <s v="57 Boulevard Saint-Germain"/>
    <s v="Paris"/>
    <s v="75005"/>
    <s v="FR"/>
    <x v="3"/>
    <x v="1"/>
    <s v="€900"/>
    <s v="EUR"/>
    <n v="900"/>
    <n v="1"/>
    <n v="900"/>
    <n v="250"/>
    <n v="10"/>
    <n v="225000"/>
    <n v="202500"/>
    <n v="1"/>
    <x v="0"/>
    <x v="0"/>
    <n v="22500"/>
  </r>
  <r>
    <n v="12"/>
    <s v="Théo"/>
    <s v="Bernard"/>
    <x v="3"/>
    <s v="January"/>
    <x v="2"/>
    <s v="18 mph"/>
    <s v="18 mph"/>
    <s v="28 mph"/>
    <s v="25 miles"/>
    <n v="29"/>
    <n v="45"/>
    <s v="29 – 45 km/h"/>
    <n v="40"/>
    <s v="58 Boulevard Saint-Germain, Paris, 75005"/>
    <s v="58 Boulevard Saint-Germain"/>
    <s v="Paris"/>
    <s v="75005"/>
    <s v="FR"/>
    <x v="3"/>
    <x v="1"/>
    <s v="€1050"/>
    <s v="EUR"/>
    <n v="1050"/>
    <n v="1"/>
    <n v="1050"/>
    <n v="180"/>
    <n v="10"/>
    <n v="189000"/>
    <n v="170100"/>
    <n v="1"/>
    <x v="0"/>
    <x v="0"/>
    <n v="18900"/>
  </r>
  <r>
    <n v="13"/>
    <s v="Sanya"/>
    <s v="Joshi"/>
    <x v="0"/>
    <s v="February"/>
    <x v="0"/>
    <s v="15 mph"/>
    <s v="15 mph"/>
    <s v="30 mph"/>
    <s v="30 miles"/>
    <n v="24"/>
    <n v="48"/>
    <s v="24 – 48 km/h"/>
    <n v="48"/>
    <s v="456 Brigade Road, Bengaluru, 560001"/>
    <s v="456 Brigade Road"/>
    <s v="Bengaluru"/>
    <s v="560001"/>
    <s v="IN"/>
    <x v="0"/>
    <x v="0"/>
    <s v="₹30,000"/>
    <s v="INR"/>
    <n v="30000"/>
    <n v="109.88200000000001"/>
    <n v="273.02014888698784"/>
    <n v="160"/>
    <n v="0"/>
    <n v="43683"/>
    <n v="43683"/>
    <n v="2"/>
    <x v="1"/>
    <x v="0"/>
    <n v="0"/>
  </r>
  <r>
    <n v="14"/>
    <s v="Sanya"/>
    <s v="Joshi"/>
    <x v="0"/>
    <s v="February"/>
    <x v="1"/>
    <m/>
    <s v="20 mph"/>
    <s v="35 mph"/>
    <s v="40 miles"/>
    <n v="32"/>
    <n v="56"/>
    <s v="32 – 56 km/h"/>
    <n v="64"/>
    <s v="457 Brigade Road, Bengaluru, 560001"/>
    <s v="457 Brigade Road"/>
    <s v="Bengaluru"/>
    <s v="560001"/>
    <s v="IN"/>
    <x v="0"/>
    <x v="0"/>
    <s v="₹25,000"/>
    <s v="INR"/>
    <n v="25000"/>
    <n v="109.88200000000001"/>
    <n v="227.51679073915653"/>
    <n v="350"/>
    <n v="0"/>
    <n v="79631"/>
    <n v="79631"/>
    <n v="2"/>
    <x v="1"/>
    <x v="0"/>
    <n v="0"/>
  </r>
  <r>
    <n v="15"/>
    <s v="Sanya"/>
    <s v="Joshi"/>
    <x v="0"/>
    <s v="February"/>
    <x v="2"/>
    <s v="18 mph"/>
    <s v="18 mph"/>
    <s v="28 mph"/>
    <s v="25 miles"/>
    <n v="29"/>
    <n v="45"/>
    <s v="29 – 45 km/h"/>
    <n v="40"/>
    <s v="458 Brigade Road, Bengaluru, 560001"/>
    <s v="458 Brigade Road"/>
    <s v="Bengaluru"/>
    <s v="560001"/>
    <s v="IN"/>
    <x v="0"/>
    <x v="0"/>
    <s v="₹22,000"/>
    <s v="INR"/>
    <n v="22000"/>
    <n v="109.88200000000001"/>
    <n v="200.21477585045776"/>
    <n v="220"/>
    <n v="0"/>
    <n v="44047"/>
    <n v="44047"/>
    <n v="2"/>
    <x v="1"/>
    <x v="0"/>
    <n v="0"/>
  </r>
  <r>
    <n v="16"/>
    <s v="Fang"/>
    <s v="Liu"/>
    <x v="1"/>
    <s v="February"/>
    <x v="0"/>
    <s v="15 mph"/>
    <s v="15 mph"/>
    <s v="30 mph"/>
    <s v="48,280 meters"/>
    <n v="24"/>
    <n v="48"/>
    <s v="24 – 48 km/h"/>
    <n v="48"/>
    <s v="99 Nanjing Road, Shanghai, 200001"/>
    <s v="99 Nanjing Road"/>
    <s v="Shanghai"/>
    <s v="200001"/>
    <s v="CN"/>
    <x v="1"/>
    <x v="0"/>
    <s v="¥5,000"/>
    <s v="CNY"/>
    <n v="5000"/>
    <n v="7.7255000000000003"/>
    <n v="647.20730049834958"/>
    <n v="550"/>
    <n v="0"/>
    <n v="355964"/>
    <n v="355964"/>
    <n v="2"/>
    <x v="1"/>
    <x v="0"/>
    <n v="0"/>
  </r>
  <r>
    <n v="17"/>
    <s v="Fang"/>
    <s v="Liu"/>
    <x v="1"/>
    <s v="February"/>
    <x v="1"/>
    <s v="20 mph"/>
    <s v="20 mph"/>
    <s v="35 mph"/>
    <s v="40 miles"/>
    <n v="32"/>
    <n v="56"/>
    <s v="32 – 56 km/h"/>
    <n v="64"/>
    <s v="100 Nanjing Road, Shanghai, 200001"/>
    <s v="100 Nanjing Road"/>
    <s v="Shanghai"/>
    <s v="200001"/>
    <s v="CN"/>
    <x v="1"/>
    <x v="0"/>
    <s v="¥3,500"/>
    <s v="CNY"/>
    <n v="3500"/>
    <n v="7.7255000000000003"/>
    <n v="453.04511034884473"/>
    <n v="1200"/>
    <n v="0"/>
    <n v="543654"/>
    <n v="543654"/>
    <n v="2"/>
    <x v="1"/>
    <x v="0"/>
    <n v="0"/>
  </r>
  <r>
    <n v="18"/>
    <s v="Fang"/>
    <s v="Liu"/>
    <x v="1"/>
    <s v="February"/>
    <x v="2"/>
    <s v="18 mph"/>
    <s v="18 mph"/>
    <s v="28 mph"/>
    <s v="25 miles"/>
    <n v="29"/>
    <n v="45"/>
    <s v="29 – 45 km/h"/>
    <n v="40"/>
    <s v="101 Nanjing Road, Shanghai, 200001"/>
    <s v="101 Nanjing Road"/>
    <s v="Shanghai"/>
    <s v="200001"/>
    <s v="CN"/>
    <x v="1"/>
    <x v="0"/>
    <s v="¥4,200"/>
    <s v="CNY"/>
    <n v="4200"/>
    <n v="7.7255000000000003"/>
    <n v="543.6541324186137"/>
    <n v="850"/>
    <n v="0"/>
    <n v="462106"/>
    <n v="462106"/>
    <n v="2"/>
    <x v="1"/>
    <x v="0"/>
    <n v="0"/>
  </r>
  <r>
    <n v="19"/>
    <s v="Jonas"/>
    <s v="Fischer"/>
    <x v="2"/>
    <s v="February"/>
    <x v="0"/>
    <s v="15 mph"/>
    <s v="15 mph"/>
    <s v="30 mph"/>
    <s v="30 miles"/>
    <n v="24"/>
    <n v="48"/>
    <s v="24 – 48 km/h"/>
    <n v="48"/>
    <s v="303 Ringstraße, Hamburg, 20095"/>
    <s v="303 Ringstraße"/>
    <s v="Hamburg"/>
    <s v="20095"/>
    <s v="DE"/>
    <x v="2"/>
    <x v="1"/>
    <s v="€1000"/>
    <s v="EUR"/>
    <n v="1000"/>
    <n v="1"/>
    <n v="1000"/>
    <n v="130"/>
    <n v="0"/>
    <n v="130000"/>
    <n v="130000"/>
    <n v="2"/>
    <x v="1"/>
    <x v="0"/>
    <n v="0"/>
  </r>
  <r>
    <n v="20"/>
    <s v="Jonas"/>
    <s v="Fischer"/>
    <x v="2"/>
    <s v="February"/>
    <x v="1"/>
    <s v="20 mph"/>
    <s v="20 mph"/>
    <s v="35 mph"/>
    <s v="40 miles"/>
    <n v="32"/>
    <n v="56"/>
    <s v="32 – 56 km/h"/>
    <n v="64"/>
    <s v="304 Ringstraße, Hamburg, 20095"/>
    <s v="304 Ringstraße"/>
    <s v="Hamburg"/>
    <s v="20095"/>
    <s v="DE"/>
    <x v="2"/>
    <x v="1"/>
    <s v="€800"/>
    <s v="EUR"/>
    <n v="800"/>
    <n v="1"/>
    <n v="800"/>
    <n v="220"/>
    <n v="0"/>
    <n v="176000"/>
    <n v="176000"/>
    <n v="2"/>
    <x v="1"/>
    <x v="0"/>
    <n v="0"/>
  </r>
  <r>
    <n v="21"/>
    <s v="Jonas"/>
    <s v="Fischer"/>
    <x v="2"/>
    <s v="February"/>
    <x v="2"/>
    <s v="18 mph"/>
    <s v="18 mph"/>
    <s v="28 mph"/>
    <s v="25 miles"/>
    <n v="29"/>
    <n v="45"/>
    <s v="29 – 45 km/h"/>
    <n v="40"/>
    <s v="305 Ringstraße, Hamburg, 20095"/>
    <s v="305 Ringstraße"/>
    <s v="Hamburg"/>
    <s v="20095"/>
    <s v="DE"/>
    <x v="2"/>
    <x v="1"/>
    <s v="€950"/>
    <s v="EUR"/>
    <n v="950"/>
    <n v="1"/>
    <n v="950"/>
    <n v="160"/>
    <n v="0"/>
    <n v="152000"/>
    <n v="152000"/>
    <n v="2"/>
    <x v="1"/>
    <x v="0"/>
    <n v="0"/>
  </r>
  <r>
    <n v="22"/>
    <s v="Théo"/>
    <s v="Bernard"/>
    <x v="3"/>
    <s v="February"/>
    <x v="0"/>
    <s v="15 mph"/>
    <s v="15 mph"/>
    <s v="30 mph"/>
    <s v="30 miles"/>
    <n v="24"/>
    <n v="48"/>
    <s v="24 – 48 km/h"/>
    <n v="48"/>
    <s v="56 Boulevard Saint-Germain, Paris, 75005"/>
    <s v="56 Boulevard Saint-Germain"/>
    <s v="Paris"/>
    <s v="75005"/>
    <s v="FR"/>
    <x v="3"/>
    <x v="1"/>
    <s v="€1100"/>
    <s v="EUR"/>
    <n v="1100"/>
    <n v="1"/>
    <n v="1100"/>
    <n v="110"/>
    <n v="0"/>
    <n v="121000"/>
    <n v="121000"/>
    <n v="2"/>
    <x v="1"/>
    <x v="0"/>
    <n v="0"/>
  </r>
  <r>
    <n v="23"/>
    <s v="Théo"/>
    <s v="Bernard"/>
    <x v="3"/>
    <s v="February"/>
    <x v="1"/>
    <s v="20 mph"/>
    <s v="20 mph"/>
    <s v="35 mph"/>
    <s v="40 miles"/>
    <n v="32"/>
    <n v="56"/>
    <s v="32 – 56 km/h"/>
    <n v="64"/>
    <s v="57 Boulevard Saint-Germain, Paris, 75005"/>
    <s v="57 Boulevard Saint-Germain"/>
    <s v="Paris"/>
    <s v="75005"/>
    <s v="FR"/>
    <x v="3"/>
    <x v="1"/>
    <s v="€900"/>
    <s v="EUR"/>
    <n v="900"/>
    <n v="1"/>
    <n v="900"/>
    <n v="260"/>
    <n v="0"/>
    <n v="234000"/>
    <n v="234000"/>
    <n v="2"/>
    <x v="1"/>
    <x v="0"/>
    <n v="0"/>
  </r>
  <r>
    <n v="24"/>
    <s v="Théo"/>
    <s v="Bernard"/>
    <x v="3"/>
    <s v="February"/>
    <x v="2"/>
    <s v="18 mph"/>
    <s v="18 mph"/>
    <s v="28 mph"/>
    <s v="40,230 meters"/>
    <n v="29"/>
    <n v="45"/>
    <s v="29 – 45 km/h"/>
    <n v="40"/>
    <s v="58 Boulevard Saint-Germain, Paris, 75005"/>
    <s v="58 Boulevard Saint-Germain"/>
    <s v="Paris"/>
    <s v="75005"/>
    <s v="FR"/>
    <x v="3"/>
    <x v="1"/>
    <s v="€1050"/>
    <s v="EUR"/>
    <n v="1050"/>
    <n v="1"/>
    <n v="1050"/>
    <n v="200"/>
    <n v="0"/>
    <n v="210000"/>
    <n v="210000"/>
    <n v="2"/>
    <x v="1"/>
    <x v="0"/>
    <n v="0"/>
  </r>
  <r>
    <n v="25"/>
    <s v="Sanya"/>
    <s v="Joshi"/>
    <x v="0"/>
    <s v="March"/>
    <x v="0"/>
    <s v="15 mph"/>
    <s v="15 mph"/>
    <s v="30 mph"/>
    <s v="30 miles"/>
    <n v="24"/>
    <n v="48"/>
    <s v="24 – 48 km/h"/>
    <n v="48"/>
    <s v="456 Brigade Road, Bengaluru, 560001"/>
    <s v="456 Brigade Road"/>
    <s v="Bengaluru"/>
    <s v="560001"/>
    <s v="IN"/>
    <x v="0"/>
    <x v="0"/>
    <s v="₹30,000"/>
    <s v="INR"/>
    <n v="30000"/>
    <n v="109.88200000000001"/>
    <n v="273.02014888698784"/>
    <n v="160"/>
    <n v="0"/>
    <n v="43683"/>
    <n v="43683"/>
    <n v="3"/>
    <x v="2"/>
    <x v="0"/>
    <n v="0"/>
  </r>
  <r>
    <n v="26"/>
    <s v="Sanya"/>
    <s v="Joshi"/>
    <x v="0"/>
    <s v="March"/>
    <x v="1"/>
    <m/>
    <s v="20 mph"/>
    <s v="35 mph"/>
    <s v="40 miles"/>
    <n v="32"/>
    <n v="56"/>
    <s v="32 – 56 km/h"/>
    <n v="64"/>
    <s v="457 Brigade Road, Bengaluru, 560001"/>
    <s v="457 Brigade Road"/>
    <s v="Bengaluru"/>
    <s v="560001"/>
    <s v="IN"/>
    <x v="0"/>
    <x v="0"/>
    <s v="₹25,000"/>
    <s v="INR"/>
    <n v="25000"/>
    <n v="109.88200000000001"/>
    <n v="227.51679073915653"/>
    <n v="350"/>
    <n v="0"/>
    <n v="79631"/>
    <n v="79631"/>
    <n v="3"/>
    <x v="2"/>
    <x v="0"/>
    <n v="0"/>
  </r>
  <r>
    <n v="27"/>
    <s v="Sanya"/>
    <s v="Joshi"/>
    <x v="0"/>
    <s v="March"/>
    <x v="2"/>
    <s v="18 mph"/>
    <s v="18 mph"/>
    <s v="28 mph"/>
    <s v="25 miles"/>
    <n v="29"/>
    <n v="45"/>
    <s v="29 – 45 km/h"/>
    <n v="40"/>
    <s v="458 Brigade Road, Bengaluru, 560001"/>
    <s v="458 Brigade Road"/>
    <s v="Bengaluru"/>
    <s v="560001"/>
    <s v="IN"/>
    <x v="0"/>
    <x v="0"/>
    <s v="₹22,000"/>
    <s v="INR"/>
    <n v="22000"/>
    <n v="109.88200000000001"/>
    <n v="200.21477585045776"/>
    <n v="220"/>
    <n v="0"/>
    <n v="44047"/>
    <n v="44047"/>
    <n v="3"/>
    <x v="2"/>
    <x v="0"/>
    <n v="0"/>
  </r>
  <r>
    <n v="28"/>
    <s v="Fang"/>
    <s v="Liu"/>
    <x v="1"/>
    <s v="March"/>
    <x v="0"/>
    <s v="15 mph"/>
    <s v="15 mph"/>
    <s v="30 mph"/>
    <s v="30 miles"/>
    <n v="24"/>
    <n v="48"/>
    <s v="24 – 48 km/h"/>
    <n v="48"/>
    <s v="99 Nanjing Road, Shanghai, 200001"/>
    <s v="99 Nanjing Road"/>
    <s v="Shanghai"/>
    <s v="200001"/>
    <s v="CN"/>
    <x v="1"/>
    <x v="0"/>
    <s v="¥5,000"/>
    <s v="CNY"/>
    <n v="5000"/>
    <n v="7.7255000000000003"/>
    <n v="647.20730049834958"/>
    <n v="550"/>
    <n v="0"/>
    <n v="355964"/>
    <n v="355964"/>
    <n v="3"/>
    <x v="2"/>
    <x v="0"/>
    <n v="0"/>
  </r>
  <r>
    <n v="29"/>
    <s v="Fang"/>
    <s v="Liu"/>
    <x v="1"/>
    <s v="March"/>
    <x v="1"/>
    <s v="20 mph"/>
    <s v="20 mph"/>
    <s v="35 mph"/>
    <s v="64,370 meters"/>
    <n v="32"/>
    <n v="56"/>
    <s v="32 – 56 km/h"/>
    <n v="64"/>
    <s v="100 Nanjing Road, Shanghai, 200001"/>
    <s v="100 Nanjing Road"/>
    <s v="Shanghai"/>
    <s v="200001"/>
    <s v="CN"/>
    <x v="1"/>
    <x v="0"/>
    <s v="¥3,500"/>
    <s v="CNY"/>
    <n v="3500"/>
    <n v="7.7255000000000003"/>
    <n v="453.04511034884473"/>
    <n v="1200"/>
    <n v="0"/>
    <n v="543654"/>
    <n v="543654"/>
    <n v="3"/>
    <x v="2"/>
    <x v="0"/>
    <n v="0"/>
  </r>
  <r>
    <n v="30"/>
    <s v="Fang"/>
    <s v="Liu"/>
    <x v="1"/>
    <s v="March"/>
    <x v="2"/>
    <s v="18 mph"/>
    <s v="18 mph"/>
    <s v="28 mph"/>
    <s v="25 miles"/>
    <n v="29"/>
    <n v="45"/>
    <s v="29 – 45 km/h"/>
    <n v="40"/>
    <s v="101 Nanjing Road, Shanghai, 200001"/>
    <s v="101 Nanjing Road"/>
    <s v="Shanghai"/>
    <s v="200001"/>
    <s v="CN"/>
    <x v="1"/>
    <x v="0"/>
    <s v="¥4,200"/>
    <s v="CNY"/>
    <n v="4200"/>
    <n v="7.7255000000000003"/>
    <n v="543.6541324186137"/>
    <n v="850"/>
    <n v="0"/>
    <n v="462106"/>
    <n v="462106"/>
    <n v="3"/>
    <x v="2"/>
    <x v="0"/>
    <n v="0"/>
  </r>
  <r>
    <n v="31"/>
    <s v="Jonas"/>
    <s v="Fischer"/>
    <x v="2"/>
    <s v="March"/>
    <x v="0"/>
    <s v="15 mph"/>
    <s v="15 mph"/>
    <s v="30 mph"/>
    <s v="30 miles"/>
    <n v="24"/>
    <n v="48"/>
    <s v="24 – 48 km/h"/>
    <n v="48"/>
    <s v="303 Ringstraße, Hamburg, 20095"/>
    <s v="303 Ringstraße"/>
    <s v="Hamburg"/>
    <s v="20095"/>
    <s v="DE"/>
    <x v="2"/>
    <x v="1"/>
    <s v="€1000"/>
    <s v="EUR"/>
    <n v="1000"/>
    <n v="1"/>
    <n v="1000"/>
    <n v="130"/>
    <n v="0"/>
    <n v="130000"/>
    <n v="130000"/>
    <n v="3"/>
    <x v="2"/>
    <x v="0"/>
    <n v="0"/>
  </r>
  <r>
    <n v="32"/>
    <s v="Jonas"/>
    <s v="Fischer"/>
    <x v="2"/>
    <s v="March"/>
    <x v="1"/>
    <s v="20 mph"/>
    <s v="20 mph"/>
    <s v="35 mph"/>
    <s v="40 miles"/>
    <n v="32"/>
    <n v="56"/>
    <s v="32 – 56 km/h"/>
    <n v="64"/>
    <s v="304 Ringstraße, Hamburg, 20095"/>
    <s v="304 Ringstraße"/>
    <s v="Hamburg"/>
    <s v="20095"/>
    <s v="DE"/>
    <x v="2"/>
    <x v="1"/>
    <s v="€800"/>
    <s v="EUR"/>
    <n v="800"/>
    <n v="1"/>
    <n v="800"/>
    <n v="220"/>
    <n v="0"/>
    <n v="176000"/>
    <n v="176000"/>
    <n v="3"/>
    <x v="2"/>
    <x v="0"/>
    <n v="0"/>
  </r>
  <r>
    <n v="33"/>
    <s v="Jonas"/>
    <s v="Fischer"/>
    <x v="2"/>
    <s v="March"/>
    <x v="2"/>
    <s v="18 mph"/>
    <s v="18 mph"/>
    <s v="28 mph"/>
    <s v="25 miles"/>
    <n v="29"/>
    <n v="45"/>
    <s v="29 – 45 km/h"/>
    <n v="40"/>
    <s v="305 Ringstraße, Hamburg, 20095"/>
    <s v="305 Ringstraße"/>
    <s v="Hamburg"/>
    <s v="20095"/>
    <s v="DE"/>
    <x v="2"/>
    <x v="1"/>
    <s v="€950"/>
    <s v="EUR"/>
    <n v="950"/>
    <n v="1"/>
    <n v="950"/>
    <n v="160"/>
    <n v="0"/>
    <n v="152000"/>
    <n v="152000"/>
    <n v="3"/>
    <x v="2"/>
    <x v="0"/>
    <n v="0"/>
  </r>
  <r>
    <n v="34"/>
    <s v="Théo"/>
    <s v="Bernard"/>
    <x v="3"/>
    <s v="March"/>
    <x v="0"/>
    <s v="15 mph"/>
    <s v="15 mph"/>
    <s v="30 mph"/>
    <s v="48,280 meters"/>
    <n v="24"/>
    <n v="48"/>
    <s v="24 – 48 km/h"/>
    <n v="48"/>
    <s v="56 Boulevard Saint-Germain, Paris, 75005"/>
    <s v="56 Boulevard Saint-Germain"/>
    <s v="Paris"/>
    <s v="75005"/>
    <s v="FR"/>
    <x v="3"/>
    <x v="1"/>
    <s v="€1100"/>
    <s v="EUR"/>
    <n v="1100"/>
    <n v="1"/>
    <n v="1100"/>
    <n v="110"/>
    <n v="0"/>
    <n v="121000"/>
    <n v="121000"/>
    <n v="3"/>
    <x v="2"/>
    <x v="0"/>
    <n v="0"/>
  </r>
  <r>
    <n v="35"/>
    <s v="Théo"/>
    <s v="Bernard"/>
    <x v="3"/>
    <s v="March"/>
    <x v="1"/>
    <s v="20 mph"/>
    <s v="20 mph"/>
    <s v="35 mph"/>
    <s v="40 miles"/>
    <n v="32"/>
    <n v="56"/>
    <s v="32 – 56 km/h"/>
    <n v="64"/>
    <s v="57 Boulevard Saint-Germain, Paris, 75005"/>
    <s v="57 Boulevard Saint-Germain"/>
    <s v="Paris"/>
    <s v="75005"/>
    <s v="FR"/>
    <x v="3"/>
    <x v="1"/>
    <s v="€900"/>
    <s v="EUR"/>
    <n v="900"/>
    <n v="1"/>
    <n v="900"/>
    <n v="260"/>
    <n v="0"/>
    <n v="234000"/>
    <n v="234000"/>
    <n v="3"/>
    <x v="2"/>
    <x v="0"/>
    <n v="0"/>
  </r>
  <r>
    <n v="36"/>
    <s v="Théo"/>
    <s v="Bernard"/>
    <x v="3"/>
    <s v="March"/>
    <x v="2"/>
    <s v="18 mph"/>
    <s v="18 mph"/>
    <s v="28 mph"/>
    <s v="25 miles"/>
    <n v="29"/>
    <n v="45"/>
    <s v="29 – 45 km/h"/>
    <n v="40"/>
    <s v="58 Boulevard Saint-Germain, Paris, 75005"/>
    <s v="58 Boulevard Saint-Germain"/>
    <s v="Paris"/>
    <s v="75005"/>
    <s v="FR"/>
    <x v="3"/>
    <x v="1"/>
    <s v="€1050"/>
    <s v="EUR"/>
    <n v="1050"/>
    <n v="1"/>
    <n v="1050"/>
    <n v="200"/>
    <n v="0"/>
    <n v="210000"/>
    <n v="210000"/>
    <n v="3"/>
    <x v="2"/>
    <x v="0"/>
    <n v="0"/>
  </r>
  <r>
    <n v="37"/>
    <s v="Sanya"/>
    <s v="Joshi"/>
    <x v="0"/>
    <s v="April"/>
    <x v="0"/>
    <s v="15 mph"/>
    <s v="15 mph"/>
    <s v="30 mph"/>
    <s v="30 miles"/>
    <n v="24"/>
    <n v="48"/>
    <s v="24 – 48 km/h"/>
    <n v="48"/>
    <s v="456 Brigade Road, Bengaluru, 560001"/>
    <s v="456 Brigade Road"/>
    <s v="Bengaluru"/>
    <s v="560001"/>
    <s v="IN"/>
    <x v="0"/>
    <x v="0"/>
    <s v="₹30,000"/>
    <s v="INR"/>
    <n v="30000"/>
    <n v="109.88200000000001"/>
    <n v="273.02014888698784"/>
    <n v="200"/>
    <n v="0"/>
    <n v="54604"/>
    <n v="54604"/>
    <n v="4"/>
    <x v="3"/>
    <x v="1"/>
    <n v="0"/>
  </r>
  <r>
    <n v="38"/>
    <s v="Sanya"/>
    <s v="Joshi"/>
    <x v="0"/>
    <s v="April"/>
    <x v="1"/>
    <s v="20 mph"/>
    <s v="20 mph"/>
    <s v="35 mph"/>
    <s v="40 miles"/>
    <n v="32"/>
    <n v="56"/>
    <s v="32 – 56 km/h"/>
    <n v="64"/>
    <s v="457 Brigade Road, Bengaluru, 560001"/>
    <s v="457 Brigade Road"/>
    <s v="Bengaluru"/>
    <s v="560001"/>
    <s v="IN"/>
    <x v="0"/>
    <x v="0"/>
    <s v="₹25,000"/>
    <s v="INR"/>
    <n v="25000"/>
    <n v="109.88200000000001"/>
    <n v="227.51679073915653"/>
    <n v="450"/>
    <n v="0"/>
    <n v="102383"/>
    <n v="102383"/>
    <n v="4"/>
    <x v="3"/>
    <x v="1"/>
    <n v="0"/>
  </r>
  <r>
    <n v="39"/>
    <s v="Sanya"/>
    <s v="Joshi"/>
    <x v="0"/>
    <s v="April"/>
    <x v="2"/>
    <s v="18 mph"/>
    <s v="18 mph"/>
    <s v="28 mph"/>
    <s v="25 miles"/>
    <n v="29"/>
    <n v="45"/>
    <s v="29 – 45 km/h"/>
    <n v="40"/>
    <s v="458 Brigade Road, Bengaluru, 560001"/>
    <s v="458 Brigade Road"/>
    <s v="Bengaluru"/>
    <s v="560001"/>
    <s v="IN"/>
    <x v="0"/>
    <x v="0"/>
    <s v="₹22,000"/>
    <s v="INR"/>
    <n v="22000"/>
    <n v="109.88200000000001"/>
    <n v="200.21477585045776"/>
    <n v="300"/>
    <n v="0"/>
    <n v="60064"/>
    <n v="60064"/>
    <n v="4"/>
    <x v="3"/>
    <x v="1"/>
    <n v="0"/>
  </r>
  <r>
    <n v="40"/>
    <s v="Fang"/>
    <s v="Liu"/>
    <x v="1"/>
    <s v="April"/>
    <x v="0"/>
    <m/>
    <s v="15 mph"/>
    <s v="30 mph"/>
    <s v="30 miles"/>
    <n v="24"/>
    <n v="48"/>
    <s v="24 – 48 km/h"/>
    <n v="48"/>
    <s v="99 Nanjing Road, Shanghai, 200001"/>
    <s v="99 Nanjing Road"/>
    <s v="Shanghai"/>
    <s v="200001"/>
    <s v="CN"/>
    <x v="1"/>
    <x v="0"/>
    <s v="¥5,000"/>
    <s v="CNY"/>
    <n v="5000"/>
    <n v="7.7255000000000003"/>
    <n v="647.20730049834958"/>
    <n v="700"/>
    <n v="0"/>
    <n v="453045"/>
    <n v="453045"/>
    <n v="4"/>
    <x v="3"/>
    <x v="1"/>
    <n v="0"/>
  </r>
  <r>
    <n v="41"/>
    <s v="Fang"/>
    <s v="Liu"/>
    <x v="1"/>
    <s v="April"/>
    <x v="1"/>
    <s v="20 mph"/>
    <s v="20 mph"/>
    <s v="35 mph"/>
    <s v="40 miles"/>
    <n v="32"/>
    <n v="56"/>
    <s v="32 – 56 km/h"/>
    <n v="64"/>
    <s v="100 Nanjing Road, Shanghai, 200001"/>
    <s v="100 Nanjing Road"/>
    <s v="Shanghai"/>
    <s v="200001"/>
    <s v="CN"/>
    <x v="1"/>
    <x v="0"/>
    <s v="¥3,500"/>
    <s v="CNY"/>
    <n v="3500"/>
    <n v="7.7255000000000003"/>
    <n v="453.04511034884473"/>
    <n v="1600"/>
    <n v="0"/>
    <n v="724872"/>
    <n v="724872"/>
    <n v="4"/>
    <x v="3"/>
    <x v="1"/>
    <n v="0"/>
  </r>
  <r>
    <n v="42"/>
    <s v="Fang"/>
    <s v="Liu"/>
    <x v="1"/>
    <s v="April"/>
    <x v="2"/>
    <s v="18 mph"/>
    <s v="18 mph"/>
    <s v="28 mph"/>
    <s v="25 miles"/>
    <n v="29"/>
    <n v="45"/>
    <s v="29 – 45 km/h"/>
    <n v="40"/>
    <s v="101 Nanjing Road, Shanghai, 200001"/>
    <s v="101 Nanjing Road"/>
    <s v="Shanghai"/>
    <s v="200001"/>
    <s v="CN"/>
    <x v="1"/>
    <x v="0"/>
    <s v="¥4,200"/>
    <s v="CNY"/>
    <n v="4200"/>
    <n v="7.7255000000000003"/>
    <n v="543.6541324186137"/>
    <n v="1000"/>
    <n v="0"/>
    <n v="543654"/>
    <n v="543654"/>
    <n v="4"/>
    <x v="3"/>
    <x v="1"/>
    <n v="0"/>
  </r>
  <r>
    <n v="43"/>
    <s v="Jonas"/>
    <s v="Fischer"/>
    <x v="2"/>
    <s v="April"/>
    <x v="0"/>
    <s v="15 mph"/>
    <s v="15 mph"/>
    <s v="30 mph"/>
    <s v="48,280 meters"/>
    <n v="24"/>
    <n v="48"/>
    <s v="24 – 48 km/h"/>
    <n v="48"/>
    <s v="303 Ringstraße, Hamburg, 20095"/>
    <s v="303 Ringstraße"/>
    <s v="Hamburg"/>
    <s v="20095"/>
    <s v="DE"/>
    <x v="2"/>
    <x v="1"/>
    <s v="€1000"/>
    <s v="EUR"/>
    <n v="1000"/>
    <n v="1"/>
    <n v="1000"/>
    <n v="160"/>
    <n v="0"/>
    <n v="160000"/>
    <n v="160000"/>
    <n v="4"/>
    <x v="3"/>
    <x v="1"/>
    <n v="0"/>
  </r>
  <r>
    <n v="44"/>
    <s v="Jonas"/>
    <s v="Fischer"/>
    <x v="2"/>
    <s v="April"/>
    <x v="1"/>
    <s v="20 mph"/>
    <s v="20 mph"/>
    <s v="35 mph"/>
    <s v="40 miles"/>
    <n v="32"/>
    <n v="56"/>
    <s v="32 – 56 km/h"/>
    <n v="64"/>
    <s v="304 Ringstraße, Hamburg, 20095"/>
    <s v="304 Ringstraße"/>
    <s v="Hamburg"/>
    <s v="20095"/>
    <s v="DE"/>
    <x v="2"/>
    <x v="1"/>
    <s v="€800"/>
    <s v="EUR"/>
    <n v="800"/>
    <n v="1"/>
    <n v="800"/>
    <n v="280"/>
    <n v="0"/>
    <n v="224000"/>
    <n v="224000"/>
    <n v="4"/>
    <x v="3"/>
    <x v="1"/>
    <n v="0"/>
  </r>
  <r>
    <n v="45"/>
    <s v="Jonas"/>
    <s v="Fischer"/>
    <x v="2"/>
    <s v="April"/>
    <x v="2"/>
    <s v="18 mph"/>
    <s v="18 mph"/>
    <s v="28 mph"/>
    <s v="25 miles"/>
    <n v="29"/>
    <n v="45"/>
    <s v="29 – 45 km/h"/>
    <n v="40"/>
    <s v="305 Ringstraße, Hamburg, 20095"/>
    <s v="305 Ringstraße"/>
    <s v="Hamburg"/>
    <s v="20095"/>
    <s v="DE"/>
    <x v="2"/>
    <x v="1"/>
    <s v="€950"/>
    <s v="EUR"/>
    <n v="950"/>
    <n v="1"/>
    <n v="950"/>
    <n v="200"/>
    <n v="0"/>
    <n v="190000"/>
    <n v="190000"/>
    <n v="4"/>
    <x v="3"/>
    <x v="1"/>
    <n v="0"/>
  </r>
  <r>
    <n v="46"/>
    <s v="Théo"/>
    <s v="Bernard"/>
    <x v="3"/>
    <s v="April"/>
    <x v="0"/>
    <s v="15 mph"/>
    <s v="15 mph"/>
    <s v="30 mph"/>
    <s v="30 miles"/>
    <n v="24"/>
    <n v="48"/>
    <s v="24 – 48 km/h"/>
    <n v="48"/>
    <s v="56 Boulevard Saint-Germain, Paris, 75005"/>
    <s v="56 Boulevard Saint-Germain"/>
    <s v="Paris"/>
    <s v="75005"/>
    <s v="FR"/>
    <x v="3"/>
    <x v="1"/>
    <s v="€1100"/>
    <s v="EUR"/>
    <n v="1100"/>
    <n v="1"/>
    <n v="1100"/>
    <n v="130"/>
    <n v="0"/>
    <n v="143000"/>
    <n v="143000"/>
    <n v="4"/>
    <x v="3"/>
    <x v="1"/>
    <n v="0"/>
  </r>
  <r>
    <n v="47"/>
    <s v="Théo"/>
    <s v="Bernard"/>
    <x v="3"/>
    <s v="April"/>
    <x v="1"/>
    <s v="20 mph"/>
    <s v="20 mph"/>
    <s v="35 mph"/>
    <s v="40 miles"/>
    <n v="32"/>
    <n v="56"/>
    <s v="32 – 56 km/h"/>
    <n v="64"/>
    <s v="57 Boulevard Saint-Germain, Paris, 75005"/>
    <s v="57 Boulevard Saint-Germain"/>
    <s v="Paris"/>
    <s v="75005"/>
    <s v="FR"/>
    <x v="3"/>
    <x v="1"/>
    <s v="€900"/>
    <s v="EUR"/>
    <n v="900"/>
    <n v="1"/>
    <n v="900"/>
    <n v="300"/>
    <n v="0"/>
    <n v="270000"/>
    <n v="270000"/>
    <n v="4"/>
    <x v="3"/>
    <x v="1"/>
    <n v="0"/>
  </r>
  <r>
    <n v="48"/>
    <s v="Théo"/>
    <s v="Bernard"/>
    <x v="3"/>
    <s v="April"/>
    <x v="2"/>
    <m/>
    <s v="18 mph"/>
    <s v="28 mph"/>
    <s v="40,230 meters"/>
    <n v="29"/>
    <n v="45"/>
    <s v="29 – 45 km/h"/>
    <n v="40"/>
    <s v="58 Boulevard Saint-Germain, Paris, 75005"/>
    <s v="58 Boulevard Saint-Germain"/>
    <s v="Paris"/>
    <s v="75005"/>
    <s v="FR"/>
    <x v="3"/>
    <x v="1"/>
    <s v="€1050"/>
    <s v="EUR"/>
    <n v="1050"/>
    <n v="1"/>
    <n v="1050"/>
    <n v="230"/>
    <n v="0"/>
    <n v="241500"/>
    <n v="241500"/>
    <n v="4"/>
    <x v="3"/>
    <x v="1"/>
    <n v="0"/>
  </r>
  <r>
    <n v="49"/>
    <s v="Sanya"/>
    <s v="Joshi"/>
    <x v="0"/>
    <s v="May"/>
    <x v="0"/>
    <s v="15 mph"/>
    <s v="15 mph"/>
    <s v="30 mph"/>
    <s v="30 miles"/>
    <n v="24"/>
    <n v="48"/>
    <s v="24 – 48 km/h"/>
    <n v="48"/>
    <s v="456 Brigade Road, Bengaluru, 560001"/>
    <s v="456 Brigade Road"/>
    <s v="Bengaluru"/>
    <s v="560001"/>
    <s v="IN"/>
    <x v="0"/>
    <x v="0"/>
    <s v="₹30,000"/>
    <s v="INR"/>
    <n v="30000"/>
    <n v="109.88200000000001"/>
    <n v="273.02014888698784"/>
    <n v="200"/>
    <n v="0"/>
    <n v="54604"/>
    <n v="54604"/>
    <n v="5"/>
    <x v="4"/>
    <x v="1"/>
    <n v="0"/>
  </r>
  <r>
    <n v="50"/>
    <s v="Sanya"/>
    <s v="Joshi"/>
    <x v="0"/>
    <s v="May"/>
    <x v="1"/>
    <s v="20 mph"/>
    <s v="20 mph"/>
    <s v="35 mph"/>
    <s v="40 miles"/>
    <n v="32"/>
    <n v="56"/>
    <s v="32 – 56 km/h"/>
    <n v="64"/>
    <s v="457 Brigade Road, Bengaluru, 560001"/>
    <s v="457 Brigade Road"/>
    <s v="Bengaluru"/>
    <s v="560001"/>
    <s v="IN"/>
    <x v="0"/>
    <x v="0"/>
    <s v="₹25,000"/>
    <s v="INR"/>
    <n v="25000"/>
    <n v="109.88200000000001"/>
    <n v="227.51679073915653"/>
    <n v="450"/>
    <n v="0"/>
    <n v="102383"/>
    <n v="102383"/>
    <n v="5"/>
    <x v="4"/>
    <x v="1"/>
    <n v="0"/>
  </r>
  <r>
    <n v="51"/>
    <s v="Sanya"/>
    <s v="Joshi"/>
    <x v="0"/>
    <s v="May"/>
    <x v="2"/>
    <s v="18 mph"/>
    <s v="18 mph"/>
    <s v="28 mph"/>
    <s v="25 miles"/>
    <n v="29"/>
    <n v="45"/>
    <s v="29 – 45 km/h"/>
    <n v="40"/>
    <s v="458 Brigade Road, Bengaluru, 560001"/>
    <s v="458 Brigade Road"/>
    <s v="Bengaluru"/>
    <s v="560001"/>
    <s v="IN"/>
    <x v="0"/>
    <x v="0"/>
    <s v="₹22,000"/>
    <s v="INR"/>
    <n v="22000"/>
    <n v="109.88200000000001"/>
    <n v="200.21477585045776"/>
    <n v="350"/>
    <n v="0"/>
    <n v="70075"/>
    <n v="70075"/>
    <n v="5"/>
    <x v="4"/>
    <x v="1"/>
    <n v="0"/>
  </r>
  <r>
    <n v="52"/>
    <s v="Fang"/>
    <s v="Liu"/>
    <x v="1"/>
    <s v="May"/>
    <x v="0"/>
    <s v="15 mph"/>
    <s v="15 mph"/>
    <s v="30 mph"/>
    <s v="48,280 meters"/>
    <n v="24"/>
    <n v="48"/>
    <s v="24 – 48 km/h"/>
    <n v="48"/>
    <s v="99 Nanjing Road, Shanghai, 200001"/>
    <s v="99 Nanjing Road"/>
    <s v="Shanghai"/>
    <s v="200001"/>
    <s v="CN"/>
    <x v="1"/>
    <x v="0"/>
    <s v="¥5,000"/>
    <s v="CNY"/>
    <n v="5000"/>
    <n v="7.7255000000000003"/>
    <n v="647.20730049834958"/>
    <n v="700"/>
    <n v="0"/>
    <n v="453045"/>
    <n v="453045"/>
    <n v="5"/>
    <x v="4"/>
    <x v="1"/>
    <n v="0"/>
  </r>
  <r>
    <n v="53"/>
    <s v="Fang"/>
    <s v="Liu"/>
    <x v="1"/>
    <s v="May"/>
    <x v="1"/>
    <s v="20 mph"/>
    <s v="20 mph"/>
    <s v="35 mph"/>
    <s v="40 miles"/>
    <n v="32"/>
    <n v="56"/>
    <s v="32 – 56 km/h"/>
    <n v="64"/>
    <s v="100 Nanjing Road, Shanghai, 200001"/>
    <s v="100 Nanjing Road"/>
    <s v="Shanghai"/>
    <s v="200001"/>
    <s v="CN"/>
    <x v="1"/>
    <x v="0"/>
    <s v="¥3,500"/>
    <s v="CNY"/>
    <n v="3500"/>
    <n v="7.7255000000000003"/>
    <n v="453.04511034884473"/>
    <n v="1600"/>
    <n v="0"/>
    <n v="724872"/>
    <n v="724872"/>
    <n v="5"/>
    <x v="4"/>
    <x v="1"/>
    <n v="0"/>
  </r>
  <r>
    <n v="54"/>
    <s v="Fang"/>
    <s v="Liu"/>
    <x v="1"/>
    <s v="May"/>
    <x v="2"/>
    <s v="18 mph"/>
    <s v="18 mph"/>
    <s v="28 mph"/>
    <s v="25 miles"/>
    <n v="29"/>
    <n v="45"/>
    <s v="29 – 45 km/h"/>
    <n v="40"/>
    <s v="101 Nanjing Road, Shanghai, 200001"/>
    <s v="101 Nanjing Road"/>
    <s v="Shanghai"/>
    <s v="200001"/>
    <s v="CN"/>
    <x v="1"/>
    <x v="0"/>
    <s v="¥4,200"/>
    <s v="CNY"/>
    <n v="4200"/>
    <n v="7.7255000000000003"/>
    <n v="543.6541324186137"/>
    <n v="1000"/>
    <n v="0"/>
    <n v="543654"/>
    <n v="543654"/>
    <n v="5"/>
    <x v="4"/>
    <x v="1"/>
    <n v="0"/>
  </r>
  <r>
    <n v="55"/>
    <s v="Jonas"/>
    <s v="Fischer"/>
    <x v="2"/>
    <s v="May"/>
    <x v="0"/>
    <s v="15 mph"/>
    <s v="15 mph"/>
    <s v="30 mph"/>
    <s v="30 miles"/>
    <n v="24"/>
    <n v="48"/>
    <s v="24 – 48 km/h"/>
    <n v="48"/>
    <s v="303 Ringstraße, Hamburg, 20095"/>
    <s v="303 Ringstraße"/>
    <s v="Hamburg"/>
    <s v="20095"/>
    <s v="DE"/>
    <x v="2"/>
    <x v="1"/>
    <s v="€1000"/>
    <s v="EUR"/>
    <n v="1000"/>
    <n v="1"/>
    <n v="1000"/>
    <n v="180"/>
    <n v="0"/>
    <n v="180000"/>
    <n v="180000"/>
    <n v="5"/>
    <x v="4"/>
    <x v="1"/>
    <n v="0"/>
  </r>
  <r>
    <n v="56"/>
    <s v="Jonas"/>
    <s v="Fischer"/>
    <x v="2"/>
    <s v="May"/>
    <x v="1"/>
    <s v="20 mph"/>
    <s v="20 mph"/>
    <s v="35 mph"/>
    <s v="40 miles"/>
    <n v="32"/>
    <n v="56"/>
    <s v="32 – 56 km/h"/>
    <n v="64"/>
    <s v="304 Ringstraße, Hamburg, 20095"/>
    <s v="304 Ringstraße"/>
    <s v="Hamburg"/>
    <s v="20095"/>
    <s v="DE"/>
    <x v="2"/>
    <x v="1"/>
    <s v="€800"/>
    <s v="EUR"/>
    <n v="800"/>
    <n v="1"/>
    <n v="800"/>
    <n v="320"/>
    <n v="0"/>
    <n v="256000"/>
    <n v="256000"/>
    <n v="5"/>
    <x v="4"/>
    <x v="1"/>
    <n v="0"/>
  </r>
  <r>
    <n v="57"/>
    <s v="Jonas"/>
    <s v="Fischer"/>
    <x v="2"/>
    <s v="May"/>
    <x v="2"/>
    <s v="18 mph"/>
    <s v="18 mph"/>
    <s v="28 mph"/>
    <s v="25 miles"/>
    <n v="29"/>
    <n v="45"/>
    <s v="29 – 45 km/h"/>
    <n v="40"/>
    <s v="305 Ringstraße, Hamburg, 20095"/>
    <s v="305 Ringstraße"/>
    <s v="Hamburg"/>
    <s v="20095"/>
    <s v="DE"/>
    <x v="2"/>
    <x v="1"/>
    <s v="€950"/>
    <s v="EUR"/>
    <n v="950"/>
    <n v="1"/>
    <n v="950"/>
    <n v="220"/>
    <n v="0"/>
    <n v="209000"/>
    <n v="209000"/>
    <n v="5"/>
    <x v="4"/>
    <x v="1"/>
    <n v="0"/>
  </r>
  <r>
    <n v="58"/>
    <s v="Théo"/>
    <s v="Bernard"/>
    <x v="3"/>
    <s v="May"/>
    <x v="0"/>
    <s v="15 mph"/>
    <s v="15 mph"/>
    <s v="30 mph"/>
    <s v="30 miles"/>
    <n v="24"/>
    <n v="48"/>
    <s v="24 – 48 km/h"/>
    <n v="48"/>
    <s v="56 Boulevard Saint-Germain, Paris, 75005"/>
    <s v="56 Boulevard Saint-Germain"/>
    <s v="Paris"/>
    <s v="75005"/>
    <s v="FR"/>
    <x v="3"/>
    <x v="1"/>
    <s v="€1100"/>
    <s v="EUR"/>
    <n v="1100"/>
    <n v="1"/>
    <n v="1100"/>
    <n v="140"/>
    <n v="0"/>
    <n v="154000"/>
    <n v="154000"/>
    <n v="5"/>
    <x v="4"/>
    <x v="1"/>
    <n v="0"/>
  </r>
  <r>
    <n v="59"/>
    <s v="Théo"/>
    <s v="Bernard"/>
    <x v="3"/>
    <s v="May"/>
    <x v="1"/>
    <s v="20 mph"/>
    <s v="20 mph"/>
    <s v="35 mph"/>
    <s v="64,370 meters"/>
    <n v="32"/>
    <n v="56"/>
    <s v="32 – 56 km/h"/>
    <n v="64"/>
    <s v="57 Boulevard Saint-Germain, Paris, 75005"/>
    <s v="57 Boulevard Saint-Germain"/>
    <s v="Paris"/>
    <s v="75005"/>
    <s v="FR"/>
    <x v="3"/>
    <x v="1"/>
    <s v="€900"/>
    <s v="EUR"/>
    <n v="900"/>
    <n v="1"/>
    <n v="900"/>
    <n v="300"/>
    <n v="0"/>
    <n v="270000"/>
    <n v="270000"/>
    <n v="5"/>
    <x v="4"/>
    <x v="1"/>
    <n v="0"/>
  </r>
  <r>
    <n v="60"/>
    <s v="Théo"/>
    <s v="Bernard"/>
    <x v="3"/>
    <s v="May"/>
    <x v="2"/>
    <s v="18 mph"/>
    <s v="18 mph"/>
    <s v="28 mph"/>
    <s v="25 miles"/>
    <n v="29"/>
    <n v="45"/>
    <s v="29 – 45 km/h"/>
    <n v="40"/>
    <s v="58 Boulevard Saint-Germain, Paris, 75005"/>
    <s v="58 Boulevard Saint-Germain"/>
    <s v="Paris"/>
    <s v="75005"/>
    <s v="FR"/>
    <x v="3"/>
    <x v="1"/>
    <s v="€1050"/>
    <s v="EUR"/>
    <n v="1050"/>
    <n v="1"/>
    <n v="1050"/>
    <n v="280"/>
    <n v="0"/>
    <n v="294000"/>
    <n v="294000"/>
    <n v="5"/>
    <x v="4"/>
    <x v="1"/>
    <n v="0"/>
  </r>
  <r>
    <n v="61"/>
    <s v="Sanya"/>
    <s v="Joshi"/>
    <x v="0"/>
    <s v="June"/>
    <x v="0"/>
    <s v="15 mph"/>
    <s v="15 mph"/>
    <s v="30 mph"/>
    <s v="30 miles"/>
    <n v="24"/>
    <n v="48"/>
    <s v="24 – 48 km/h"/>
    <n v="48"/>
    <s v="456 Brigade Road, Bengaluru, 560001"/>
    <s v="456 Brigade Road"/>
    <s v="Bengaluru"/>
    <s v="560001"/>
    <s v="IN"/>
    <x v="0"/>
    <x v="0"/>
    <s v="₹30,000"/>
    <s v="INR"/>
    <n v="30000"/>
    <n v="109.88200000000001"/>
    <n v="273.02014888698784"/>
    <n v="250"/>
    <n v="0"/>
    <n v="68255"/>
    <n v="68255"/>
    <n v="6"/>
    <x v="5"/>
    <x v="1"/>
    <n v="0"/>
  </r>
  <r>
    <n v="62"/>
    <s v="Sanya"/>
    <s v="Joshi"/>
    <x v="0"/>
    <s v="June"/>
    <x v="1"/>
    <s v="20 mph"/>
    <s v="20 mph"/>
    <s v="35 mph"/>
    <s v="40 miles"/>
    <n v="32"/>
    <n v="56"/>
    <s v="32 – 56 km/h"/>
    <n v="64"/>
    <s v="457 Brigade Road, Bengaluru, 560001"/>
    <s v="457 Brigade Road"/>
    <s v="Bengaluru"/>
    <s v="560001"/>
    <s v="IN"/>
    <x v="0"/>
    <x v="0"/>
    <s v="₹25,000"/>
    <s v="INR"/>
    <n v="25000"/>
    <n v="109.88200000000001"/>
    <n v="227.51679073915653"/>
    <n v="500"/>
    <n v="0"/>
    <n v="113758"/>
    <n v="113758"/>
    <n v="6"/>
    <x v="5"/>
    <x v="1"/>
    <n v="0"/>
  </r>
  <r>
    <n v="63"/>
    <s v="Sanya"/>
    <s v="Joshi"/>
    <x v="0"/>
    <s v="June"/>
    <x v="2"/>
    <m/>
    <s v="18 mph"/>
    <s v="28 mph"/>
    <s v="25 miles"/>
    <n v="29"/>
    <n v="45"/>
    <s v="29 – 45 km/h"/>
    <n v="40"/>
    <s v="458 Brigade Road, Bengaluru, 560001"/>
    <s v="458 Brigade Road"/>
    <s v="Bengaluru"/>
    <s v="560001"/>
    <s v="IN"/>
    <x v="0"/>
    <x v="0"/>
    <s v="₹22,000"/>
    <s v="INR"/>
    <n v="22000"/>
    <n v="109.88200000000001"/>
    <n v="200.21477585045776"/>
    <n v="400"/>
    <n v="0"/>
    <n v="80086"/>
    <n v="80086"/>
    <n v="6"/>
    <x v="5"/>
    <x v="1"/>
    <n v="0"/>
  </r>
  <r>
    <n v="64"/>
    <s v="Fang"/>
    <s v="Liu"/>
    <x v="1"/>
    <s v="June"/>
    <x v="0"/>
    <s v="15 mph"/>
    <s v="15 mph"/>
    <s v="30 mph"/>
    <s v="30 miles"/>
    <n v="24"/>
    <n v="48"/>
    <s v="24 – 48 km/h"/>
    <n v="48"/>
    <s v="99 Nanjing Road, Shanghai, 200001"/>
    <s v="99 Nanjing Road"/>
    <s v="Shanghai"/>
    <s v="200001"/>
    <s v="CN"/>
    <x v="1"/>
    <x v="0"/>
    <s v="¥5,000"/>
    <s v="CNY"/>
    <n v="5000"/>
    <n v="7.7255000000000003"/>
    <n v="647.20730049834958"/>
    <n v="800"/>
    <n v="0"/>
    <n v="517766"/>
    <n v="517766"/>
    <n v="6"/>
    <x v="5"/>
    <x v="1"/>
    <n v="0"/>
  </r>
  <r>
    <n v="65"/>
    <s v="Fang"/>
    <s v="Liu"/>
    <x v="1"/>
    <s v="June"/>
    <x v="1"/>
    <s v="20 mph"/>
    <s v="20 mph"/>
    <s v="35 mph"/>
    <s v="40 miles"/>
    <n v="32"/>
    <n v="56"/>
    <s v="32 – 56 km/h"/>
    <n v="64"/>
    <s v="100 Nanjing Road, Shanghai, 200001"/>
    <s v="100 Nanjing Road"/>
    <s v="Shanghai"/>
    <s v="200001"/>
    <s v="CN"/>
    <x v="1"/>
    <x v="0"/>
    <s v="¥3,500"/>
    <s v="CNY"/>
    <n v="3500"/>
    <n v="7.7255000000000003"/>
    <n v="453.04511034884473"/>
    <n v="1900"/>
    <n v="0"/>
    <n v="860786"/>
    <n v="860786"/>
    <n v="6"/>
    <x v="5"/>
    <x v="1"/>
    <n v="0"/>
  </r>
  <r>
    <n v="66"/>
    <s v="Fang"/>
    <s v="Liu"/>
    <x v="1"/>
    <s v="June"/>
    <x v="2"/>
    <s v="18 mph"/>
    <s v="18 mph"/>
    <s v="28 mph"/>
    <s v="25 miles"/>
    <n v="29"/>
    <n v="45"/>
    <s v="29 – 45 km/h"/>
    <n v="40"/>
    <s v="101 Nanjing Road, Shanghai, 200001"/>
    <s v="101 Nanjing Road"/>
    <s v="Shanghai"/>
    <s v="200001"/>
    <s v="CN"/>
    <x v="1"/>
    <x v="0"/>
    <s v="¥4,200"/>
    <s v="CNY"/>
    <n v="4200"/>
    <n v="7.7255000000000003"/>
    <n v="543.6541324186137"/>
    <n v="1200"/>
    <n v="0"/>
    <n v="652385"/>
    <n v="652385"/>
    <n v="6"/>
    <x v="5"/>
    <x v="1"/>
    <n v="0"/>
  </r>
  <r>
    <n v="67"/>
    <s v="Jonas"/>
    <s v="Fischer"/>
    <x v="2"/>
    <s v="June"/>
    <x v="0"/>
    <s v="15 mph"/>
    <s v="15 mph"/>
    <s v="30 mph"/>
    <s v="30 miles"/>
    <n v="24"/>
    <n v="48"/>
    <s v="24 – 48 km/h"/>
    <n v="48"/>
    <s v="303 Ringstraße, Hamburg, 20095"/>
    <s v="303 Ringstraße"/>
    <s v="Hamburg"/>
    <s v="20095"/>
    <s v="DE"/>
    <x v="2"/>
    <x v="1"/>
    <s v="€1000"/>
    <s v="EUR"/>
    <n v="1000"/>
    <n v="1"/>
    <n v="1000"/>
    <n v="200"/>
    <n v="0"/>
    <n v="200000"/>
    <n v="200000"/>
    <n v="6"/>
    <x v="5"/>
    <x v="1"/>
    <n v="0"/>
  </r>
  <r>
    <n v="68"/>
    <s v="Jonas"/>
    <s v="Fischer"/>
    <x v="2"/>
    <s v="June"/>
    <x v="1"/>
    <s v="20 mph"/>
    <s v="20 mph"/>
    <s v="35 mph"/>
    <s v="64,370 meters"/>
    <n v="32"/>
    <n v="56"/>
    <s v="32 – 56 km/h"/>
    <n v="64"/>
    <s v="304 Ringstraße, Hamburg, 20095"/>
    <s v="304 Ringstraße"/>
    <s v="Hamburg"/>
    <s v="20095"/>
    <s v="DE"/>
    <x v="2"/>
    <x v="1"/>
    <s v="€800"/>
    <s v="EUR"/>
    <n v="800"/>
    <n v="1"/>
    <n v="800"/>
    <n v="350"/>
    <n v="0"/>
    <n v="280000"/>
    <n v="280000"/>
    <n v="6"/>
    <x v="5"/>
    <x v="1"/>
    <n v="0"/>
  </r>
  <r>
    <n v="69"/>
    <s v="Jonas"/>
    <s v="Fischer"/>
    <x v="2"/>
    <s v="June"/>
    <x v="2"/>
    <s v="18 mph"/>
    <s v="18 mph"/>
    <s v="28 mph"/>
    <s v="40,230 meters"/>
    <n v="29"/>
    <n v="45"/>
    <s v="29 – 45 km/h"/>
    <n v="40"/>
    <s v="305 Ringstraße, Hamburg, 20095"/>
    <s v="305 Ringstraße"/>
    <s v="Hamburg"/>
    <s v="20095"/>
    <s v="DE"/>
    <x v="2"/>
    <x v="1"/>
    <s v="€950"/>
    <s v="EUR"/>
    <n v="950"/>
    <n v="1"/>
    <n v="950"/>
    <n v="250"/>
    <n v="0"/>
    <n v="237500"/>
    <n v="237500"/>
    <n v="6"/>
    <x v="5"/>
    <x v="1"/>
    <n v="0"/>
  </r>
  <r>
    <n v="70"/>
    <s v="Théo"/>
    <s v="Bernard"/>
    <x v="3"/>
    <s v="June"/>
    <x v="0"/>
    <m/>
    <s v="15 mph"/>
    <s v="30 mph"/>
    <s v="30 miles"/>
    <n v="24"/>
    <n v="48"/>
    <s v="24 – 48 km/h"/>
    <n v="48"/>
    <s v="56 Boulevard Saint-Germain, Paris, 75005"/>
    <s v="56 Boulevard Saint-Germain"/>
    <s v="Paris"/>
    <s v="75005"/>
    <s v="FR"/>
    <x v="3"/>
    <x v="1"/>
    <s v="€1100"/>
    <s v="EUR"/>
    <n v="1100"/>
    <n v="1"/>
    <n v="1100"/>
    <n v="150"/>
    <n v="0"/>
    <n v="165000"/>
    <n v="165000"/>
    <n v="6"/>
    <x v="5"/>
    <x v="1"/>
    <n v="0"/>
  </r>
  <r>
    <n v="71"/>
    <s v="Théo"/>
    <s v="Bernard"/>
    <x v="3"/>
    <s v="June"/>
    <x v="1"/>
    <s v="20 mph"/>
    <s v="20 mph"/>
    <s v="35 mph"/>
    <s v="40 miles"/>
    <n v="32"/>
    <n v="56"/>
    <s v="32 – 56 km/h"/>
    <n v="64"/>
    <s v="57 Boulevard Saint-Germain, Paris, 75005"/>
    <s v="57 Boulevard Saint-Germain"/>
    <s v="Paris"/>
    <s v="75005"/>
    <s v="FR"/>
    <x v="3"/>
    <x v="1"/>
    <s v="€900"/>
    <s v="EUR"/>
    <n v="900"/>
    <n v="1"/>
    <n v="900"/>
    <n v="350"/>
    <n v="0"/>
    <n v="315000"/>
    <n v="315000"/>
    <n v="6"/>
    <x v="5"/>
    <x v="1"/>
    <n v="0"/>
  </r>
  <r>
    <n v="72"/>
    <s v="Théo"/>
    <s v="Bernard"/>
    <x v="3"/>
    <s v="June"/>
    <x v="2"/>
    <s v="18 mph"/>
    <s v="18 mph"/>
    <s v="28 mph"/>
    <s v="25 miles"/>
    <n v="29"/>
    <n v="45"/>
    <s v="29 – 45 km/h"/>
    <n v="40"/>
    <s v="58 Boulevard Saint-Germain, Paris, 75005"/>
    <s v="58 Boulevard Saint-Germain"/>
    <s v="Paris"/>
    <s v="75005"/>
    <s v="FR"/>
    <x v="3"/>
    <x v="1"/>
    <s v="€1050"/>
    <s v="EUR"/>
    <n v="1050"/>
    <n v="1"/>
    <n v="1050"/>
    <n v="300"/>
    <n v="0"/>
    <n v="315000"/>
    <n v="315000"/>
    <n v="6"/>
    <x v="5"/>
    <x v="1"/>
    <n v="0"/>
  </r>
  <r>
    <n v="73"/>
    <s v="Sanya"/>
    <s v="Joshi"/>
    <x v="0"/>
    <s v="July"/>
    <x v="0"/>
    <s v="15 mph"/>
    <s v="15 mph"/>
    <s v="30 mph"/>
    <s v="30 miles"/>
    <n v="24"/>
    <n v="48"/>
    <s v="24 – 48 km/h"/>
    <n v="48"/>
    <s v="456 Brigade Road, Bengaluru, 560001"/>
    <s v="456 Brigade Road"/>
    <s v="Bengaluru"/>
    <s v="560001"/>
    <s v="IN"/>
    <x v="0"/>
    <x v="0"/>
    <s v="₹30,000"/>
    <s v="INR"/>
    <n v="30000"/>
    <n v="109.88200000000001"/>
    <n v="273.02014888698784"/>
    <n v="250"/>
    <n v="0"/>
    <n v="68255"/>
    <n v="68255"/>
    <n v="7"/>
    <x v="6"/>
    <x v="2"/>
    <n v="0"/>
  </r>
  <r>
    <n v="74"/>
    <s v="Sanya"/>
    <s v="Joshi"/>
    <x v="0"/>
    <s v="July"/>
    <x v="1"/>
    <s v="20 mph"/>
    <s v="20 mph"/>
    <s v="35 mph"/>
    <s v="40 miles"/>
    <n v="32"/>
    <n v="56"/>
    <s v="32 – 56 km/h"/>
    <n v="64"/>
    <s v="457 Brigade Road, Bengaluru, 560001"/>
    <s v="457 Brigade Road"/>
    <s v="Bengaluru"/>
    <s v="560001"/>
    <s v="IN"/>
    <x v="0"/>
    <x v="0"/>
    <s v="₹25,000"/>
    <s v="INR"/>
    <n v="25000"/>
    <n v="109.88200000000001"/>
    <n v="227.51679073915653"/>
    <n v="500"/>
    <n v="0"/>
    <n v="113758"/>
    <n v="113758"/>
    <n v="7"/>
    <x v="6"/>
    <x v="2"/>
    <n v="0"/>
  </r>
  <r>
    <n v="75"/>
    <s v="Sanya"/>
    <s v="Joshi"/>
    <x v="0"/>
    <s v="July"/>
    <x v="2"/>
    <s v="18 mph"/>
    <s v="18 mph"/>
    <s v="28 mph"/>
    <s v="25 miles"/>
    <n v="29"/>
    <n v="45"/>
    <s v="29 – 45 km/h"/>
    <n v="40"/>
    <s v="458 Brigade Road, Bengaluru, 560001"/>
    <s v="458 Brigade Road"/>
    <s v="Bengaluru"/>
    <s v="560001"/>
    <s v="IN"/>
    <x v="0"/>
    <x v="0"/>
    <s v="₹22,000"/>
    <s v="INR"/>
    <n v="22000"/>
    <n v="109.88200000000001"/>
    <n v="200.21477585045776"/>
    <n v="400"/>
    <n v="0"/>
    <n v="80086"/>
    <n v="80086"/>
    <n v="7"/>
    <x v="6"/>
    <x v="2"/>
    <n v="0"/>
  </r>
  <r>
    <n v="76"/>
    <s v="Fang"/>
    <s v="Liu"/>
    <x v="1"/>
    <s v="July"/>
    <x v="0"/>
    <s v="15 mph"/>
    <s v="15 mph"/>
    <s v="30 mph"/>
    <s v="48,280 meters"/>
    <n v="24"/>
    <n v="48"/>
    <s v="24 – 48 km/h"/>
    <n v="48"/>
    <s v="99 Nanjing Road, Shanghai, 200001"/>
    <s v="99 Nanjing Road"/>
    <s v="Shanghai"/>
    <s v="200001"/>
    <s v="CN"/>
    <x v="1"/>
    <x v="0"/>
    <s v="¥5,000"/>
    <s v="CNY"/>
    <n v="5000"/>
    <n v="7.7255000000000003"/>
    <n v="647.20730049834958"/>
    <n v="800"/>
    <n v="0"/>
    <n v="517766"/>
    <n v="517766"/>
    <n v="7"/>
    <x v="6"/>
    <x v="2"/>
    <n v="0"/>
  </r>
  <r>
    <n v="77"/>
    <s v="Fang"/>
    <s v="Liu"/>
    <x v="1"/>
    <s v="July"/>
    <x v="1"/>
    <s v="20 mph"/>
    <s v="20 mph"/>
    <s v="35 mph"/>
    <s v="40 miles"/>
    <n v="32"/>
    <n v="56"/>
    <s v="32 – 56 km/h"/>
    <n v="64"/>
    <s v="100 Nanjing Road, Shanghai, 200001"/>
    <s v="100 Nanjing Road"/>
    <s v="Shanghai"/>
    <s v="200001"/>
    <s v="CN"/>
    <x v="1"/>
    <x v="0"/>
    <s v="¥3,500"/>
    <s v="CNY"/>
    <n v="3500"/>
    <n v="7.7255000000000003"/>
    <n v="453.04511034884473"/>
    <n v="1800"/>
    <n v="0"/>
    <n v="815481"/>
    <n v="815481"/>
    <n v="7"/>
    <x v="6"/>
    <x v="2"/>
    <n v="0"/>
  </r>
  <r>
    <n v="78"/>
    <s v="Fang"/>
    <s v="Liu"/>
    <x v="1"/>
    <s v="July"/>
    <x v="2"/>
    <s v="18 mph"/>
    <s v="18 mph"/>
    <s v="28 mph"/>
    <s v="25 miles"/>
    <n v="29"/>
    <n v="45"/>
    <s v="29 – 45 km/h"/>
    <n v="40"/>
    <s v="101 Nanjing Road, Shanghai, 200001"/>
    <s v="101 Nanjing Road"/>
    <s v="Shanghai"/>
    <s v="200001"/>
    <s v="CN"/>
    <x v="1"/>
    <x v="0"/>
    <s v="¥4,200"/>
    <s v="CNY"/>
    <n v="4200"/>
    <n v="7.7255000000000003"/>
    <n v="543.6541324186137"/>
    <n v="1200"/>
    <n v="0"/>
    <n v="652385"/>
    <n v="652385"/>
    <n v="7"/>
    <x v="6"/>
    <x v="2"/>
    <n v="0"/>
  </r>
  <r>
    <n v="79"/>
    <s v="Jonas"/>
    <s v="Fischer"/>
    <x v="2"/>
    <s v="July"/>
    <x v="0"/>
    <s v="15 mph"/>
    <s v="15 mph"/>
    <s v="30 mph"/>
    <s v="30 miles"/>
    <n v="24"/>
    <n v="48"/>
    <s v="24 – 48 km/h"/>
    <n v="48"/>
    <s v="303 Ringstraße, Hamburg, 20095"/>
    <s v="303 Ringstraße"/>
    <s v="Hamburg"/>
    <s v="20095"/>
    <s v="DE"/>
    <x v="2"/>
    <x v="1"/>
    <s v="€1000"/>
    <s v="EUR"/>
    <n v="1000"/>
    <n v="1"/>
    <n v="1000"/>
    <n v="200"/>
    <n v="0"/>
    <n v="200000"/>
    <n v="200000"/>
    <n v="7"/>
    <x v="6"/>
    <x v="2"/>
    <n v="0"/>
  </r>
  <r>
    <n v="80"/>
    <s v="Jonas"/>
    <s v="Fischer"/>
    <x v="2"/>
    <s v="July"/>
    <x v="1"/>
    <s v="20 mph"/>
    <s v="20 mph"/>
    <s v="35 mph"/>
    <s v="40 miles"/>
    <n v="32"/>
    <n v="56"/>
    <s v="32 – 56 km/h"/>
    <n v="64"/>
    <s v="304 Ringstraße, Hamburg, 20095"/>
    <s v="304 Ringstraße"/>
    <s v="Hamburg"/>
    <s v="20095"/>
    <s v="DE"/>
    <x v="2"/>
    <x v="1"/>
    <s v="€800"/>
    <s v="EUR"/>
    <n v="800"/>
    <n v="1"/>
    <n v="800"/>
    <n v="350"/>
    <n v="0"/>
    <n v="280000"/>
    <n v="280000"/>
    <n v="7"/>
    <x v="6"/>
    <x v="2"/>
    <n v="0"/>
  </r>
  <r>
    <n v="81"/>
    <s v="Jonas"/>
    <s v="Fischer"/>
    <x v="2"/>
    <s v="July"/>
    <x v="2"/>
    <s v="18 mph"/>
    <s v="18 mph"/>
    <s v="28 mph"/>
    <s v="25 miles"/>
    <n v="29"/>
    <n v="45"/>
    <s v="29 – 45 km/h"/>
    <n v="40"/>
    <s v="305 Ringstraße, Hamburg, 20095"/>
    <s v="305 Ringstraße"/>
    <s v="Hamburg"/>
    <s v="20095"/>
    <s v="DE"/>
    <x v="2"/>
    <x v="1"/>
    <s v="€950"/>
    <s v="EUR"/>
    <n v="950"/>
    <n v="1"/>
    <n v="950"/>
    <n v="250"/>
    <n v="0"/>
    <n v="237500"/>
    <n v="237500"/>
    <n v="7"/>
    <x v="6"/>
    <x v="2"/>
    <n v="0"/>
  </r>
  <r>
    <n v="82"/>
    <s v="Théo"/>
    <s v="Bernard"/>
    <x v="3"/>
    <s v="July"/>
    <x v="0"/>
    <s v="15 mph"/>
    <s v="15 mph"/>
    <s v="30 mph"/>
    <s v="30 miles"/>
    <n v="24"/>
    <n v="48"/>
    <s v="24 – 48 km/h"/>
    <n v="48"/>
    <s v="56 Boulevard Saint-Germain, Paris, 75005"/>
    <s v="56 Boulevard Saint-Germain"/>
    <s v="Paris"/>
    <s v="75005"/>
    <s v="FR"/>
    <x v="3"/>
    <x v="1"/>
    <s v="€1100"/>
    <s v="EUR"/>
    <n v="1100"/>
    <n v="1"/>
    <n v="1100"/>
    <n v="160"/>
    <n v="0"/>
    <n v="176000"/>
    <n v="176000"/>
    <n v="7"/>
    <x v="6"/>
    <x v="2"/>
    <n v="0"/>
  </r>
  <r>
    <n v="83"/>
    <s v="Théo"/>
    <s v="Bernard"/>
    <x v="3"/>
    <s v="July"/>
    <x v="1"/>
    <s v="20 mph"/>
    <s v="20 mph"/>
    <s v="35 mph"/>
    <s v="40 miles"/>
    <n v="32"/>
    <n v="56"/>
    <s v="32 – 56 km/h"/>
    <n v="64"/>
    <s v="57 Boulevard Saint-Germain, Paris, 75005"/>
    <s v="57 Boulevard Saint-Germain"/>
    <s v="Paris"/>
    <s v="75005"/>
    <s v="FR"/>
    <x v="3"/>
    <x v="1"/>
    <s v="€900"/>
    <s v="EUR"/>
    <n v="900"/>
    <n v="1"/>
    <n v="900"/>
    <n v="320"/>
    <n v="0"/>
    <n v="288000"/>
    <n v="288000"/>
    <n v="7"/>
    <x v="6"/>
    <x v="2"/>
    <n v="0"/>
  </r>
  <r>
    <n v="84"/>
    <s v="Théo"/>
    <s v="Bernard"/>
    <x v="3"/>
    <s v="July"/>
    <x v="2"/>
    <s v="18 mph"/>
    <s v="18 mph"/>
    <s v="28 mph"/>
    <s v="25 miles"/>
    <n v="29"/>
    <n v="45"/>
    <s v="29 – 45 km/h"/>
    <n v="40"/>
    <s v="58 Boulevard Saint-Germain, Paris, 75005"/>
    <s v="58 Boulevard Saint-Germain"/>
    <s v="Paris"/>
    <s v="75005"/>
    <s v="FR"/>
    <x v="3"/>
    <x v="1"/>
    <s v="€1050"/>
    <s v="EUR"/>
    <n v="1050"/>
    <n v="1"/>
    <n v="1050"/>
    <n v="300"/>
    <n v="0"/>
    <n v="315000"/>
    <n v="315000"/>
    <n v="7"/>
    <x v="6"/>
    <x v="2"/>
    <n v="0"/>
  </r>
  <r>
    <n v="85"/>
    <s v="Sanya"/>
    <s v="Joshi"/>
    <x v="0"/>
    <s v="August"/>
    <x v="0"/>
    <s v="15 mph"/>
    <s v="15 mph"/>
    <s v="30 mph"/>
    <s v="30 miles"/>
    <n v="24"/>
    <n v="48"/>
    <s v="24 – 48 km/h"/>
    <n v="48"/>
    <s v="456 Brigade Road, Bengaluru, 560001"/>
    <s v="456 Brigade Road"/>
    <s v="Bengaluru"/>
    <s v="560001"/>
    <s v="IN"/>
    <x v="0"/>
    <x v="0"/>
    <s v="₹30,000"/>
    <s v="INR"/>
    <n v="30000"/>
    <n v="109.88200000000001"/>
    <n v="273.02014888698784"/>
    <n v="200"/>
    <n v="0"/>
    <n v="54604"/>
    <n v="54604"/>
    <n v="8"/>
    <x v="7"/>
    <x v="2"/>
    <n v="0"/>
  </r>
  <r>
    <n v="86"/>
    <s v="Sanya"/>
    <s v="Joshi"/>
    <x v="0"/>
    <s v="August"/>
    <x v="1"/>
    <s v="20 mph"/>
    <s v="20 mph"/>
    <s v="35 mph"/>
    <s v="40 miles"/>
    <n v="32"/>
    <n v="56"/>
    <s v="32 – 56 km/h"/>
    <n v="64"/>
    <s v="457 Brigade Road, Bengaluru, 560001"/>
    <s v="457 Brigade Road"/>
    <s v="Bengaluru"/>
    <s v="560001"/>
    <s v="IN"/>
    <x v="0"/>
    <x v="0"/>
    <s v="₹25,000"/>
    <s v="INR"/>
    <n v="25000"/>
    <n v="109.88200000000001"/>
    <n v="227.51679073915653"/>
    <n v="450"/>
    <n v="0"/>
    <n v="102383"/>
    <n v="102383"/>
    <n v="8"/>
    <x v="7"/>
    <x v="2"/>
    <n v="0"/>
  </r>
  <r>
    <n v="87"/>
    <s v="Sanya"/>
    <s v="Joshi"/>
    <x v="0"/>
    <s v="August"/>
    <x v="2"/>
    <s v="18 mph"/>
    <s v="18 mph"/>
    <s v="28 mph"/>
    <s v="40,230 meters"/>
    <n v="29"/>
    <n v="45"/>
    <s v="29 – 45 km/h"/>
    <n v="40"/>
    <s v="458 Brigade Road, Bengaluru, 560001"/>
    <s v="458 Brigade Road"/>
    <s v="Bengaluru"/>
    <s v="560001"/>
    <s v="IN"/>
    <x v="0"/>
    <x v="0"/>
    <s v="₹22,000"/>
    <s v="INR"/>
    <n v="22000"/>
    <n v="109.88200000000001"/>
    <n v="200.21477585045776"/>
    <n v="350"/>
    <n v="0"/>
    <n v="70075"/>
    <n v="70075"/>
    <n v="8"/>
    <x v="7"/>
    <x v="2"/>
    <n v="0"/>
  </r>
  <r>
    <n v="88"/>
    <s v="Fang"/>
    <s v="Liu"/>
    <x v="1"/>
    <s v="August"/>
    <x v="0"/>
    <m/>
    <s v="15 mph"/>
    <s v="30 mph"/>
    <s v="30 miles"/>
    <n v="24"/>
    <n v="48"/>
    <s v="24 – 48 km/h"/>
    <n v="48"/>
    <s v="99 Nanjing Road, Shanghai, 200001"/>
    <s v="99 Nanjing Road"/>
    <s v="Shanghai"/>
    <s v="200001"/>
    <s v="CN"/>
    <x v="1"/>
    <x v="0"/>
    <s v="¥5,000"/>
    <s v="CNY"/>
    <n v="5000"/>
    <n v="7.7255000000000003"/>
    <n v="647.20730049834958"/>
    <n v="700"/>
    <n v="0"/>
    <n v="453045"/>
    <n v="453045"/>
    <n v="8"/>
    <x v="7"/>
    <x v="2"/>
    <n v="0"/>
  </r>
  <r>
    <n v="89"/>
    <s v="Fang"/>
    <s v="Liu"/>
    <x v="1"/>
    <s v="August"/>
    <x v="1"/>
    <s v="20 mph"/>
    <s v="20 mph"/>
    <s v="35 mph"/>
    <s v="40 miles"/>
    <n v="32"/>
    <n v="56"/>
    <s v="32 – 56 km/h"/>
    <n v="64"/>
    <s v="100 Nanjing Road, Shanghai, 200001"/>
    <s v="100 Nanjing Road"/>
    <s v="Shanghai"/>
    <s v="200001"/>
    <s v="CN"/>
    <x v="1"/>
    <x v="0"/>
    <s v="¥3,500"/>
    <s v="CNY"/>
    <n v="3500"/>
    <n v="7.7255000000000003"/>
    <n v="453.04511034884473"/>
    <n v="1600"/>
    <n v="0"/>
    <n v="724872"/>
    <n v="724872"/>
    <n v="8"/>
    <x v="7"/>
    <x v="2"/>
    <n v="0"/>
  </r>
  <r>
    <n v="90"/>
    <s v="Fang"/>
    <s v="Liu"/>
    <x v="1"/>
    <s v="August"/>
    <x v="2"/>
    <s v="18 mph"/>
    <s v="18 mph"/>
    <s v="28 mph"/>
    <s v="25 miles"/>
    <n v="29"/>
    <n v="45"/>
    <s v="29 – 45 km/h"/>
    <n v="40"/>
    <s v="101 Nanjing Road, Shanghai, 200001"/>
    <s v="101 Nanjing Road"/>
    <s v="Shanghai"/>
    <s v="200001"/>
    <s v="CN"/>
    <x v="1"/>
    <x v="0"/>
    <s v="¥4,200"/>
    <s v="CNY"/>
    <n v="4200"/>
    <n v="7.7255000000000003"/>
    <n v="543.6541324186137"/>
    <n v="1000"/>
    <n v="0"/>
    <n v="543654"/>
    <n v="543654"/>
    <n v="8"/>
    <x v="7"/>
    <x v="2"/>
    <n v="0"/>
  </r>
  <r>
    <n v="91"/>
    <s v="Jonas"/>
    <s v="Fischer"/>
    <x v="2"/>
    <s v="August"/>
    <x v="0"/>
    <s v="15 mph"/>
    <s v="15 mph"/>
    <s v="30 mph"/>
    <s v="30 miles"/>
    <n v="24"/>
    <n v="48"/>
    <s v="24 – 48 km/h"/>
    <n v="48"/>
    <s v="303 Ringstraße, Hamburg, 20095"/>
    <s v="303 Ringstraße"/>
    <s v="Hamburg"/>
    <s v="20095"/>
    <s v="DE"/>
    <x v="2"/>
    <x v="1"/>
    <s v="€1000"/>
    <s v="EUR"/>
    <n v="1000"/>
    <n v="1"/>
    <n v="1000"/>
    <n v="180"/>
    <n v="0"/>
    <n v="180000"/>
    <n v="180000"/>
    <n v="8"/>
    <x v="7"/>
    <x v="2"/>
    <n v="0"/>
  </r>
  <r>
    <n v="92"/>
    <s v="Jonas"/>
    <s v="Fischer"/>
    <x v="2"/>
    <s v="August"/>
    <x v="1"/>
    <s v="20 mph"/>
    <s v="20 mph"/>
    <s v="35 mph"/>
    <s v="64,370 meters"/>
    <n v="32"/>
    <n v="56"/>
    <s v="32 – 56 km/h"/>
    <n v="64"/>
    <s v="304 Ringstraße, Hamburg, 20095"/>
    <s v="304 Ringstraße"/>
    <s v="Hamburg"/>
    <s v="20095"/>
    <s v="DE"/>
    <x v="2"/>
    <x v="1"/>
    <s v="€800"/>
    <s v="EUR"/>
    <n v="800"/>
    <n v="1"/>
    <n v="800"/>
    <n v="300"/>
    <n v="0"/>
    <n v="240000"/>
    <n v="240000"/>
    <n v="8"/>
    <x v="7"/>
    <x v="2"/>
    <n v="0"/>
  </r>
  <r>
    <n v="93"/>
    <s v="Jonas"/>
    <s v="Fischer"/>
    <x v="2"/>
    <s v="August"/>
    <x v="2"/>
    <s v="18 mph"/>
    <s v="18 mph"/>
    <s v="28 mph"/>
    <s v="25 miles"/>
    <n v="29"/>
    <n v="45"/>
    <s v="29 – 45 km/h"/>
    <n v="40"/>
    <s v="305 Ringstraße, Hamburg, 20095"/>
    <s v="305 Ringstraße"/>
    <s v="Hamburg"/>
    <s v="20095"/>
    <s v="DE"/>
    <x v="2"/>
    <x v="1"/>
    <s v="€950"/>
    <s v="EUR"/>
    <n v="950"/>
    <n v="1"/>
    <n v="950"/>
    <n v="230"/>
    <n v="0"/>
    <n v="218500"/>
    <n v="218500"/>
    <n v="8"/>
    <x v="7"/>
    <x v="2"/>
    <n v="0"/>
  </r>
  <r>
    <n v="94"/>
    <s v="Théo"/>
    <s v="Bernard"/>
    <x v="3"/>
    <s v="August"/>
    <x v="0"/>
    <s v="15 mph"/>
    <s v="15 mph"/>
    <s v="30 mph"/>
    <s v="30 miles"/>
    <n v="24"/>
    <n v="48"/>
    <s v="24 – 48 km/h"/>
    <n v="48"/>
    <s v="56 Boulevard Saint-Germain, Paris, 75005"/>
    <s v="56 Boulevard Saint-Germain"/>
    <s v="Paris"/>
    <s v="75005"/>
    <s v="FR"/>
    <x v="3"/>
    <x v="1"/>
    <s v="€1100"/>
    <s v="EUR"/>
    <n v="1100"/>
    <n v="1"/>
    <n v="1100"/>
    <n v="150"/>
    <n v="0"/>
    <n v="165000"/>
    <n v="165000"/>
    <n v="8"/>
    <x v="7"/>
    <x v="2"/>
    <n v="0"/>
  </r>
  <r>
    <n v="95"/>
    <s v="Théo"/>
    <s v="Bernard"/>
    <x v="3"/>
    <s v="August"/>
    <x v="1"/>
    <s v="20 mph"/>
    <s v="20 mph"/>
    <s v="35 mph"/>
    <s v="40 miles"/>
    <n v="32"/>
    <n v="56"/>
    <s v="32 – 56 km/h"/>
    <n v="64"/>
    <s v="57 Boulevard Saint-Germain, Paris, 75005"/>
    <s v="57 Boulevard Saint-Germain"/>
    <s v="Paris"/>
    <s v="75005"/>
    <s v="FR"/>
    <x v="3"/>
    <x v="1"/>
    <s v="€900"/>
    <s v="EUR"/>
    <n v="900"/>
    <n v="1"/>
    <n v="900"/>
    <n v="280"/>
    <n v="0"/>
    <n v="252000"/>
    <n v="252000"/>
    <n v="8"/>
    <x v="7"/>
    <x v="2"/>
    <n v="0"/>
  </r>
  <r>
    <n v="96"/>
    <s v="Théo"/>
    <s v="Bernard"/>
    <x v="3"/>
    <s v="August"/>
    <x v="2"/>
    <s v="18 mph"/>
    <s v="18 mph"/>
    <s v="28 mph"/>
    <s v="25 miles"/>
    <n v="29"/>
    <n v="45"/>
    <s v="29 – 45 km/h"/>
    <n v="40"/>
    <s v="58 Boulevard Saint-Germain, Paris, 75005"/>
    <s v="58 Boulevard Saint-Germain"/>
    <s v="Paris"/>
    <s v="75005"/>
    <s v="FR"/>
    <x v="3"/>
    <x v="1"/>
    <s v="€1050"/>
    <s v="EUR"/>
    <n v="1050"/>
    <n v="1"/>
    <n v="1050"/>
    <n v="290"/>
    <n v="0"/>
    <n v="304500"/>
    <n v="304500"/>
    <n v="8"/>
    <x v="7"/>
    <x v="2"/>
    <n v="0"/>
  </r>
  <r>
    <n v="97"/>
    <s v="Sanya"/>
    <s v="Joshi"/>
    <x v="0"/>
    <s v="September"/>
    <x v="0"/>
    <s v="15 mph"/>
    <s v="15 mph"/>
    <s v="30 mph"/>
    <s v="30 miles"/>
    <n v="24"/>
    <n v="48"/>
    <s v="24 – 48 km/h"/>
    <n v="48"/>
    <s v="456 Brigade Road, Bengaluru, 560001"/>
    <s v="456 Brigade Road"/>
    <s v="Bengaluru"/>
    <s v="560001"/>
    <s v="IN"/>
    <x v="0"/>
    <x v="0"/>
    <s v="₹30,000"/>
    <s v="INR"/>
    <n v="30000"/>
    <n v="109.88200000000001"/>
    <n v="273.02014888698784"/>
    <n v="180"/>
    <n v="0"/>
    <n v="49144"/>
    <n v="49144"/>
    <n v="9"/>
    <x v="8"/>
    <x v="2"/>
    <n v="0"/>
  </r>
  <r>
    <n v="98"/>
    <s v="Sanya"/>
    <s v="Joshi"/>
    <x v="0"/>
    <s v="September"/>
    <x v="1"/>
    <s v="20 mph"/>
    <s v="20 mph"/>
    <s v="35 mph"/>
    <s v="40 miles"/>
    <n v="32"/>
    <n v="56"/>
    <s v="32 – 56 km/h"/>
    <n v="64"/>
    <s v="457 Brigade Road, Bengaluru, 560001"/>
    <s v="457 Brigade Road"/>
    <s v="Bengaluru"/>
    <s v="560001"/>
    <s v="IN"/>
    <x v="0"/>
    <x v="0"/>
    <s v="₹25,000"/>
    <s v="INR"/>
    <n v="25000"/>
    <n v="109.88200000000001"/>
    <n v="227.51679073915653"/>
    <n v="500"/>
    <n v="0"/>
    <n v="113758"/>
    <n v="113758"/>
    <n v="9"/>
    <x v="8"/>
    <x v="2"/>
    <n v="0"/>
  </r>
  <r>
    <n v="99"/>
    <s v="Sanya"/>
    <s v="Joshi"/>
    <x v="0"/>
    <s v="September"/>
    <x v="2"/>
    <s v="18 mph"/>
    <s v="18 mph"/>
    <s v="28 mph"/>
    <s v="25 miles"/>
    <n v="29"/>
    <n v="45"/>
    <s v="29 – 45 km/h"/>
    <n v="40"/>
    <s v="458 Brigade Road, Bengaluru, 560001"/>
    <s v="458 Brigade Road"/>
    <s v="Bengaluru"/>
    <s v="560001"/>
    <s v="IN"/>
    <x v="0"/>
    <x v="0"/>
    <s v="₹22,000"/>
    <s v="INR"/>
    <n v="22000"/>
    <n v="109.88200000000001"/>
    <n v="200.21477585045776"/>
    <n v="300"/>
    <n v="0"/>
    <n v="60064"/>
    <n v="60064"/>
    <n v="9"/>
    <x v="8"/>
    <x v="2"/>
    <n v="0"/>
  </r>
  <r>
    <n v="100"/>
    <s v="Fang"/>
    <s v="Liu"/>
    <x v="1"/>
    <s v="September"/>
    <x v="0"/>
    <s v="15 mph"/>
    <s v="15 mph"/>
    <s v="30 mph"/>
    <s v="30 miles"/>
    <n v="24"/>
    <n v="48"/>
    <s v="24 – 48 km/h"/>
    <n v="48"/>
    <s v="99 Nanjing Road, Shanghai, 200001"/>
    <s v="99 Nanjing Road"/>
    <s v="Shanghai"/>
    <s v="200001"/>
    <s v="CN"/>
    <x v="1"/>
    <x v="0"/>
    <s v="¥5,000"/>
    <s v="CNY"/>
    <n v="5000"/>
    <n v="7.7255000000000003"/>
    <n v="647.20730049834958"/>
    <n v="600"/>
    <n v="0"/>
    <n v="388324"/>
    <n v="388324"/>
    <n v="9"/>
    <x v="8"/>
    <x v="2"/>
    <n v="0"/>
  </r>
  <r>
    <n v="101"/>
    <s v="Fang"/>
    <s v="Liu"/>
    <x v="1"/>
    <s v="September"/>
    <x v="1"/>
    <s v="20 mph"/>
    <s v="20 mph"/>
    <s v="35 mph"/>
    <s v="40 miles"/>
    <n v="32"/>
    <n v="56"/>
    <s v="32 – 56 km/h"/>
    <n v="64"/>
    <s v="100 Nanjing Road, Shanghai, 200001"/>
    <s v="100 Nanjing Road"/>
    <s v="Shanghai"/>
    <s v="200001"/>
    <s v="CN"/>
    <x v="1"/>
    <x v="0"/>
    <s v="¥3,500"/>
    <s v="CNY"/>
    <n v="3500"/>
    <n v="7.7255000000000003"/>
    <n v="453.04511034884473"/>
    <n v="1400"/>
    <n v="0"/>
    <n v="634263"/>
    <n v="634263"/>
    <n v="9"/>
    <x v="8"/>
    <x v="2"/>
    <n v="0"/>
  </r>
  <r>
    <n v="102"/>
    <s v="Fang"/>
    <s v="Liu"/>
    <x v="1"/>
    <s v="September"/>
    <x v="2"/>
    <s v="18 mph"/>
    <s v="18 mph"/>
    <s v="28 mph"/>
    <s v="25 miles"/>
    <n v="29"/>
    <n v="45"/>
    <s v="29 – 45 km/h"/>
    <n v="40"/>
    <s v="101 Nanjing Road, Shanghai, 200001"/>
    <s v="101 Nanjing Road"/>
    <s v="Shanghai"/>
    <s v="200001"/>
    <s v="CN"/>
    <x v="1"/>
    <x v="0"/>
    <s v="¥4,200"/>
    <s v="CNY"/>
    <n v="4200"/>
    <n v="7.7255000000000003"/>
    <n v="543.6541324186137"/>
    <n v="850"/>
    <n v="0"/>
    <n v="462106"/>
    <n v="462106"/>
    <n v="9"/>
    <x v="8"/>
    <x v="2"/>
    <n v="0"/>
  </r>
  <r>
    <n v="103"/>
    <s v="Jonas"/>
    <s v="Fischer"/>
    <x v="2"/>
    <s v="September"/>
    <x v="0"/>
    <s v="15 mph"/>
    <s v="15 mph"/>
    <s v="30 mph"/>
    <s v="48,280 meters"/>
    <n v="24"/>
    <n v="48"/>
    <s v="24 – 48 km/h"/>
    <n v="48"/>
    <s v="303 Ringstraße, Hamburg, 20095"/>
    <s v="303 Ringstraße"/>
    <s v="Hamburg"/>
    <s v="20095"/>
    <s v="DE"/>
    <x v="2"/>
    <x v="1"/>
    <s v="€1000"/>
    <s v="EUR"/>
    <n v="1000"/>
    <n v="1"/>
    <n v="1000"/>
    <n v="160"/>
    <n v="0"/>
    <n v="160000"/>
    <n v="160000"/>
    <n v="9"/>
    <x v="8"/>
    <x v="2"/>
    <n v="0"/>
  </r>
  <r>
    <n v="104"/>
    <s v="Jonas"/>
    <s v="Fischer"/>
    <x v="2"/>
    <s v="September"/>
    <x v="1"/>
    <s v="20 mph"/>
    <s v="20 mph"/>
    <s v="35 mph"/>
    <s v="40 miles"/>
    <n v="32"/>
    <n v="56"/>
    <s v="32 – 56 km/h"/>
    <n v="64"/>
    <s v="304 Ringstraße, Hamburg, 20095"/>
    <s v="304 Ringstraße"/>
    <s v="Hamburg"/>
    <s v="20095"/>
    <s v="DE"/>
    <x v="2"/>
    <x v="1"/>
    <s v="€800"/>
    <s v="EUR"/>
    <n v="800"/>
    <n v="1"/>
    <n v="800"/>
    <n v="320"/>
    <n v="0"/>
    <n v="256000"/>
    <n v="256000"/>
    <n v="9"/>
    <x v="8"/>
    <x v="2"/>
    <n v="0"/>
  </r>
  <r>
    <n v="105"/>
    <s v="Jonas"/>
    <s v="Fischer"/>
    <x v="2"/>
    <s v="September"/>
    <x v="2"/>
    <s v="18 mph"/>
    <s v="18 mph"/>
    <s v="28 mph"/>
    <s v="25 miles"/>
    <n v="29"/>
    <n v="45"/>
    <s v="29 – 45 km/h"/>
    <n v="40"/>
    <s v="305 Ringstraße, Hamburg, 20095"/>
    <s v="305 Ringstraße"/>
    <s v="Hamburg"/>
    <s v="20095"/>
    <s v="DE"/>
    <x v="2"/>
    <x v="1"/>
    <s v="€950"/>
    <s v="EUR"/>
    <n v="950"/>
    <n v="1"/>
    <n v="950"/>
    <n v="250"/>
    <n v="0"/>
    <n v="237500"/>
    <n v="237500"/>
    <n v="9"/>
    <x v="8"/>
    <x v="2"/>
    <n v="0"/>
  </r>
  <r>
    <n v="106"/>
    <s v="Théo"/>
    <s v="Bernard"/>
    <x v="3"/>
    <s v="September"/>
    <x v="0"/>
    <s v="15 mph"/>
    <s v="15 mph"/>
    <s v="30 mph"/>
    <s v="30 miles"/>
    <n v="24"/>
    <n v="48"/>
    <s v="24 – 48 km/h"/>
    <n v="48"/>
    <s v="56 Boulevard Saint-Germain, Paris, 75005"/>
    <s v="56 Boulevard Saint-Germain"/>
    <s v="Paris"/>
    <s v="75005"/>
    <s v="FR"/>
    <x v="3"/>
    <x v="1"/>
    <s v="€1100"/>
    <s v="EUR"/>
    <n v="1100"/>
    <n v="1"/>
    <n v="1100"/>
    <n v="140"/>
    <n v="0"/>
    <n v="154000"/>
    <n v="154000"/>
    <n v="9"/>
    <x v="8"/>
    <x v="2"/>
    <n v="0"/>
  </r>
  <r>
    <n v="107"/>
    <s v="Théo"/>
    <s v="Bernard"/>
    <x v="3"/>
    <s v="September"/>
    <x v="1"/>
    <s v="20 mph"/>
    <s v="20 mph"/>
    <s v="35 mph"/>
    <s v="40 miles"/>
    <n v="32"/>
    <n v="56"/>
    <s v="32 – 56 km/h"/>
    <n v="64"/>
    <s v="57 Boulevard Saint-Germain, Paris, 75005"/>
    <s v="57 Boulevard Saint-Germain"/>
    <s v="Paris"/>
    <s v="75005"/>
    <s v="FR"/>
    <x v="3"/>
    <x v="1"/>
    <s v="€900"/>
    <s v="EUR"/>
    <n v="900"/>
    <n v="1"/>
    <n v="900"/>
    <n v="310"/>
    <n v="0"/>
    <n v="279000"/>
    <n v="279000"/>
    <n v="9"/>
    <x v="8"/>
    <x v="2"/>
    <n v="0"/>
  </r>
  <r>
    <n v="108"/>
    <s v="Théo"/>
    <s v="Bernard"/>
    <x v="3"/>
    <s v="September"/>
    <x v="2"/>
    <s v="18 mph"/>
    <s v="18 mph"/>
    <s v="28 mph"/>
    <s v="25 miles"/>
    <n v="29"/>
    <n v="45"/>
    <s v="29 – 45 km/h"/>
    <n v="40"/>
    <s v="58 Boulevard Saint-Germain, Paris, 75005"/>
    <s v="58 Boulevard Saint-Germain"/>
    <s v="Paris"/>
    <s v="75005"/>
    <s v="FR"/>
    <x v="3"/>
    <x v="1"/>
    <s v="€1050"/>
    <s v="EUR"/>
    <n v="1050"/>
    <n v="1"/>
    <n v="1050"/>
    <n v="280"/>
    <n v="0"/>
    <n v="294000"/>
    <n v="294000"/>
    <n v="9"/>
    <x v="8"/>
    <x v="2"/>
    <n v="0"/>
  </r>
  <r>
    <n v="109"/>
    <s v="Sanya"/>
    <s v="Joshi"/>
    <x v="0"/>
    <s v="October"/>
    <x v="0"/>
    <s v="15 mph"/>
    <s v="15 mph"/>
    <s v="30 mph"/>
    <s v="30 miles"/>
    <n v="24"/>
    <n v="48"/>
    <s v="24 – 48 km/h"/>
    <n v="48"/>
    <s v="456 Brigade Road, Bengaluru, 560001"/>
    <s v="456 Brigade Road"/>
    <s v="Bengaluru"/>
    <s v="560001"/>
    <s v="IN"/>
    <x v="0"/>
    <x v="0"/>
    <s v="₹30,000"/>
    <s v="INR"/>
    <n v="30000"/>
    <n v="109.88200000000001"/>
    <n v="273.02014888698784"/>
    <n v="150"/>
    <n v="0"/>
    <n v="40953"/>
    <n v="40953"/>
    <n v="10"/>
    <x v="9"/>
    <x v="3"/>
    <n v="0"/>
  </r>
  <r>
    <n v="110"/>
    <s v="Sanya"/>
    <s v="Joshi"/>
    <x v="0"/>
    <s v="October"/>
    <x v="1"/>
    <s v="20 mph"/>
    <s v="20 mph"/>
    <s v="35 mph"/>
    <s v="40 miles"/>
    <n v="32"/>
    <n v="56"/>
    <s v="32 – 56 km/h"/>
    <n v="64"/>
    <s v="457 Brigade Road, Bengaluru, 560001"/>
    <s v="457 Brigade Road"/>
    <s v="Bengaluru"/>
    <s v="560001"/>
    <s v="IN"/>
    <x v="0"/>
    <x v="0"/>
    <s v="₹25,000"/>
    <s v="INR"/>
    <n v="25000"/>
    <n v="109.88200000000001"/>
    <n v="227.51679073915653"/>
    <n v="400"/>
    <n v="0"/>
    <n v="91007"/>
    <n v="91007"/>
    <n v="10"/>
    <x v="9"/>
    <x v="3"/>
    <n v="0"/>
  </r>
  <r>
    <n v="111"/>
    <s v="Sanya"/>
    <s v="Joshi"/>
    <x v="0"/>
    <s v="October"/>
    <x v="2"/>
    <s v="18 mph"/>
    <s v="18 mph"/>
    <s v="28 mph"/>
    <s v="40,230 meters"/>
    <n v="29"/>
    <n v="45"/>
    <s v="29 – 45 km/h"/>
    <n v="40"/>
    <s v="458 Brigade Road, Bengaluru, 560001"/>
    <s v="458 Brigade Road"/>
    <s v="Bengaluru"/>
    <s v="560001"/>
    <s v="IN"/>
    <x v="0"/>
    <x v="0"/>
    <s v="₹22,000"/>
    <s v="INR"/>
    <n v="22000"/>
    <n v="109.88200000000001"/>
    <n v="200.21477585045776"/>
    <n v="280"/>
    <n v="0"/>
    <n v="56060"/>
    <n v="56060"/>
    <n v="10"/>
    <x v="9"/>
    <x v="3"/>
    <n v="0"/>
  </r>
  <r>
    <n v="112"/>
    <s v="Fang"/>
    <s v="Liu"/>
    <x v="1"/>
    <s v="October"/>
    <x v="0"/>
    <s v="15 mph"/>
    <s v="15 mph"/>
    <s v="30 mph"/>
    <s v="30 miles"/>
    <n v="24"/>
    <n v="48"/>
    <s v="24 – 48 km/h"/>
    <n v="48"/>
    <s v="99 Nanjing Road, Shanghai, 200001"/>
    <s v="99 Nanjing Road"/>
    <s v="Shanghai"/>
    <s v="200001"/>
    <s v="CN"/>
    <x v="1"/>
    <x v="0"/>
    <s v="¥5,000"/>
    <s v="CNY"/>
    <n v="5000"/>
    <n v="7.7255000000000003"/>
    <n v="647.20730049834958"/>
    <n v="550"/>
    <n v="0"/>
    <n v="355964"/>
    <n v="355964"/>
    <n v="10"/>
    <x v="9"/>
    <x v="3"/>
    <n v="0"/>
  </r>
  <r>
    <n v="113"/>
    <s v="Fang"/>
    <s v="Liu"/>
    <x v="1"/>
    <s v="October"/>
    <x v="1"/>
    <s v="20 mph"/>
    <s v="20 mph"/>
    <s v="35 mph"/>
    <s v="40 miles"/>
    <n v="32"/>
    <n v="56"/>
    <s v="32 – 56 km/h"/>
    <n v="64"/>
    <s v="100 Nanjing Road, Shanghai, 200001"/>
    <s v="100 Nanjing Road"/>
    <s v="Shanghai"/>
    <s v="200001"/>
    <s v="CN"/>
    <x v="1"/>
    <x v="0"/>
    <s v="¥3,500"/>
    <s v="CNY"/>
    <n v="3500"/>
    <n v="7.7255000000000003"/>
    <n v="453.04511034884473"/>
    <n v="1300"/>
    <n v="0"/>
    <n v="588959"/>
    <n v="588959"/>
    <n v="10"/>
    <x v="9"/>
    <x v="3"/>
    <n v="0"/>
  </r>
  <r>
    <n v="114"/>
    <s v="Fang"/>
    <s v="Liu"/>
    <x v="1"/>
    <s v="October"/>
    <x v="2"/>
    <s v="18 mph"/>
    <s v="18 mph"/>
    <s v="28 mph"/>
    <s v="25 miles"/>
    <n v="29"/>
    <n v="45"/>
    <s v="29 – 45 km/h"/>
    <n v="40"/>
    <s v="101 Nanjing Road, Shanghai, 200001"/>
    <s v="101 Nanjing Road"/>
    <s v="Shanghai"/>
    <s v="200001"/>
    <s v="CN"/>
    <x v="1"/>
    <x v="0"/>
    <s v="¥4,200"/>
    <s v="CNY"/>
    <n v="4200"/>
    <n v="7.7255000000000003"/>
    <n v="543.6541324186137"/>
    <n v="750"/>
    <n v="0"/>
    <n v="407741"/>
    <n v="407741"/>
    <n v="10"/>
    <x v="9"/>
    <x v="3"/>
    <n v="0"/>
  </r>
  <r>
    <n v="115"/>
    <s v="Jonas"/>
    <s v="Fischer"/>
    <x v="2"/>
    <s v="October"/>
    <x v="0"/>
    <s v="15 mph"/>
    <s v="15 mph"/>
    <s v="30 mph"/>
    <s v="30 miles"/>
    <n v="24"/>
    <n v="48"/>
    <s v="24 – 48 km/h"/>
    <n v="48"/>
    <s v="303 Ringstraße, Hamburg, 20095"/>
    <s v="303 Ringstraße"/>
    <s v="Hamburg"/>
    <s v="20095"/>
    <s v="DE"/>
    <x v="2"/>
    <x v="1"/>
    <s v="€1000"/>
    <s v="EUR"/>
    <n v="1000"/>
    <n v="1"/>
    <n v="1000"/>
    <n v="140"/>
    <n v="0"/>
    <n v="140000"/>
    <n v="140000"/>
    <n v="10"/>
    <x v="9"/>
    <x v="3"/>
    <n v="0"/>
  </r>
  <r>
    <n v="116"/>
    <s v="Jonas"/>
    <s v="Fischer"/>
    <x v="2"/>
    <s v="October"/>
    <x v="1"/>
    <m/>
    <s v="20 mph"/>
    <s v="35 mph"/>
    <s v="40 miles"/>
    <n v="32"/>
    <n v="56"/>
    <s v="32 – 56 km/h"/>
    <n v="64"/>
    <s v="304 Ringstraße, Hamburg, 20095"/>
    <s v="304 Ringstraße"/>
    <s v="Hamburg"/>
    <s v="20095"/>
    <s v="DE"/>
    <x v="2"/>
    <x v="1"/>
    <s v="€800"/>
    <s v="EUR"/>
    <n v="800"/>
    <n v="1"/>
    <n v="800"/>
    <n v="300"/>
    <n v="0"/>
    <n v="240000"/>
    <n v="240000"/>
    <n v="10"/>
    <x v="9"/>
    <x v="3"/>
    <n v="0"/>
  </r>
  <r>
    <n v="117"/>
    <s v="Jonas"/>
    <s v="Fischer"/>
    <x v="2"/>
    <s v="October"/>
    <x v="2"/>
    <s v="18 mph"/>
    <s v="18 mph"/>
    <s v="28 mph"/>
    <s v="25 miles"/>
    <n v="29"/>
    <n v="45"/>
    <s v="29 – 45 km/h"/>
    <n v="40"/>
    <s v="305 Ringstraße, Hamburg, 20095"/>
    <s v="305 Ringstraße"/>
    <s v="Hamburg"/>
    <s v="20095"/>
    <s v="DE"/>
    <x v="2"/>
    <x v="1"/>
    <s v="€950"/>
    <s v="EUR"/>
    <n v="950"/>
    <n v="1"/>
    <n v="950"/>
    <n v="220"/>
    <n v="0"/>
    <n v="209000"/>
    <n v="209000"/>
    <n v="10"/>
    <x v="9"/>
    <x v="3"/>
    <n v="0"/>
  </r>
  <r>
    <n v="118"/>
    <s v="Théo"/>
    <s v="Bernard"/>
    <x v="3"/>
    <s v="October"/>
    <x v="0"/>
    <s v="15 mph"/>
    <s v="15 mph"/>
    <s v="30 mph"/>
    <s v="30 miles"/>
    <n v="24"/>
    <n v="48"/>
    <s v="24 – 48 km/h"/>
    <n v="48"/>
    <s v="56 Boulevard Saint-Germain, Paris, 75005"/>
    <s v="56 Boulevard Saint-Germain"/>
    <s v="Paris"/>
    <s v="75005"/>
    <s v="FR"/>
    <x v="3"/>
    <x v="1"/>
    <s v="€1100"/>
    <s v="EUR"/>
    <n v="1100"/>
    <n v="1"/>
    <n v="1100"/>
    <n v="130"/>
    <n v="0"/>
    <n v="143000"/>
    <n v="143000"/>
    <n v="10"/>
    <x v="9"/>
    <x v="3"/>
    <n v="0"/>
  </r>
  <r>
    <n v="119"/>
    <s v="Théo"/>
    <s v="Bernard"/>
    <x v="3"/>
    <s v="October"/>
    <x v="1"/>
    <s v="20 mph"/>
    <s v="20 mph"/>
    <s v="35 mph"/>
    <s v="40 miles"/>
    <n v="32"/>
    <n v="56"/>
    <s v="32 – 56 km/h"/>
    <n v="64"/>
    <s v="57 Boulevard Saint-Germain, Paris, 75005"/>
    <s v="57 Boulevard Saint-Germain"/>
    <s v="Paris"/>
    <s v="75005"/>
    <s v="FR"/>
    <x v="3"/>
    <x v="1"/>
    <s v="€900"/>
    <s v="EUR"/>
    <n v="900"/>
    <n v="1"/>
    <n v="900"/>
    <n v="290"/>
    <n v="0"/>
    <n v="261000"/>
    <n v="261000"/>
    <n v="10"/>
    <x v="9"/>
    <x v="3"/>
    <n v="0"/>
  </r>
  <r>
    <n v="120"/>
    <s v="Théo"/>
    <s v="Bernard"/>
    <x v="3"/>
    <s v="October"/>
    <x v="2"/>
    <s v="18 mph"/>
    <s v="18 mph"/>
    <s v="28 mph"/>
    <s v="25 miles"/>
    <n v="29"/>
    <n v="45"/>
    <s v="29 – 45 km/h"/>
    <n v="40"/>
    <s v="58 Boulevard Saint-Germain, Paris, 75005"/>
    <s v="58 Boulevard Saint-Germain"/>
    <s v="Paris"/>
    <s v="75005"/>
    <s v="FR"/>
    <x v="3"/>
    <x v="1"/>
    <s v="€1050"/>
    <s v="EUR"/>
    <n v="1050"/>
    <n v="1"/>
    <n v="1050"/>
    <n v="270"/>
    <n v="0"/>
    <n v="283500"/>
    <n v="283500"/>
    <n v="10"/>
    <x v="9"/>
    <x v="3"/>
    <n v="0"/>
  </r>
  <r>
    <n v="121"/>
    <s v="Sanya"/>
    <s v="Joshi"/>
    <x v="0"/>
    <s v="November"/>
    <x v="0"/>
    <s v="15 mph"/>
    <s v="15 mph"/>
    <s v="30 mph"/>
    <s v="30 miles"/>
    <n v="24"/>
    <n v="48"/>
    <s v="24 – 48 km/h"/>
    <n v="48"/>
    <s v="456 Brigade Road, Bengaluru, 560001"/>
    <s v="456 Brigade Road"/>
    <s v="Bengaluru"/>
    <s v="560001"/>
    <s v="IN"/>
    <x v="0"/>
    <x v="0"/>
    <s v="₹30,000"/>
    <s v="INR"/>
    <n v="30000"/>
    <n v="109.88200000000001"/>
    <n v="273.02014888698784"/>
    <n v="180"/>
    <n v="15"/>
    <n v="49144"/>
    <n v="41772"/>
    <n v="11"/>
    <x v="10"/>
    <x v="3"/>
    <n v="7372"/>
  </r>
  <r>
    <n v="122"/>
    <s v="Sanya"/>
    <s v="Joshi"/>
    <x v="0"/>
    <s v="November"/>
    <x v="1"/>
    <s v="20 mph"/>
    <s v="20 mph"/>
    <s v="35 mph"/>
    <s v="64,370 meters"/>
    <n v="32"/>
    <n v="56"/>
    <s v="32 – 56 km/h"/>
    <n v="64"/>
    <s v="457 Brigade Road, Bengaluru, 560001"/>
    <s v="457 Brigade Road"/>
    <s v="Bengaluru"/>
    <s v="560001"/>
    <s v="IN"/>
    <x v="0"/>
    <x v="0"/>
    <s v="₹25,000"/>
    <s v="INR"/>
    <n v="25000"/>
    <n v="109.88200000000001"/>
    <n v="227.51679073915653"/>
    <n v="450"/>
    <n v="15"/>
    <n v="102383"/>
    <n v="87026"/>
    <n v="11"/>
    <x v="10"/>
    <x v="3"/>
    <n v="15357"/>
  </r>
  <r>
    <n v="123"/>
    <s v="Sanya"/>
    <s v="Joshi"/>
    <x v="0"/>
    <s v="November"/>
    <x v="2"/>
    <s v="18 mph"/>
    <s v="18 mph"/>
    <s v="28 mph"/>
    <s v="25 miles"/>
    <n v="29"/>
    <n v="45"/>
    <s v="29 – 45 km/h"/>
    <n v="40"/>
    <s v="458 Brigade Road, Bengaluru, 560001"/>
    <s v="458 Brigade Road"/>
    <s v="Bengaluru"/>
    <s v="560001"/>
    <s v="IN"/>
    <x v="0"/>
    <x v="0"/>
    <s v="₹22,000"/>
    <s v="INR"/>
    <n v="22000"/>
    <n v="109.88200000000001"/>
    <n v="200.21477585045776"/>
    <n v="300"/>
    <n v="15"/>
    <n v="60064"/>
    <n v="51054"/>
    <n v="11"/>
    <x v="10"/>
    <x v="3"/>
    <n v="9010"/>
  </r>
  <r>
    <n v="124"/>
    <s v="Fang"/>
    <s v="Liu"/>
    <x v="1"/>
    <s v="November"/>
    <x v="0"/>
    <s v="15 mph"/>
    <s v="15 mph"/>
    <s v="30 mph"/>
    <s v="30 miles"/>
    <n v="24"/>
    <n v="48"/>
    <s v="24 – 48 km/h"/>
    <n v="48"/>
    <s v="99 Nanjing Road, Shanghai, 200001"/>
    <s v="99 Nanjing Road"/>
    <s v="Shanghai"/>
    <s v="200001"/>
    <s v="CN"/>
    <x v="1"/>
    <x v="0"/>
    <s v="¥5,000"/>
    <s v="CNY"/>
    <n v="5000"/>
    <n v="7.7255000000000003"/>
    <n v="647.20730049834958"/>
    <n v="600"/>
    <n v="15"/>
    <n v="388324"/>
    <n v="330075"/>
    <n v="11"/>
    <x v="10"/>
    <x v="3"/>
    <n v="58249"/>
  </r>
  <r>
    <n v="125"/>
    <s v="Fang"/>
    <s v="Liu"/>
    <x v="1"/>
    <s v="November"/>
    <x v="1"/>
    <s v="20 mph"/>
    <s v="20 mph"/>
    <s v="35 mph"/>
    <s v="40 miles"/>
    <n v="32"/>
    <n v="56"/>
    <s v="32 – 56 km/h"/>
    <n v="64"/>
    <s v="100 Nanjing Road, Shanghai, 200001"/>
    <s v="100 Nanjing Road"/>
    <s v="Shanghai"/>
    <s v="200001"/>
    <s v="CN"/>
    <x v="1"/>
    <x v="0"/>
    <s v="¥3,500"/>
    <s v="CNY"/>
    <n v="3500"/>
    <n v="7.7255000000000003"/>
    <n v="453.04511034884473"/>
    <n v="1500"/>
    <n v="15"/>
    <n v="679568"/>
    <n v="577633"/>
    <n v="11"/>
    <x v="10"/>
    <x v="3"/>
    <n v="101935"/>
  </r>
  <r>
    <n v="126"/>
    <s v="Fang"/>
    <s v="Liu"/>
    <x v="1"/>
    <s v="November"/>
    <x v="2"/>
    <s v="18 mph"/>
    <s v="18 mph"/>
    <s v="28 mph"/>
    <s v="25 miles"/>
    <n v="29"/>
    <n v="45"/>
    <s v="29 – 45 km/h"/>
    <n v="40"/>
    <s v="101 Nanjing Road, Shanghai, 200001"/>
    <s v="101 Nanjing Road"/>
    <s v="Shanghai"/>
    <s v="200001"/>
    <s v="CN"/>
    <x v="1"/>
    <x v="0"/>
    <s v="¥4,200"/>
    <s v="CNY"/>
    <n v="4200"/>
    <n v="7.7255000000000003"/>
    <n v="543.6541324186137"/>
    <n v="800"/>
    <n v="15"/>
    <n v="434923"/>
    <n v="369685"/>
    <n v="11"/>
    <x v="10"/>
    <x v="3"/>
    <n v="65238"/>
  </r>
  <r>
    <n v="127"/>
    <s v="Jonas"/>
    <s v="Fischer"/>
    <x v="2"/>
    <s v="November"/>
    <x v="0"/>
    <s v="15 mph"/>
    <s v="15 mph"/>
    <s v="30 mph"/>
    <s v="30 miles"/>
    <n v="24"/>
    <n v="48"/>
    <s v="24 – 48 km/h"/>
    <n v="48"/>
    <s v="303 Ringstraße, Hamburg, 20095"/>
    <s v="303 Ringstraße"/>
    <s v="Hamburg"/>
    <s v="20095"/>
    <s v="DE"/>
    <x v="2"/>
    <x v="1"/>
    <s v="€1000"/>
    <s v="EUR"/>
    <n v="1000"/>
    <n v="1"/>
    <n v="1000"/>
    <n v="160"/>
    <n v="15"/>
    <n v="160000"/>
    <n v="136000"/>
    <n v="11"/>
    <x v="10"/>
    <x v="3"/>
    <n v="24000"/>
  </r>
  <r>
    <n v="128"/>
    <s v="Jonas"/>
    <s v="Fischer"/>
    <x v="2"/>
    <s v="November"/>
    <x v="1"/>
    <s v="20 mph"/>
    <s v="20 mph"/>
    <s v="35 mph"/>
    <s v="40 miles"/>
    <n v="32"/>
    <n v="56"/>
    <s v="32 – 56 km/h"/>
    <n v="64"/>
    <s v="304 Ringstraße, Hamburg, 20095"/>
    <s v="304 Ringstraße"/>
    <s v="Hamburg"/>
    <s v="20095"/>
    <s v="DE"/>
    <x v="2"/>
    <x v="1"/>
    <s v="€800"/>
    <s v="EUR"/>
    <n v="800"/>
    <n v="1"/>
    <n v="800"/>
    <n v="320"/>
    <n v="15"/>
    <n v="256000"/>
    <n v="217600"/>
    <n v="11"/>
    <x v="10"/>
    <x v="3"/>
    <n v="38400"/>
  </r>
  <r>
    <n v="129"/>
    <s v="Jonas"/>
    <s v="Fischer"/>
    <x v="2"/>
    <s v="November"/>
    <x v="2"/>
    <s v="18 mph"/>
    <s v="18 mph"/>
    <s v="28 mph"/>
    <s v="25 miles"/>
    <n v="29"/>
    <n v="45"/>
    <s v="29 – 45 km/h"/>
    <n v="40"/>
    <s v="305 Ringstraße, Hamburg, 20095"/>
    <s v="305 Ringstraße"/>
    <s v="Hamburg"/>
    <s v="20095"/>
    <s v="DE"/>
    <x v="2"/>
    <x v="1"/>
    <s v="€950"/>
    <s v="EUR"/>
    <n v="950"/>
    <n v="1"/>
    <n v="950"/>
    <n v="250"/>
    <n v="15"/>
    <n v="237500"/>
    <n v="201875"/>
    <n v="11"/>
    <x v="10"/>
    <x v="3"/>
    <n v="35625"/>
  </r>
  <r>
    <n v="130"/>
    <s v="Théo"/>
    <s v="Bernard"/>
    <x v="3"/>
    <s v="November"/>
    <x v="0"/>
    <s v="15 mph"/>
    <s v="15 mph"/>
    <s v="30 mph"/>
    <s v="30 miles"/>
    <n v="24"/>
    <n v="48"/>
    <s v="24 – 48 km/h"/>
    <n v="48"/>
    <s v="56 Boulevard Saint-Germain, Paris, 75005"/>
    <s v="56 Boulevard Saint-Germain"/>
    <s v="Paris"/>
    <s v="75005"/>
    <s v="FR"/>
    <x v="3"/>
    <x v="1"/>
    <s v="€1100"/>
    <s v="EUR"/>
    <n v="1100"/>
    <n v="1"/>
    <n v="1100"/>
    <n v="140"/>
    <n v="15"/>
    <n v="154000"/>
    <n v="130900"/>
    <n v="11"/>
    <x v="10"/>
    <x v="3"/>
    <n v="23100"/>
  </r>
  <r>
    <n v="131"/>
    <s v="Théo"/>
    <s v="Bernard"/>
    <x v="3"/>
    <s v="November"/>
    <x v="1"/>
    <s v="20 mph"/>
    <s v="20 mph"/>
    <s v="35 mph"/>
    <s v="40 miles"/>
    <n v="32"/>
    <n v="56"/>
    <s v="32 – 56 km/h"/>
    <n v="64"/>
    <s v="57 Boulevard Saint-Germain, Paris, 75005"/>
    <s v="57 Boulevard Saint-Germain"/>
    <s v="Paris"/>
    <s v="75005"/>
    <s v="FR"/>
    <x v="3"/>
    <x v="1"/>
    <s v="€900"/>
    <s v="EUR"/>
    <n v="900"/>
    <n v="1"/>
    <n v="900"/>
    <n v="310"/>
    <n v="15"/>
    <n v="279000"/>
    <n v="237150"/>
    <n v="11"/>
    <x v="10"/>
    <x v="3"/>
    <n v="41850"/>
  </r>
  <r>
    <n v="132"/>
    <s v="Théo"/>
    <s v="Bernard"/>
    <x v="3"/>
    <s v="November"/>
    <x v="2"/>
    <s v="18 mph"/>
    <s v="18 mph"/>
    <s v="28 mph"/>
    <s v="25 miles"/>
    <n v="29"/>
    <n v="45"/>
    <s v="29 – 45 km/h"/>
    <n v="40"/>
    <s v="58 Boulevard Saint-Germain, Paris, 75005"/>
    <s v="58 Boulevard Saint-Germain"/>
    <s v="Paris"/>
    <s v="75005"/>
    <s v="FR"/>
    <x v="3"/>
    <x v="1"/>
    <s v="€1050"/>
    <s v="EUR"/>
    <n v="1050"/>
    <n v="1"/>
    <n v="1050"/>
    <n v="290"/>
    <n v="15"/>
    <n v="304500"/>
    <n v="258825"/>
    <n v="11"/>
    <x v="10"/>
    <x v="3"/>
    <n v="45675"/>
  </r>
  <r>
    <n v="133"/>
    <s v="Sanya"/>
    <s v="Joshi"/>
    <x v="0"/>
    <s v="December"/>
    <x v="0"/>
    <s v="15 mph"/>
    <s v="15 mph"/>
    <s v="30 mph"/>
    <s v="30 miles"/>
    <n v="24"/>
    <n v="48"/>
    <s v="24 – 48 km/h"/>
    <n v="48"/>
    <s v="456 Brigade Road, Bengaluru, 560001"/>
    <s v="456 Brigade Road"/>
    <s v="Bengaluru"/>
    <s v="560001"/>
    <s v="IN"/>
    <x v="0"/>
    <x v="0"/>
    <s v="₹30,000"/>
    <s v="INR"/>
    <n v="30000"/>
    <n v="109.88200000000001"/>
    <n v="273.02014888698784"/>
    <n v="250"/>
    <n v="20"/>
    <n v="68255"/>
    <n v="54604"/>
    <n v="12"/>
    <x v="11"/>
    <x v="3"/>
    <n v="13651"/>
  </r>
  <r>
    <n v="134"/>
    <s v="Sanya"/>
    <s v="Joshi"/>
    <x v="0"/>
    <s v="December"/>
    <x v="1"/>
    <s v="20 mph"/>
    <s v="20 mph"/>
    <s v="35 mph"/>
    <s v="40 miles"/>
    <n v="32"/>
    <n v="56"/>
    <s v="32 – 56 km/h"/>
    <n v="64"/>
    <s v="457 Brigade Road, Bengaluru, 560001"/>
    <s v="457 Brigade Road"/>
    <s v="Bengaluru"/>
    <s v="560001"/>
    <s v="IN"/>
    <x v="0"/>
    <x v="0"/>
    <s v="₹25,000"/>
    <s v="INR"/>
    <n v="25000"/>
    <n v="109.88200000000001"/>
    <n v="227.51679073915653"/>
    <n v="600"/>
    <n v="20"/>
    <n v="136510"/>
    <n v="109208"/>
    <n v="12"/>
    <x v="11"/>
    <x v="3"/>
    <n v="27302"/>
  </r>
  <r>
    <n v="135"/>
    <s v="Sanya"/>
    <s v="Joshi"/>
    <x v="0"/>
    <s v="December"/>
    <x v="2"/>
    <s v="18 mph"/>
    <s v="18 mph"/>
    <s v="28 mph"/>
    <s v="40,230 meters"/>
    <n v="29"/>
    <n v="45"/>
    <s v="29 – 45 km/h"/>
    <n v="40"/>
    <s v="458 Brigade Road, Bengaluru, 560001"/>
    <s v="458 Brigade Road"/>
    <s v="Bengaluru"/>
    <s v="560001"/>
    <s v="IN"/>
    <x v="0"/>
    <x v="0"/>
    <s v="₹22,000"/>
    <s v="INR"/>
    <n v="22000"/>
    <n v="109.88200000000001"/>
    <n v="200.21477585045776"/>
    <n v="400"/>
    <n v="20"/>
    <n v="80086"/>
    <n v="64069"/>
    <n v="12"/>
    <x v="11"/>
    <x v="3"/>
    <n v="16017"/>
  </r>
  <r>
    <n v="136"/>
    <s v="Fang"/>
    <s v="Liu"/>
    <x v="1"/>
    <s v="December"/>
    <x v="0"/>
    <s v="15 mph"/>
    <s v="15 mph"/>
    <s v="30 mph"/>
    <s v="30 miles"/>
    <n v="24"/>
    <n v="48"/>
    <s v="24 – 48 km/h"/>
    <n v="48"/>
    <s v="99 Nanjing Road, Shanghai, 200001"/>
    <s v="99 Nanjing Road"/>
    <s v="Shanghai"/>
    <s v="200001"/>
    <s v="CN"/>
    <x v="1"/>
    <x v="0"/>
    <s v="¥5,000"/>
    <s v="CNY"/>
    <n v="5000"/>
    <n v="7.7255000000000003"/>
    <n v="647.20730049834958"/>
    <n v="800"/>
    <n v="20"/>
    <n v="517766"/>
    <n v="414213"/>
    <n v="12"/>
    <x v="11"/>
    <x v="3"/>
    <n v="103553"/>
  </r>
  <r>
    <n v="137"/>
    <s v="Fang"/>
    <s v="Liu"/>
    <x v="1"/>
    <s v="December"/>
    <x v="1"/>
    <m/>
    <s v="20 mph"/>
    <s v="35 mph"/>
    <s v="64,370 meters"/>
    <n v="32"/>
    <n v="56"/>
    <s v="32 – 56 km/h"/>
    <n v="64"/>
    <s v="100 Nanjing Road, Shanghai, 200001"/>
    <s v="100 Nanjing Road"/>
    <s v="Shanghai"/>
    <s v="200001"/>
    <s v="CN"/>
    <x v="1"/>
    <x v="0"/>
    <s v="¥3,500"/>
    <s v="CNY"/>
    <n v="3500"/>
    <n v="7.7255000000000003"/>
    <n v="453.04511034884473"/>
    <n v="2000"/>
    <n v="20"/>
    <n v="906090"/>
    <n v="724872"/>
    <n v="12"/>
    <x v="11"/>
    <x v="3"/>
    <n v="181218"/>
  </r>
  <r>
    <n v="138"/>
    <s v="Fang"/>
    <s v="Liu"/>
    <x v="1"/>
    <s v="December"/>
    <x v="2"/>
    <s v="18 mph"/>
    <s v="18 mph"/>
    <s v="28 mph"/>
    <s v="25 miles"/>
    <n v="29"/>
    <n v="45"/>
    <s v="29 – 45 km/h"/>
    <n v="40"/>
    <s v="101 Nanjing Road, Shanghai, 200001"/>
    <s v="101 Nanjing Road"/>
    <s v="Shanghai"/>
    <s v="200001"/>
    <s v="CN"/>
    <x v="1"/>
    <x v="0"/>
    <s v="¥4,200"/>
    <s v="CNY"/>
    <n v="4200"/>
    <n v="7.7255000000000003"/>
    <n v="543.6541324186137"/>
    <n v="1200"/>
    <n v="20"/>
    <n v="652385"/>
    <n v="521908"/>
    <n v="12"/>
    <x v="11"/>
    <x v="3"/>
    <n v="130477"/>
  </r>
  <r>
    <n v="139"/>
    <s v="Jonas"/>
    <s v="Fischer"/>
    <x v="2"/>
    <s v="December"/>
    <x v="0"/>
    <s v="15 mph"/>
    <s v="15 mph"/>
    <s v="30 mph"/>
    <s v="48,280 meters"/>
    <n v="24"/>
    <n v="48"/>
    <s v="24 – 48 km/h"/>
    <n v="48"/>
    <s v="303 Ringstraße, Hamburg, 20095"/>
    <s v="303 Ringstraße"/>
    <s v="Hamburg"/>
    <s v="20095"/>
    <s v="DE"/>
    <x v="2"/>
    <x v="1"/>
    <s v="€1000"/>
    <s v="EUR"/>
    <n v="1000"/>
    <n v="1"/>
    <n v="1000"/>
    <n v="200"/>
    <n v="20"/>
    <n v="200000"/>
    <n v="160000"/>
    <n v="12"/>
    <x v="11"/>
    <x v="3"/>
    <n v="40000"/>
  </r>
  <r>
    <n v="140"/>
    <s v="Jonas"/>
    <s v="Fischer"/>
    <x v="2"/>
    <s v="December"/>
    <x v="1"/>
    <s v="20 mph"/>
    <s v="20 mph"/>
    <s v="35 mph"/>
    <s v="64,370 meters"/>
    <n v="32"/>
    <n v="56"/>
    <s v="32 – 56 km/h"/>
    <n v="64"/>
    <s v="304 Ringstraße, Hamburg, 20095"/>
    <s v="304 Ringstraße"/>
    <s v="Hamburg"/>
    <s v="20095"/>
    <s v="DE"/>
    <x v="2"/>
    <x v="1"/>
    <s v="€800"/>
    <s v="EUR"/>
    <n v="800"/>
    <n v="1"/>
    <n v="800"/>
    <n v="400"/>
    <n v="20"/>
    <n v="320000"/>
    <n v="256000"/>
    <n v="12"/>
    <x v="11"/>
    <x v="3"/>
    <n v="64000"/>
  </r>
  <r>
    <n v="141"/>
    <s v="Jonas"/>
    <s v="Fischer"/>
    <x v="2"/>
    <s v="December"/>
    <x v="2"/>
    <m/>
    <s v="18 mph"/>
    <s v="28 mph"/>
    <s v="25 miles"/>
    <n v="29"/>
    <n v="45"/>
    <s v="29 – 45 km/h"/>
    <n v="40"/>
    <s v="305 Ringstraße, Hamburg, 20095"/>
    <s v="305 Ringstraße"/>
    <s v="Hamburg"/>
    <s v="20095"/>
    <s v="DE"/>
    <x v="2"/>
    <x v="1"/>
    <s v="€950"/>
    <s v="EUR"/>
    <n v="950"/>
    <n v="1"/>
    <n v="950"/>
    <n v="350"/>
    <n v="20"/>
    <n v="332500"/>
    <n v="266000"/>
    <n v="12"/>
    <x v="11"/>
    <x v="3"/>
    <n v="66500"/>
  </r>
  <r>
    <n v="142"/>
    <s v="Théo"/>
    <s v="Bernard"/>
    <x v="3"/>
    <s v="December"/>
    <x v="0"/>
    <s v="15 mph"/>
    <s v="15 mph"/>
    <s v="30 mph"/>
    <s v="30 miles"/>
    <n v="24"/>
    <n v="48"/>
    <s v="24 – 48 km/h"/>
    <n v="48"/>
    <s v="56 Boulevard Saint-Germain, Paris, 75005"/>
    <s v="56 Boulevard Saint-Germain"/>
    <s v="Paris"/>
    <s v="75005"/>
    <s v="FR"/>
    <x v="3"/>
    <x v="1"/>
    <s v="€1100"/>
    <s v="EUR"/>
    <n v="1100"/>
    <n v="1"/>
    <n v="1100"/>
    <n v="180"/>
    <n v="20"/>
    <n v="198000"/>
    <n v="158400"/>
    <n v="12"/>
    <x v="11"/>
    <x v="3"/>
    <n v="39600"/>
  </r>
  <r>
    <n v="143"/>
    <s v="Théo"/>
    <s v="Bernard"/>
    <x v="3"/>
    <s v="December"/>
    <x v="1"/>
    <s v="20 mph"/>
    <s v="20 mph"/>
    <s v="35 mph"/>
    <s v="40 miles"/>
    <n v="32"/>
    <n v="56"/>
    <s v="32 – 56 km/h"/>
    <n v="64"/>
    <s v="57 Boulevard Saint-Germain, Paris, 75005"/>
    <s v="57 Boulevard Saint-Germain"/>
    <s v="Paris"/>
    <s v="75005"/>
    <s v="FR"/>
    <x v="3"/>
    <x v="1"/>
    <s v="€900"/>
    <s v="EUR"/>
    <n v="900"/>
    <n v="1"/>
    <n v="900"/>
    <n v="400"/>
    <n v="20"/>
    <n v="360000"/>
    <n v="288000"/>
    <n v="12"/>
    <x v="11"/>
    <x v="3"/>
    <n v="72000"/>
  </r>
  <r>
    <n v="144"/>
    <s v="Théo"/>
    <s v="Bernard"/>
    <x v="3"/>
    <s v="December"/>
    <x v="2"/>
    <s v="18 mph"/>
    <s v="18 mph"/>
    <s v="28 mph"/>
    <s v="25 miles"/>
    <n v="29"/>
    <n v="45"/>
    <s v="29 – 45 km/h"/>
    <n v="40"/>
    <s v="58 Boulevard Saint-Germain, Paris, 75005"/>
    <s v="58 Boulevard Saint-Germain"/>
    <s v="Paris"/>
    <s v="75005"/>
    <s v="FR"/>
    <x v="3"/>
    <x v="1"/>
    <s v="€1050"/>
    <s v="EUR"/>
    <n v="1050"/>
    <n v="1"/>
    <n v="1050"/>
    <n v="360"/>
    <n v="20"/>
    <n v="378000"/>
    <n v="302400"/>
    <n v="12"/>
    <x v="11"/>
    <x v="3"/>
    <n v="756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367BDC-9E43-43E2-9AA0-06BF354D729A}" name="PivotSummary" cacheId="11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H9" firstHeaderRow="1" firstDataRow="3" firstDataCol="1"/>
  <pivotFields count="34">
    <pivotField showAll="0"/>
    <pivotField showAll="0"/>
    <pivotField showAll="0"/>
    <pivotField showAll="0">
      <items count="5">
        <item x="3"/>
        <item x="2"/>
        <item x="0"/>
        <item x="1"/>
        <item t="default"/>
      </items>
    </pivotField>
    <pivotField showAll="0"/>
    <pivotField axis="axisRow" showAll="0">
      <items count="4">
        <item x="1"/>
        <item x="2"/>
        <item x="0"/>
        <item t="default"/>
      </items>
    </pivotField>
    <pivotField showAll="0"/>
    <pivotField showAll="0"/>
    <pivotField showAll="0"/>
    <pivotField showAll="0"/>
    <pivotField numFmtId="168" showAll="0"/>
    <pivotField numFmtId="168" showAll="0"/>
    <pivotField showAll="0"/>
    <pivotField numFmtId="169" showAll="0"/>
    <pivotField showAll="0"/>
    <pivotField showAll="0"/>
    <pivotField showAll="0"/>
    <pivotField showAll="0"/>
    <pivotField showAll="0"/>
    <pivotField axis="axisCol" showAll="0">
      <items count="5">
        <item x="1"/>
        <item x="3"/>
        <item x="2"/>
        <item x="0"/>
        <item t="default"/>
      </items>
    </pivotField>
    <pivotField axis="axisCol" showAll="0">
      <items count="3">
        <item x="0"/>
        <item x="1"/>
        <item t="default"/>
      </items>
    </pivotField>
    <pivotField showAll="0"/>
    <pivotField showAll="0"/>
    <pivotField showAll="0"/>
    <pivotField numFmtId="164" showAll="0"/>
    <pivotField numFmtId="165" showAll="0"/>
    <pivotField showAll="0"/>
    <pivotField showAll="0"/>
    <pivotField numFmtId="166" showAll="0"/>
    <pivotField dataField="1" numFmtId="166" showAll="0"/>
    <pivotField numFmtId="166" showAll="0"/>
    <pivotField showAll="0"/>
    <pivotField showAll="0"/>
    <pivotField numFmtId="166" showAll="0"/>
  </pivotFields>
  <rowFields count="1">
    <field x="5"/>
  </rowFields>
  <rowItems count="4">
    <i>
      <x/>
    </i>
    <i>
      <x v="1"/>
    </i>
    <i>
      <x v="2"/>
    </i>
    <i t="grand">
      <x/>
    </i>
  </rowItems>
  <colFields count="2">
    <field x="20"/>
    <field x="19"/>
  </colFields>
  <colItems count="7">
    <i>
      <x/>
      <x/>
    </i>
    <i r="1">
      <x v="3"/>
    </i>
    <i t="default">
      <x/>
    </i>
    <i>
      <x v="1"/>
      <x v="1"/>
    </i>
    <i r="1">
      <x v="2"/>
    </i>
    <i t="default">
      <x v="1"/>
    </i>
    <i t="grand">
      <x/>
    </i>
  </colItems>
  <dataFields count="1">
    <dataField name="Sales (EUR)" fld="29" baseField="0" baseItem="0" numFmtId="166"/>
  </dataFields>
  <formats count="75">
    <format dxfId="2022">
      <pivotArea type="all" dataOnly="0" outline="0" fieldPosition="0"/>
    </format>
    <format dxfId="2021">
      <pivotArea outline="0" collapsedLevelsAreSubtotals="1" fieldPosition="0"/>
    </format>
    <format dxfId="2020">
      <pivotArea type="origin" dataOnly="0" labelOnly="1" outline="0" fieldPosition="0"/>
    </format>
    <format dxfId="2019">
      <pivotArea field="20" type="button" dataOnly="0" labelOnly="1" outline="0" axis="axisCol" fieldPosition="0"/>
    </format>
    <format dxfId="2018">
      <pivotArea field="19" type="button" dataOnly="0" labelOnly="1" outline="0" axis="axisCol" fieldPosition="1"/>
    </format>
    <format dxfId="2017">
      <pivotArea type="topRight" dataOnly="0" labelOnly="1" outline="0" fieldPosition="0"/>
    </format>
    <format dxfId="2016">
      <pivotArea field="5" type="button" dataOnly="0" labelOnly="1" outline="0" axis="axisRow" fieldPosition="0"/>
    </format>
    <format dxfId="2015">
      <pivotArea dataOnly="0" labelOnly="1" fieldPosition="0">
        <references count="1">
          <reference field="5" count="0"/>
        </references>
      </pivotArea>
    </format>
    <format dxfId="2014">
      <pivotArea dataOnly="0" labelOnly="1" grandRow="1" outline="0" fieldPosition="0"/>
    </format>
    <format dxfId="2013">
      <pivotArea dataOnly="0" labelOnly="1" fieldPosition="0">
        <references count="1">
          <reference field="20" count="0"/>
        </references>
      </pivotArea>
    </format>
    <format dxfId="2012">
      <pivotArea dataOnly="0" labelOnly="1" fieldPosition="0">
        <references count="1">
          <reference field="20" count="0" defaultSubtotal="1"/>
        </references>
      </pivotArea>
    </format>
    <format dxfId="2011">
      <pivotArea dataOnly="0" labelOnly="1" grandCol="1" outline="0" fieldPosition="0"/>
    </format>
    <format dxfId="2010">
      <pivotArea dataOnly="0" labelOnly="1" fieldPosition="0">
        <references count="2">
          <reference field="19" count="2">
            <x v="0"/>
            <x v="3"/>
          </reference>
          <reference field="20" count="1" selected="0">
            <x v="0"/>
          </reference>
        </references>
      </pivotArea>
    </format>
    <format dxfId="2009">
      <pivotArea dataOnly="0" labelOnly="1" fieldPosition="0">
        <references count="2">
          <reference field="19" count="2">
            <x v="1"/>
            <x v="2"/>
          </reference>
          <reference field="20" count="1" selected="0">
            <x v="1"/>
          </reference>
        </references>
      </pivotArea>
    </format>
    <format dxfId="1924">
      <pivotArea type="origin" dataOnly="0" labelOnly="1" outline="0" fieldPosition="0"/>
    </format>
    <format dxfId="1923">
      <pivotArea type="topRight" dataOnly="0" labelOnly="1" outline="0" fieldPosition="0"/>
    </format>
    <format dxfId="1922">
      <pivotArea dataOnly="0" labelOnly="1" fieldPosition="0">
        <references count="1">
          <reference field="20" count="0"/>
        </references>
      </pivotArea>
    </format>
    <format dxfId="1921">
      <pivotArea dataOnly="0" labelOnly="1" fieldPosition="0">
        <references count="1">
          <reference field="20" count="0" defaultSubtotal="1"/>
        </references>
      </pivotArea>
    </format>
    <format dxfId="1920">
      <pivotArea dataOnly="0" labelOnly="1" grandCol="1" outline="0" fieldPosition="0"/>
    </format>
    <format dxfId="1919">
      <pivotArea dataOnly="0" labelOnly="1" fieldPosition="0">
        <references count="2">
          <reference field="19" count="2">
            <x v="0"/>
            <x v="3"/>
          </reference>
          <reference field="20" count="1" selected="0">
            <x v="0"/>
          </reference>
        </references>
      </pivotArea>
    </format>
    <format dxfId="1918">
      <pivotArea dataOnly="0" labelOnly="1" fieldPosition="0">
        <references count="2">
          <reference field="19" count="2">
            <x v="1"/>
            <x v="2"/>
          </reference>
          <reference field="20" count="1" selected="0">
            <x v="1"/>
          </reference>
        </references>
      </pivotArea>
    </format>
    <format dxfId="1917">
      <pivotArea type="origin" dataOnly="0" labelOnly="1" outline="0" fieldPosition="0"/>
    </format>
    <format dxfId="1916">
      <pivotArea type="topRight" dataOnly="0" labelOnly="1" outline="0" fieldPosition="0"/>
    </format>
    <format dxfId="1915">
      <pivotArea dataOnly="0" labelOnly="1" fieldPosition="0">
        <references count="1">
          <reference field="20" count="0"/>
        </references>
      </pivotArea>
    </format>
    <format dxfId="1914">
      <pivotArea dataOnly="0" labelOnly="1" fieldPosition="0">
        <references count="1">
          <reference field="20" count="0" defaultSubtotal="1"/>
        </references>
      </pivotArea>
    </format>
    <format dxfId="1913">
      <pivotArea dataOnly="0" labelOnly="1" grandCol="1" outline="0" fieldPosition="0"/>
    </format>
    <format dxfId="1912">
      <pivotArea dataOnly="0" labelOnly="1" fieldPosition="0">
        <references count="2">
          <reference field="19" count="2">
            <x v="0"/>
            <x v="3"/>
          </reference>
          <reference field="20" count="1" selected="0">
            <x v="0"/>
          </reference>
        </references>
      </pivotArea>
    </format>
    <format dxfId="1911">
      <pivotArea dataOnly="0" labelOnly="1" fieldPosition="0">
        <references count="2">
          <reference field="19" count="2">
            <x v="1"/>
            <x v="2"/>
          </reference>
          <reference field="20" count="1" selected="0">
            <x v="1"/>
          </reference>
        </references>
      </pivotArea>
    </format>
    <format dxfId="1910">
      <pivotArea type="origin" dataOnly="0" labelOnly="1" outline="0" fieldPosition="0"/>
    </format>
    <format dxfId="1909">
      <pivotArea type="topRight" dataOnly="0" labelOnly="1" outline="0" fieldPosition="0"/>
    </format>
    <format dxfId="1908">
      <pivotArea dataOnly="0" labelOnly="1" fieldPosition="0">
        <references count="1">
          <reference field="20" count="0"/>
        </references>
      </pivotArea>
    </format>
    <format dxfId="1907">
      <pivotArea dataOnly="0" labelOnly="1" fieldPosition="0">
        <references count="1">
          <reference field="20" count="0" defaultSubtotal="1"/>
        </references>
      </pivotArea>
    </format>
    <format dxfId="1906">
      <pivotArea dataOnly="0" labelOnly="1" grandCol="1" outline="0" fieldPosition="0"/>
    </format>
    <format dxfId="1905">
      <pivotArea dataOnly="0" labelOnly="1" fieldPosition="0">
        <references count="2">
          <reference field="19" count="2">
            <x v="0"/>
            <x v="3"/>
          </reference>
          <reference field="20" count="1" selected="0">
            <x v="0"/>
          </reference>
        </references>
      </pivotArea>
    </format>
    <format dxfId="1904">
      <pivotArea dataOnly="0" labelOnly="1" fieldPosition="0">
        <references count="2">
          <reference field="19" count="2">
            <x v="1"/>
            <x v="2"/>
          </reference>
          <reference field="20" count="1" selected="0">
            <x v="1"/>
          </reference>
        </references>
      </pivotArea>
    </format>
    <format dxfId="1903">
      <pivotArea type="origin" dataOnly="0" labelOnly="1" outline="0" fieldPosition="0"/>
    </format>
    <format dxfId="1902">
      <pivotArea type="topRight" dataOnly="0" labelOnly="1" outline="0" fieldPosition="0"/>
    </format>
    <format dxfId="1901">
      <pivotArea dataOnly="0" labelOnly="1" fieldPosition="0">
        <references count="1">
          <reference field="20" count="0"/>
        </references>
      </pivotArea>
    </format>
    <format dxfId="1900">
      <pivotArea dataOnly="0" labelOnly="1" fieldPosition="0">
        <references count="1">
          <reference field="20" count="0" defaultSubtotal="1"/>
        </references>
      </pivotArea>
    </format>
    <format dxfId="1899">
      <pivotArea dataOnly="0" labelOnly="1" grandCol="1" outline="0" fieldPosition="0"/>
    </format>
    <format dxfId="1898">
      <pivotArea dataOnly="0" labelOnly="1" fieldPosition="0">
        <references count="2">
          <reference field="19" count="2">
            <x v="0"/>
            <x v="3"/>
          </reference>
          <reference field="20" count="1" selected="0">
            <x v="0"/>
          </reference>
        </references>
      </pivotArea>
    </format>
    <format dxfId="1897">
      <pivotArea dataOnly="0" labelOnly="1" fieldPosition="0">
        <references count="2">
          <reference field="19" count="2">
            <x v="1"/>
            <x v="2"/>
          </reference>
          <reference field="20" count="1" selected="0">
            <x v="1"/>
          </reference>
        </references>
      </pivotArea>
    </format>
    <format dxfId="1896">
      <pivotArea type="origin" dataOnly="0" labelOnly="1" outline="0" fieldPosition="0"/>
    </format>
    <format dxfId="1895">
      <pivotArea type="topRight" dataOnly="0" labelOnly="1" outline="0" fieldPosition="0"/>
    </format>
    <format dxfId="1894">
      <pivotArea dataOnly="0" labelOnly="1" fieldPosition="0">
        <references count="1">
          <reference field="20" count="0"/>
        </references>
      </pivotArea>
    </format>
    <format dxfId="1893">
      <pivotArea dataOnly="0" labelOnly="1" fieldPosition="0">
        <references count="1">
          <reference field="20" count="0" defaultSubtotal="1"/>
        </references>
      </pivotArea>
    </format>
    <format dxfId="1892">
      <pivotArea dataOnly="0" labelOnly="1" grandCol="1" outline="0" fieldPosition="0"/>
    </format>
    <format dxfId="1891">
      <pivotArea dataOnly="0" labelOnly="1" fieldPosition="0">
        <references count="2">
          <reference field="19" count="2">
            <x v="0"/>
            <x v="3"/>
          </reference>
          <reference field="20" count="1" selected="0">
            <x v="0"/>
          </reference>
        </references>
      </pivotArea>
    </format>
    <format dxfId="1890">
      <pivotArea dataOnly="0" labelOnly="1" fieldPosition="0">
        <references count="2">
          <reference field="19" count="2">
            <x v="1"/>
            <x v="2"/>
          </reference>
          <reference field="20" count="1" selected="0">
            <x v="1"/>
          </reference>
        </references>
      </pivotArea>
    </format>
    <format dxfId="1889">
      <pivotArea type="origin" dataOnly="0" labelOnly="1" outline="0" fieldPosition="0"/>
    </format>
    <format dxfId="1888">
      <pivotArea type="topRight" dataOnly="0" labelOnly="1" outline="0" fieldPosition="0"/>
    </format>
    <format dxfId="1887">
      <pivotArea dataOnly="0" labelOnly="1" fieldPosition="0">
        <references count="1">
          <reference field="20" count="0"/>
        </references>
      </pivotArea>
    </format>
    <format dxfId="1886">
      <pivotArea dataOnly="0" labelOnly="1" fieldPosition="0">
        <references count="1">
          <reference field="20" count="0" defaultSubtotal="1"/>
        </references>
      </pivotArea>
    </format>
    <format dxfId="1885">
      <pivotArea dataOnly="0" labelOnly="1" grandCol="1" outline="0" fieldPosition="0"/>
    </format>
    <format dxfId="1884">
      <pivotArea dataOnly="0" labelOnly="1" fieldPosition="0">
        <references count="2">
          <reference field="19" count="2">
            <x v="0"/>
            <x v="3"/>
          </reference>
          <reference field="20" count="1" selected="0">
            <x v="0"/>
          </reference>
        </references>
      </pivotArea>
    </format>
    <format dxfId="1883">
      <pivotArea dataOnly="0" labelOnly="1" fieldPosition="0">
        <references count="2">
          <reference field="19" count="2">
            <x v="1"/>
            <x v="2"/>
          </reference>
          <reference field="20" count="1" selected="0">
            <x v="1"/>
          </reference>
        </references>
      </pivotArea>
    </format>
    <format dxfId="1882">
      <pivotArea outline="0" collapsedLevelsAreSubtotals="1" fieldPosition="0"/>
    </format>
    <format dxfId="1881">
      <pivotArea outline="0" collapsedLevelsAreSubtotals="1" fieldPosition="0"/>
    </format>
    <format dxfId="1880">
      <pivotArea outline="0" collapsedLevelsAreSubtotals="1" fieldPosition="0"/>
    </format>
    <format dxfId="1879">
      <pivotArea outline="0" collapsedLevelsAreSubtotals="1" fieldPosition="0"/>
    </format>
    <format dxfId="1878">
      <pivotArea grandRow="1" outline="0" collapsedLevelsAreSubtotals="1" fieldPosition="0"/>
    </format>
    <format dxfId="1877">
      <pivotArea dataOnly="0" labelOnly="1" grandRow="1" outline="0" fieldPosition="0"/>
    </format>
    <format dxfId="1876">
      <pivotArea grandRow="1" outline="0" collapsedLevelsAreSubtotals="1" fieldPosition="0"/>
    </format>
    <format dxfId="1875">
      <pivotArea dataOnly="0" labelOnly="1" grandRow="1" outline="0" fieldPosition="0"/>
    </format>
    <format dxfId="1874">
      <pivotArea grandRow="1" outline="0" collapsedLevelsAreSubtotals="1" fieldPosition="0"/>
    </format>
    <format dxfId="1873">
      <pivotArea dataOnly="0" labelOnly="1" grandRow="1" outline="0" fieldPosition="0"/>
    </format>
    <format dxfId="1821">
      <pivotArea outline="0" collapsedLevelsAreSubtotals="1" fieldPosition="0"/>
    </format>
    <format dxfId="1820">
      <pivotArea dataOnly="0" labelOnly="1" fieldPosition="0">
        <references count="1">
          <reference field="5" count="0"/>
        </references>
      </pivotArea>
    </format>
    <format dxfId="1819">
      <pivotArea dataOnly="0" labelOnly="1" grandRow="1" outline="0" fieldPosition="0"/>
    </format>
    <format dxfId="1818">
      <pivotArea outline="0" collapsedLevelsAreSubtotals="1" fieldPosition="0"/>
    </format>
    <format dxfId="1817">
      <pivotArea dataOnly="0" labelOnly="1" fieldPosition="0">
        <references count="1">
          <reference field="5" count="0"/>
        </references>
      </pivotArea>
    </format>
    <format dxfId="1816">
      <pivotArea dataOnly="0" labelOnly="1" grandRow="1" outline="0" fieldPosition="0"/>
    </format>
    <format dxfId="1815">
      <pivotArea outline="0" collapsedLevelsAreSubtotals="1" fieldPosition="0"/>
    </format>
    <format dxfId="1814">
      <pivotArea dataOnly="0" labelOnly="1" fieldPosition="0">
        <references count="1">
          <reference field="5" count="0"/>
        </references>
      </pivotArea>
    </format>
    <format dxfId="1813">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BB97677-7C1B-491C-8926-237E92E4AC75}" name="PivotRegions" cacheId="11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3:C10" firstHeaderRow="0" firstDataRow="1" firstDataCol="1"/>
  <pivotFields count="34">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numFmtId="168" showAll="0"/>
    <pivotField numFmtId="168" showAll="0"/>
    <pivotField showAll="0"/>
    <pivotField numFmtId="169" showAll="0"/>
    <pivotField showAll="0"/>
    <pivotField showAll="0"/>
    <pivotField showAll="0"/>
    <pivotField showAll="0"/>
    <pivotField showAll="0"/>
    <pivotField axis="axisRow" showAll="0">
      <items count="5">
        <item x="1"/>
        <item x="3"/>
        <item x="2"/>
        <item x="0"/>
        <item t="default"/>
      </items>
    </pivotField>
    <pivotField axis="axisRow" showAll="0">
      <items count="3">
        <item x="0"/>
        <item x="1"/>
        <item t="default"/>
      </items>
    </pivotField>
    <pivotField showAll="0"/>
    <pivotField showAll="0"/>
    <pivotField showAll="0"/>
    <pivotField numFmtId="164" showAll="0"/>
    <pivotField numFmtId="165" showAll="0"/>
    <pivotField dataField="1" showAll="0"/>
    <pivotField showAll="0"/>
    <pivotField numFmtId="166" showAll="0"/>
    <pivotField dataField="1" numFmtId="166" showAll="0"/>
    <pivotField numFmtId="166" showAll="0"/>
    <pivotField showAll="0"/>
    <pivotField showAll="0"/>
    <pivotField numFmtId="166" showAll="0"/>
  </pivotFields>
  <rowFields count="2">
    <field x="20"/>
    <field x="19"/>
  </rowFields>
  <rowItems count="7">
    <i>
      <x/>
    </i>
    <i r="1">
      <x/>
    </i>
    <i r="1">
      <x v="3"/>
    </i>
    <i>
      <x v="1"/>
    </i>
    <i r="1">
      <x v="1"/>
    </i>
    <i r="1">
      <x v="2"/>
    </i>
    <i t="grand">
      <x/>
    </i>
  </rowItems>
  <colFields count="1">
    <field x="-2"/>
  </colFields>
  <colItems count="2">
    <i>
      <x/>
    </i>
    <i i="1">
      <x v="1"/>
    </i>
  </colItems>
  <dataFields count="2">
    <dataField name="Sales (EUR)" fld="29" baseField="0" baseItem="0" numFmtId="166"/>
    <dataField name="Units" fld="26" baseField="0" baseItem="0" numFmtId="172"/>
  </dataFields>
  <formats count="33">
    <format dxfId="2027">
      <pivotArea outline="0" collapsedLevelsAreSubtotals="1" fieldPosition="0"/>
    </format>
    <format dxfId="2008">
      <pivotArea dataOnly="0" labelOnly="1" outline="0" fieldPosition="0">
        <references count="1">
          <reference field="4294967294" count="2">
            <x v="0"/>
            <x v="1"/>
          </reference>
        </references>
      </pivotArea>
    </format>
    <format dxfId="2007">
      <pivotArea dataOnly="0" labelOnly="1" outline="0" fieldPosition="0">
        <references count="1">
          <reference field="4294967294" count="2">
            <x v="0"/>
            <x v="1"/>
          </reference>
        </references>
      </pivotArea>
    </format>
    <format dxfId="2006">
      <pivotArea dataOnly="0" labelOnly="1" outline="0" fieldPosition="0">
        <references count="1">
          <reference field="4294967294" count="2">
            <x v="0"/>
            <x v="1"/>
          </reference>
        </references>
      </pivotArea>
    </format>
    <format dxfId="2005">
      <pivotArea dataOnly="0" labelOnly="1" outline="0" fieldPosition="0">
        <references count="1">
          <reference field="4294967294" count="2">
            <x v="0"/>
            <x v="1"/>
          </reference>
        </references>
      </pivotArea>
    </format>
    <format dxfId="2004">
      <pivotArea dataOnly="0" labelOnly="1" outline="0" fieldPosition="0">
        <references count="1">
          <reference field="4294967294" count="2">
            <x v="0"/>
            <x v="1"/>
          </reference>
        </references>
      </pivotArea>
    </format>
    <format dxfId="2003">
      <pivotArea dataOnly="0" labelOnly="1" outline="0" fieldPosition="0">
        <references count="1">
          <reference field="4294967294" count="2">
            <x v="0"/>
            <x v="1"/>
          </reference>
        </references>
      </pivotArea>
    </format>
    <format dxfId="2002">
      <pivotArea outline="0" collapsedLevelsAreSubtotals="1" fieldPosition="0"/>
    </format>
    <format dxfId="2001">
      <pivotArea outline="0" collapsedLevelsAreSubtotals="1" fieldPosition="0"/>
    </format>
    <format dxfId="2000">
      <pivotArea outline="0" collapsedLevelsAreSubtotals="1" fieldPosition="0"/>
    </format>
    <format dxfId="1999">
      <pivotArea outline="0" collapsedLevelsAreSubtotals="1" fieldPosition="0">
        <references count="1">
          <reference field="4294967294" count="1" selected="0">
            <x v="0"/>
          </reference>
        </references>
      </pivotArea>
    </format>
    <format dxfId="1998">
      <pivotArea outline="0" collapsedLevelsAreSubtotals="1" fieldPosition="0">
        <references count="1">
          <reference field="4294967294" count="1" selected="0">
            <x v="1"/>
          </reference>
        </references>
      </pivotArea>
    </format>
    <format dxfId="1997">
      <pivotArea grandRow="1" outline="0" collapsedLevelsAreSubtotals="1" fieldPosition="0"/>
    </format>
    <format dxfId="1996">
      <pivotArea dataOnly="0" labelOnly="1" grandRow="1" outline="0" fieldPosition="0"/>
    </format>
    <format dxfId="1995">
      <pivotArea grandRow="1" outline="0" collapsedLevelsAreSubtotals="1" fieldPosition="0"/>
    </format>
    <format dxfId="1994">
      <pivotArea dataOnly="0" labelOnly="1" grandRow="1" outline="0" fieldPosition="0"/>
    </format>
    <format dxfId="1993">
      <pivotArea grandRow="1" outline="0" collapsedLevelsAreSubtotals="1" fieldPosition="0"/>
    </format>
    <format dxfId="1992">
      <pivotArea dataOnly="0" labelOnly="1" grandRow="1" outline="0" fieldPosition="0"/>
    </format>
    <format dxfId="1872">
      <pivotArea outline="0" collapsedLevelsAreSubtotals="1" fieldPosition="0"/>
    </format>
    <format dxfId="1871">
      <pivotArea dataOnly="0" labelOnly="1" fieldPosition="0">
        <references count="1">
          <reference field="20" count="0"/>
        </references>
      </pivotArea>
    </format>
    <format dxfId="1870">
      <pivotArea dataOnly="0" labelOnly="1" grandRow="1" outline="0" fieldPosition="0"/>
    </format>
    <format dxfId="1869">
      <pivotArea dataOnly="0" labelOnly="1" fieldPosition="0">
        <references count="2">
          <reference field="19" count="2">
            <x v="0"/>
            <x v="3"/>
          </reference>
          <reference field="20" count="1" selected="0">
            <x v="0"/>
          </reference>
        </references>
      </pivotArea>
    </format>
    <format dxfId="1868">
      <pivotArea dataOnly="0" labelOnly="1" fieldPosition="0">
        <references count="2">
          <reference field="19" count="2">
            <x v="1"/>
            <x v="2"/>
          </reference>
          <reference field="20" count="1" selected="0">
            <x v="1"/>
          </reference>
        </references>
      </pivotArea>
    </format>
    <format dxfId="1867">
      <pivotArea outline="0" collapsedLevelsAreSubtotals="1" fieldPosition="0"/>
    </format>
    <format dxfId="1866">
      <pivotArea dataOnly="0" labelOnly="1" fieldPosition="0">
        <references count="1">
          <reference field="20" count="0"/>
        </references>
      </pivotArea>
    </format>
    <format dxfId="1865">
      <pivotArea dataOnly="0" labelOnly="1" grandRow="1" outline="0" fieldPosition="0"/>
    </format>
    <format dxfId="1864">
      <pivotArea dataOnly="0" labelOnly="1" fieldPosition="0">
        <references count="2">
          <reference field="19" count="2">
            <x v="0"/>
            <x v="3"/>
          </reference>
          <reference field="20" count="1" selected="0">
            <x v="0"/>
          </reference>
        </references>
      </pivotArea>
    </format>
    <format dxfId="1863">
      <pivotArea dataOnly="0" labelOnly="1" fieldPosition="0">
        <references count="2">
          <reference field="19" count="2">
            <x v="1"/>
            <x v="2"/>
          </reference>
          <reference field="20" count="1" selected="0">
            <x v="1"/>
          </reference>
        </references>
      </pivotArea>
    </format>
    <format dxfId="1862">
      <pivotArea outline="0" collapsedLevelsAreSubtotals="1" fieldPosition="0"/>
    </format>
    <format dxfId="1861">
      <pivotArea dataOnly="0" labelOnly="1" fieldPosition="0">
        <references count="1">
          <reference field="20" count="0"/>
        </references>
      </pivotArea>
    </format>
    <format dxfId="1860">
      <pivotArea dataOnly="0" labelOnly="1" grandRow="1" outline="0" fieldPosition="0"/>
    </format>
    <format dxfId="1859">
      <pivotArea dataOnly="0" labelOnly="1" fieldPosition="0">
        <references count="2">
          <reference field="19" count="2">
            <x v="0"/>
            <x v="3"/>
          </reference>
          <reference field="20" count="1" selected="0">
            <x v="0"/>
          </reference>
        </references>
      </pivotArea>
    </format>
    <format dxfId="1858">
      <pivotArea dataOnly="0" labelOnly="1" fieldPosition="0">
        <references count="2">
          <reference field="19" count="2">
            <x v="1"/>
            <x v="2"/>
          </reference>
          <reference field="20" count="1" selected="0">
            <x v="1"/>
          </reference>
        </references>
      </pivotArea>
    </format>
  </formats>
  <conditionalFormats count="2">
    <conditionalFormat priority="1">
      <pivotAreas count="1">
        <pivotArea type="data" collapsedLevelsAreSubtotals="1" fieldPosition="0">
          <references count="3">
            <reference field="4294967294" count="1" selected="0">
              <x v="0"/>
            </reference>
            <reference field="19" count="2">
              <x v="0"/>
              <x v="3"/>
            </reference>
            <reference field="20" count="1" selected="0">
              <x v="0"/>
            </reference>
          </references>
        </pivotArea>
      </pivotAreas>
    </conditionalFormat>
    <conditionalFormat priority="2">
      <pivotAreas count="1">
        <pivotArea type="data" collapsedLevelsAreSubtotals="1" fieldPosition="0">
          <references count="3">
            <reference field="4294967294" count="1" selected="0">
              <x v="0"/>
            </reference>
            <reference field="19" count="2">
              <x v="1"/>
              <x v="2"/>
            </reference>
            <reference field="20" count="1" selected="0">
              <x v="1"/>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00E732-F357-4944-9D31-7203B8A08635}" name="PivotQuarterly" cacheId="11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
  <location ref="F3:H8" firstHeaderRow="0" firstDataRow="1" firstDataCol="1"/>
  <pivotFields count="34">
    <pivotField showAll="0"/>
    <pivotField showAll="0"/>
    <pivotField showAll="0"/>
    <pivotField showAll="0"/>
    <pivotField showAll="0"/>
    <pivotField showAll="0"/>
    <pivotField showAll="0"/>
    <pivotField showAll="0"/>
    <pivotField showAll="0"/>
    <pivotField showAll="0"/>
    <pivotField numFmtId="168" showAll="0"/>
    <pivotField numFmtId="168" showAll="0"/>
    <pivotField showAll="0"/>
    <pivotField numFmtId="169" showAll="0"/>
    <pivotField showAll="0"/>
    <pivotField showAll="0"/>
    <pivotField showAll="0"/>
    <pivotField showAll="0"/>
    <pivotField showAll="0"/>
    <pivotField showAll="0"/>
    <pivotField showAll="0"/>
    <pivotField showAll="0"/>
    <pivotField showAll="0"/>
    <pivotField showAll="0"/>
    <pivotField numFmtId="164" showAll="0"/>
    <pivotField numFmtId="165" showAll="0"/>
    <pivotField showAll="0"/>
    <pivotField showAll="0"/>
    <pivotField numFmtId="166" showAll="0"/>
    <pivotField dataField="1" numFmtId="166" showAll="0"/>
    <pivotField numFmtId="166" showAll="0"/>
    <pivotField showAll="0"/>
    <pivotField axis="axisRow" showAll="0">
      <items count="5">
        <item x="0"/>
        <item x="1"/>
        <item x="2"/>
        <item x="3"/>
        <item t="default"/>
      </items>
    </pivotField>
    <pivotField dataField="1" numFmtId="166" showAll="0"/>
  </pivotFields>
  <rowFields count="1">
    <field x="32"/>
  </rowFields>
  <rowItems count="5">
    <i>
      <x/>
    </i>
    <i>
      <x v="1"/>
    </i>
    <i>
      <x v="2"/>
    </i>
    <i>
      <x v="3"/>
    </i>
    <i t="grand">
      <x/>
    </i>
  </rowItems>
  <colFields count="1">
    <field x="-2"/>
  </colFields>
  <colItems count="2">
    <i>
      <x/>
    </i>
    <i i="1">
      <x v="1"/>
    </i>
  </colItems>
  <dataFields count="2">
    <dataField name="Sales (EUR)" fld="29" baseField="0" baseItem="0" numFmtId="166"/>
    <dataField name="Discounts (EUR)" fld="33" baseField="0" baseItem="0" numFmtId="166"/>
  </dataFields>
  <formats count="26">
    <format dxfId="2025">
      <pivotArea outline="0" collapsedLevelsAreSubtotals="1" fieldPosition="0"/>
    </format>
    <format dxfId="1974">
      <pivotArea dataOnly="0" labelOnly="1" outline="0" fieldPosition="0">
        <references count="1">
          <reference field="4294967294" count="2">
            <x v="0"/>
            <x v="1"/>
          </reference>
        </references>
      </pivotArea>
    </format>
    <format dxfId="1973">
      <pivotArea dataOnly="0" labelOnly="1" outline="0" fieldPosition="0">
        <references count="1">
          <reference field="4294967294" count="2">
            <x v="0"/>
            <x v="1"/>
          </reference>
        </references>
      </pivotArea>
    </format>
    <format dxfId="1972">
      <pivotArea dataOnly="0" labelOnly="1" outline="0" fieldPosition="0">
        <references count="1">
          <reference field="4294967294" count="2">
            <x v="0"/>
            <x v="1"/>
          </reference>
        </references>
      </pivotArea>
    </format>
    <format dxfId="1971">
      <pivotArea dataOnly="0" labelOnly="1" outline="0" fieldPosition="0">
        <references count="1">
          <reference field="4294967294" count="2">
            <x v="0"/>
            <x v="1"/>
          </reference>
        </references>
      </pivotArea>
    </format>
    <format dxfId="1970">
      <pivotArea dataOnly="0" labelOnly="1" outline="0" fieldPosition="0">
        <references count="1">
          <reference field="4294967294" count="2">
            <x v="0"/>
            <x v="1"/>
          </reference>
        </references>
      </pivotArea>
    </format>
    <format dxfId="1969">
      <pivotArea dataOnly="0" labelOnly="1" outline="0" fieldPosition="0">
        <references count="1">
          <reference field="4294967294" count="2">
            <x v="0"/>
            <x v="1"/>
          </reference>
        </references>
      </pivotArea>
    </format>
    <format dxfId="1968">
      <pivotArea outline="0" collapsedLevelsAreSubtotals="1" fieldPosition="0"/>
    </format>
    <format dxfId="1967">
      <pivotArea outline="0" collapsedLevelsAreSubtotals="1" fieldPosition="0"/>
    </format>
    <format dxfId="1966">
      <pivotArea outline="0" collapsedLevelsAreSubtotals="1" fieldPosition="0"/>
    </format>
    <format dxfId="1965">
      <pivotArea outline="0" collapsedLevelsAreSubtotals="1" fieldPosition="0"/>
    </format>
    <format dxfId="1964">
      <pivotArea grandRow="1" outline="0" collapsedLevelsAreSubtotals="1" fieldPosition="0"/>
    </format>
    <format dxfId="1963">
      <pivotArea dataOnly="0" labelOnly="1" grandRow="1" outline="0" fieldPosition="0"/>
    </format>
    <format dxfId="1962">
      <pivotArea grandRow="1" outline="0" collapsedLevelsAreSubtotals="1" fieldPosition="0"/>
    </format>
    <format dxfId="1961">
      <pivotArea dataOnly="0" labelOnly="1" grandRow="1" outline="0" fieldPosition="0"/>
    </format>
    <format dxfId="1960">
      <pivotArea grandRow="1" outline="0" collapsedLevelsAreSubtotals="1" fieldPosition="0"/>
    </format>
    <format dxfId="1959">
      <pivotArea dataOnly="0" labelOnly="1" grandRow="1" outline="0" fieldPosition="0"/>
    </format>
    <format dxfId="1848">
      <pivotArea outline="0" collapsedLevelsAreSubtotals="1" fieldPosition="0"/>
    </format>
    <format dxfId="1847">
      <pivotArea dataOnly="0" labelOnly="1" fieldPosition="0">
        <references count="1">
          <reference field="32" count="0"/>
        </references>
      </pivotArea>
    </format>
    <format dxfId="1846">
      <pivotArea dataOnly="0" labelOnly="1" grandRow="1" outline="0" fieldPosition="0"/>
    </format>
    <format dxfId="1845">
      <pivotArea outline="0" collapsedLevelsAreSubtotals="1" fieldPosition="0"/>
    </format>
    <format dxfId="1844">
      <pivotArea dataOnly="0" labelOnly="1" fieldPosition="0">
        <references count="1">
          <reference field="32" count="0"/>
        </references>
      </pivotArea>
    </format>
    <format dxfId="1843">
      <pivotArea dataOnly="0" labelOnly="1" grandRow="1" outline="0" fieldPosition="0"/>
    </format>
    <format dxfId="1842">
      <pivotArea outline="0" collapsedLevelsAreSubtotals="1" fieldPosition="0"/>
    </format>
    <format dxfId="1841">
      <pivotArea dataOnly="0" labelOnly="1" fieldPosition="0">
        <references count="1">
          <reference field="32" count="0"/>
        </references>
      </pivotArea>
    </format>
    <format dxfId="1840">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55EA86-972D-46F8-A78B-29ED59313DB4}" name="PivotMonthly" cacheId="11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
  <location ref="A3:C16" firstHeaderRow="0" firstDataRow="1" firstDataCol="1"/>
  <pivotFields count="34">
    <pivotField showAll="0"/>
    <pivotField showAll="0"/>
    <pivotField showAll="0"/>
    <pivotField showAll="0"/>
    <pivotField showAll="0"/>
    <pivotField showAll="0">
      <items count="4">
        <item x="1"/>
        <item x="2"/>
        <item x="0"/>
        <item t="default"/>
      </items>
    </pivotField>
    <pivotField showAll="0"/>
    <pivotField showAll="0"/>
    <pivotField showAll="0"/>
    <pivotField showAll="0"/>
    <pivotField numFmtId="168" showAll="0"/>
    <pivotField numFmtId="168" showAll="0"/>
    <pivotField showAll="0"/>
    <pivotField numFmtId="169" showAll="0"/>
    <pivotField showAll="0"/>
    <pivotField showAll="0"/>
    <pivotField showAll="0"/>
    <pivotField showAll="0"/>
    <pivotField showAll="0"/>
    <pivotField showAll="0"/>
    <pivotField showAll="0"/>
    <pivotField showAll="0"/>
    <pivotField showAll="0"/>
    <pivotField showAll="0"/>
    <pivotField numFmtId="164" showAll="0"/>
    <pivotField numFmtId="165" showAll="0"/>
    <pivotField dataField="1" showAll="0"/>
    <pivotField showAll="0"/>
    <pivotField numFmtId="166" showAll="0"/>
    <pivotField dataField="1" numFmtId="166" showAll="0"/>
    <pivotField numFmtId="166" showAll="0"/>
    <pivotField axis="axisRow" showAll="0">
      <items count="13">
        <item x="0"/>
        <item x="1"/>
        <item x="2"/>
        <item x="3"/>
        <item x="4"/>
        <item x="5"/>
        <item x="6"/>
        <item x="7"/>
        <item x="8"/>
        <item x="9"/>
        <item x="10"/>
        <item x="11"/>
        <item t="default"/>
      </items>
    </pivotField>
    <pivotField showAll="0"/>
    <pivotField numFmtId="166" showAll="0"/>
  </pivotFields>
  <rowFields count="1">
    <field x="31"/>
  </rowFields>
  <rowItems count="13">
    <i>
      <x/>
    </i>
    <i>
      <x v="1"/>
    </i>
    <i>
      <x v="2"/>
    </i>
    <i>
      <x v="3"/>
    </i>
    <i>
      <x v="4"/>
    </i>
    <i>
      <x v="5"/>
    </i>
    <i>
      <x v="6"/>
    </i>
    <i>
      <x v="7"/>
    </i>
    <i>
      <x v="8"/>
    </i>
    <i>
      <x v="9"/>
    </i>
    <i>
      <x v="10"/>
    </i>
    <i>
      <x v="11"/>
    </i>
    <i t="grand">
      <x/>
    </i>
  </rowItems>
  <colFields count="1">
    <field x="-2"/>
  </colFields>
  <colItems count="2">
    <i>
      <x/>
    </i>
    <i i="1">
      <x v="1"/>
    </i>
  </colItems>
  <dataFields count="2">
    <dataField name="Sales (EUR)" fld="29" baseField="0" baseItem="0" numFmtId="166"/>
    <dataField name="Units" fld="26" baseField="0" baseItem="0" numFmtId="172"/>
  </dataFields>
  <formats count="27">
    <format dxfId="2026">
      <pivotArea outline="0" collapsedLevelsAreSubtotals="1" fieldPosition="0"/>
    </format>
    <format dxfId="1991">
      <pivotArea dataOnly="0" labelOnly="1" outline="0" fieldPosition="0">
        <references count="1">
          <reference field="4294967294" count="2">
            <x v="0"/>
            <x v="1"/>
          </reference>
        </references>
      </pivotArea>
    </format>
    <format dxfId="1990">
      <pivotArea dataOnly="0" labelOnly="1" outline="0" fieldPosition="0">
        <references count="1">
          <reference field="4294967294" count="2">
            <x v="0"/>
            <x v="1"/>
          </reference>
        </references>
      </pivotArea>
    </format>
    <format dxfId="1989">
      <pivotArea dataOnly="0" labelOnly="1" outline="0" fieldPosition="0">
        <references count="1">
          <reference field="4294967294" count="2">
            <x v="0"/>
            <x v="1"/>
          </reference>
        </references>
      </pivotArea>
    </format>
    <format dxfId="1988">
      <pivotArea dataOnly="0" labelOnly="1" outline="0" fieldPosition="0">
        <references count="1">
          <reference field="4294967294" count="2">
            <x v="0"/>
            <x v="1"/>
          </reference>
        </references>
      </pivotArea>
    </format>
    <format dxfId="1987">
      <pivotArea dataOnly="0" labelOnly="1" outline="0" fieldPosition="0">
        <references count="1">
          <reference field="4294967294" count="2">
            <x v="0"/>
            <x v="1"/>
          </reference>
        </references>
      </pivotArea>
    </format>
    <format dxfId="1986">
      <pivotArea dataOnly="0" labelOnly="1" outline="0" fieldPosition="0">
        <references count="1">
          <reference field="4294967294" count="2">
            <x v="0"/>
            <x v="1"/>
          </reference>
        </references>
      </pivotArea>
    </format>
    <format dxfId="1985">
      <pivotArea outline="0" collapsedLevelsAreSubtotals="1" fieldPosition="0"/>
    </format>
    <format dxfId="1984">
      <pivotArea outline="0" collapsedLevelsAreSubtotals="1" fieldPosition="0"/>
    </format>
    <format dxfId="1983">
      <pivotArea outline="0" collapsedLevelsAreSubtotals="1" fieldPosition="0"/>
    </format>
    <format dxfId="1982">
      <pivotArea outline="0" collapsedLevelsAreSubtotals="1" fieldPosition="0">
        <references count="1">
          <reference field="4294967294" count="1" selected="0">
            <x v="0"/>
          </reference>
        </references>
      </pivotArea>
    </format>
    <format dxfId="1981">
      <pivotArea outline="0" collapsedLevelsAreSubtotals="1" fieldPosition="0">
        <references count="1">
          <reference field="4294967294" count="1" selected="0">
            <x v="1"/>
          </reference>
        </references>
      </pivotArea>
    </format>
    <format dxfId="1980">
      <pivotArea grandRow="1" outline="0" collapsedLevelsAreSubtotals="1" fieldPosition="0"/>
    </format>
    <format dxfId="1979">
      <pivotArea dataOnly="0" labelOnly="1" grandRow="1" outline="0" fieldPosition="0"/>
    </format>
    <format dxfId="1978">
      <pivotArea grandRow="1" outline="0" collapsedLevelsAreSubtotals="1" fieldPosition="0"/>
    </format>
    <format dxfId="1977">
      <pivotArea dataOnly="0" labelOnly="1" grandRow="1" outline="0" fieldPosition="0"/>
    </format>
    <format dxfId="1976">
      <pivotArea grandRow="1" outline="0" collapsedLevelsAreSubtotals="1" fieldPosition="0"/>
    </format>
    <format dxfId="1975">
      <pivotArea dataOnly="0" labelOnly="1" grandRow="1" outline="0" fieldPosition="0"/>
    </format>
    <format dxfId="1857">
      <pivotArea outline="0" collapsedLevelsAreSubtotals="1" fieldPosition="0"/>
    </format>
    <format dxfId="1856">
      <pivotArea dataOnly="0" labelOnly="1" fieldPosition="0">
        <references count="1">
          <reference field="31" count="0"/>
        </references>
      </pivotArea>
    </format>
    <format dxfId="1855">
      <pivotArea dataOnly="0" labelOnly="1" grandRow="1" outline="0" fieldPosition="0"/>
    </format>
    <format dxfId="1854">
      <pivotArea outline="0" collapsedLevelsAreSubtotals="1" fieldPosition="0"/>
    </format>
    <format dxfId="1853">
      <pivotArea dataOnly="0" labelOnly="1" fieldPosition="0">
        <references count="1">
          <reference field="31" count="0"/>
        </references>
      </pivotArea>
    </format>
    <format dxfId="1852">
      <pivotArea dataOnly="0" labelOnly="1" grandRow="1" outline="0" fieldPosition="0"/>
    </format>
    <format dxfId="1851">
      <pivotArea outline="0" collapsedLevelsAreSubtotals="1" fieldPosition="0"/>
    </format>
    <format dxfId="1850">
      <pivotArea dataOnly="0" labelOnly="1" fieldPosition="0">
        <references count="1">
          <reference field="31" count="0"/>
        </references>
      </pivotArea>
    </format>
    <format dxfId="1849">
      <pivotArea dataOnly="0" labelOnly="1" grandRow="1" outline="0" fieldPosition="0"/>
    </format>
  </formats>
  <conditionalFormats count="3">
    <conditionalFormat priority="1">
      <pivotAreas count="1">
        <pivotArea type="data" collapsedLevelsAreSubtotals="1" fieldPosition="0">
          <references count="2">
            <reference field="4294967294" count="1" selected="0">
              <x v="0"/>
            </reference>
            <reference field="31" count="12">
              <x v="0"/>
              <x v="1"/>
              <x v="2"/>
              <x v="3"/>
              <x v="4"/>
              <x v="5"/>
              <x v="6"/>
              <x v="7"/>
              <x v="8"/>
              <x v="9"/>
              <x v="10"/>
              <x v="11"/>
            </reference>
          </references>
        </pivotArea>
      </pivotAreas>
    </conditionalFormat>
    <conditionalFormat priority="2">
      <pivotAreas count="1">
        <pivotArea type="data" collapsedLevelsAreSubtotals="1" fieldPosition="0">
          <references count="2">
            <reference field="4294967294" count="1" selected="0">
              <x v="0"/>
            </reference>
            <reference field="31" count="12">
              <x v="0"/>
              <x v="1"/>
              <x v="2"/>
              <x v="3"/>
              <x v="4"/>
              <x v="5"/>
              <x v="6"/>
              <x v="7"/>
              <x v="8"/>
              <x v="9"/>
              <x v="10"/>
              <x v="11"/>
            </reference>
          </references>
        </pivotArea>
      </pivotAreas>
    </conditionalFormat>
    <conditionalFormat priority="3">
      <pivotAreas count="1">
        <pivotArea type="data" collapsedLevelsAreSubtotals="1" fieldPosition="0">
          <references count="2">
            <reference field="4294967294" count="1" selected="0">
              <x v="0"/>
            </reference>
            <reference field="31" count="12">
              <x v="0"/>
              <x v="1"/>
              <x v="2"/>
              <x v="3"/>
              <x v="4"/>
              <x v="5"/>
              <x v="6"/>
              <x v="7"/>
              <x v="8"/>
              <x v="9"/>
              <x v="10"/>
              <x v="11"/>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F7217EC-134D-43D7-B54F-DEE4AD485ABA}" name="PivotProducts" cacheId="11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
  <location ref="F3:H7" firstHeaderRow="0" firstDataRow="1" firstDataCol="1"/>
  <pivotFields count="34">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numFmtId="168" showAll="0"/>
    <pivotField numFmtId="168" showAll="0"/>
    <pivotField showAll="0"/>
    <pivotField numFmtId="169" showAll="0"/>
    <pivotField showAll="0"/>
    <pivotField showAll="0"/>
    <pivotField showAll="0"/>
    <pivotField showAll="0"/>
    <pivotField showAll="0"/>
    <pivotField showAll="0"/>
    <pivotField showAll="0"/>
    <pivotField showAll="0"/>
    <pivotField showAll="0"/>
    <pivotField showAll="0"/>
    <pivotField numFmtId="164" showAll="0"/>
    <pivotField numFmtId="165" showAll="0"/>
    <pivotField dataField="1" showAll="0"/>
    <pivotField showAll="0"/>
    <pivotField numFmtId="166" showAll="0"/>
    <pivotField dataField="1" numFmtId="166" showAll="0"/>
    <pivotField numFmtId="166" showAll="0"/>
    <pivotField showAll="0"/>
    <pivotField showAll="0"/>
    <pivotField numFmtId="166" showAll="0"/>
  </pivotFields>
  <rowFields count="1">
    <field x="5"/>
  </rowFields>
  <rowItems count="4">
    <i>
      <x/>
    </i>
    <i>
      <x v="1"/>
    </i>
    <i>
      <x v="2"/>
    </i>
    <i t="grand">
      <x/>
    </i>
  </rowItems>
  <colFields count="1">
    <field x="-2"/>
  </colFields>
  <colItems count="2">
    <i>
      <x/>
    </i>
    <i i="1">
      <x v="1"/>
    </i>
  </colItems>
  <dataFields count="2">
    <dataField name="Sales (EUR)" fld="29" baseField="0" baseItem="0" numFmtId="166"/>
    <dataField name="Units" fld="26" baseField="0" baseItem="0" numFmtId="172"/>
  </dataFields>
  <formats count="27">
    <format dxfId="2023">
      <pivotArea outline="0" collapsedLevelsAreSubtotals="1" fieldPosition="0"/>
    </format>
    <format dxfId="1941">
      <pivotArea dataOnly="0" labelOnly="1" outline="0" fieldPosition="0">
        <references count="1">
          <reference field="4294967294" count="2">
            <x v="0"/>
            <x v="1"/>
          </reference>
        </references>
      </pivotArea>
    </format>
    <format dxfId="1940">
      <pivotArea dataOnly="0" labelOnly="1" outline="0" fieldPosition="0">
        <references count="1">
          <reference field="4294967294" count="2">
            <x v="0"/>
            <x v="1"/>
          </reference>
        </references>
      </pivotArea>
    </format>
    <format dxfId="1939">
      <pivotArea dataOnly="0" labelOnly="1" outline="0" fieldPosition="0">
        <references count="1">
          <reference field="4294967294" count="2">
            <x v="0"/>
            <x v="1"/>
          </reference>
        </references>
      </pivotArea>
    </format>
    <format dxfId="1938">
      <pivotArea dataOnly="0" labelOnly="1" outline="0" fieldPosition="0">
        <references count="1">
          <reference field="4294967294" count="2">
            <x v="0"/>
            <x v="1"/>
          </reference>
        </references>
      </pivotArea>
    </format>
    <format dxfId="1937">
      <pivotArea dataOnly="0" labelOnly="1" outline="0" fieldPosition="0">
        <references count="1">
          <reference field="4294967294" count="2">
            <x v="0"/>
            <x v="1"/>
          </reference>
        </references>
      </pivotArea>
    </format>
    <format dxfId="1936">
      <pivotArea dataOnly="0" labelOnly="1" outline="0" fieldPosition="0">
        <references count="1">
          <reference field="4294967294" count="2">
            <x v="0"/>
            <x v="1"/>
          </reference>
        </references>
      </pivotArea>
    </format>
    <format dxfId="1935">
      <pivotArea outline="0" collapsedLevelsAreSubtotals="1" fieldPosition="0"/>
    </format>
    <format dxfId="1934">
      <pivotArea outline="0" collapsedLevelsAreSubtotals="1" fieldPosition="0"/>
    </format>
    <format dxfId="1933">
      <pivotArea outline="0" collapsedLevelsAreSubtotals="1" fieldPosition="0"/>
    </format>
    <format dxfId="1932">
      <pivotArea outline="0" collapsedLevelsAreSubtotals="1" fieldPosition="0">
        <references count="1">
          <reference field="4294967294" count="1" selected="0">
            <x v="0"/>
          </reference>
        </references>
      </pivotArea>
    </format>
    <format dxfId="1931">
      <pivotArea outline="0" collapsedLevelsAreSubtotals="1" fieldPosition="0">
        <references count="1">
          <reference field="4294967294" count="1" selected="0">
            <x v="1"/>
          </reference>
        </references>
      </pivotArea>
    </format>
    <format dxfId="1930">
      <pivotArea grandRow="1" outline="0" collapsedLevelsAreSubtotals="1" fieldPosition="0"/>
    </format>
    <format dxfId="1929">
      <pivotArea dataOnly="0" labelOnly="1" grandRow="1" outline="0" fieldPosition="0"/>
    </format>
    <format dxfId="1928">
      <pivotArea grandRow="1" outline="0" collapsedLevelsAreSubtotals="1" fieldPosition="0"/>
    </format>
    <format dxfId="1927">
      <pivotArea dataOnly="0" labelOnly="1" grandRow="1" outline="0" fieldPosition="0"/>
    </format>
    <format dxfId="1926">
      <pivotArea grandRow="1" outline="0" collapsedLevelsAreSubtotals="1" fieldPosition="0"/>
    </format>
    <format dxfId="1925">
      <pivotArea dataOnly="0" labelOnly="1" grandRow="1" outline="0" fieldPosition="0"/>
    </format>
    <format dxfId="1830">
      <pivotArea outline="0" collapsedLevelsAreSubtotals="1" fieldPosition="0"/>
    </format>
    <format dxfId="1829">
      <pivotArea dataOnly="0" labelOnly="1" fieldPosition="0">
        <references count="1">
          <reference field="5" count="0"/>
        </references>
      </pivotArea>
    </format>
    <format dxfId="1828">
      <pivotArea dataOnly="0" labelOnly="1" grandRow="1" outline="0" fieldPosition="0"/>
    </format>
    <format dxfId="1827">
      <pivotArea outline="0" collapsedLevelsAreSubtotals="1" fieldPosition="0"/>
    </format>
    <format dxfId="1826">
      <pivotArea dataOnly="0" labelOnly="1" fieldPosition="0">
        <references count="1">
          <reference field="5" count="0"/>
        </references>
      </pivotArea>
    </format>
    <format dxfId="1825">
      <pivotArea dataOnly="0" labelOnly="1" grandRow="1" outline="0" fieldPosition="0"/>
    </format>
    <format dxfId="1824">
      <pivotArea outline="0" collapsedLevelsAreSubtotals="1" fieldPosition="0"/>
    </format>
    <format dxfId="1823">
      <pivotArea dataOnly="0" labelOnly="1" fieldPosition="0">
        <references count="1">
          <reference field="5" count="0"/>
        </references>
      </pivotArea>
    </format>
    <format dxfId="1822">
      <pivotArea dataOnly="0" labelOnly="1" grandRow="1" outline="0" fieldPosition="0"/>
    </format>
  </formats>
  <conditionalFormats count="1">
    <conditionalFormat priority="2">
      <pivotAreas count="1">
        <pivotArea type="data" collapsedLevelsAreSubtotals="1" fieldPosition="0">
          <references count="2">
            <reference field="4294967294" count="1" selected="0">
              <x v="0"/>
            </reference>
            <reference field="5" count="3">
              <x v="0"/>
              <x v="1"/>
              <x v="2"/>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8C2A38-7336-4716-8452-87DA540FEF90}" name="PivotReps" cacheId="11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
  <location ref="A3:C8" firstHeaderRow="0" firstDataRow="1" firstDataCol="1"/>
  <pivotFields count="34">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8" showAll="0"/>
    <pivotField numFmtId="168" showAll="0"/>
    <pivotField showAll="0"/>
    <pivotField numFmtId="169" showAll="0"/>
    <pivotField showAll="0"/>
    <pivotField showAll="0"/>
    <pivotField showAll="0"/>
    <pivotField showAll="0"/>
    <pivotField showAll="0"/>
    <pivotField showAll="0"/>
    <pivotField showAll="0"/>
    <pivotField showAll="0"/>
    <pivotField showAll="0"/>
    <pivotField showAll="0"/>
    <pivotField numFmtId="164" showAll="0"/>
    <pivotField numFmtId="165" showAll="0"/>
    <pivotField dataField="1" showAll="0"/>
    <pivotField showAll="0"/>
    <pivotField numFmtId="166" showAll="0"/>
    <pivotField dataField="1" numFmtId="166" showAll="0"/>
    <pivotField numFmtId="166" showAll="0"/>
    <pivotField showAll="0"/>
    <pivotField showAll="0">
      <items count="5">
        <item x="0"/>
        <item x="1"/>
        <item x="2"/>
        <item x="3"/>
        <item t="default"/>
      </items>
    </pivotField>
    <pivotField numFmtId="166" showAll="0"/>
  </pivotFields>
  <rowFields count="1">
    <field x="3"/>
  </rowFields>
  <rowItems count="5">
    <i>
      <x v="3"/>
    </i>
    <i>
      <x/>
    </i>
    <i>
      <x v="1"/>
    </i>
    <i>
      <x v="2"/>
    </i>
    <i t="grand">
      <x/>
    </i>
  </rowItems>
  <colFields count="1">
    <field x="-2"/>
  </colFields>
  <colItems count="2">
    <i>
      <x/>
    </i>
    <i i="1">
      <x v="1"/>
    </i>
  </colItems>
  <dataFields count="2">
    <dataField name="Sales (EUR)" fld="29" baseField="0" baseItem="0" numFmtId="166"/>
    <dataField name="Units" fld="26" baseField="0" baseItem="0" numFmtId="172"/>
  </dataFields>
  <formats count="27">
    <format dxfId="2024">
      <pivotArea outline="0" collapsedLevelsAreSubtotals="1" fieldPosition="0"/>
    </format>
    <format dxfId="1958">
      <pivotArea dataOnly="0" labelOnly="1" outline="0" fieldPosition="0">
        <references count="1">
          <reference field="4294967294" count="2">
            <x v="0"/>
            <x v="1"/>
          </reference>
        </references>
      </pivotArea>
    </format>
    <format dxfId="1957">
      <pivotArea dataOnly="0" labelOnly="1" outline="0" fieldPosition="0">
        <references count="1">
          <reference field="4294967294" count="2">
            <x v="0"/>
            <x v="1"/>
          </reference>
        </references>
      </pivotArea>
    </format>
    <format dxfId="1956">
      <pivotArea dataOnly="0" labelOnly="1" outline="0" fieldPosition="0">
        <references count="1">
          <reference field="4294967294" count="2">
            <x v="0"/>
            <x v="1"/>
          </reference>
        </references>
      </pivotArea>
    </format>
    <format dxfId="1955">
      <pivotArea dataOnly="0" labelOnly="1" outline="0" fieldPosition="0">
        <references count="1">
          <reference field="4294967294" count="2">
            <x v="0"/>
            <x v="1"/>
          </reference>
        </references>
      </pivotArea>
    </format>
    <format dxfId="1954">
      <pivotArea dataOnly="0" labelOnly="1" outline="0" fieldPosition="0">
        <references count="1">
          <reference field="4294967294" count="2">
            <x v="0"/>
            <x v="1"/>
          </reference>
        </references>
      </pivotArea>
    </format>
    <format dxfId="1953">
      <pivotArea dataOnly="0" labelOnly="1" outline="0" fieldPosition="0">
        <references count="1">
          <reference field="4294967294" count="2">
            <x v="0"/>
            <x v="1"/>
          </reference>
        </references>
      </pivotArea>
    </format>
    <format dxfId="1952">
      <pivotArea outline="0" collapsedLevelsAreSubtotals="1" fieldPosition="0"/>
    </format>
    <format dxfId="1951">
      <pivotArea outline="0" collapsedLevelsAreSubtotals="1" fieldPosition="0"/>
    </format>
    <format dxfId="1950">
      <pivotArea outline="0" collapsedLevelsAreSubtotals="1" fieldPosition="0"/>
    </format>
    <format dxfId="1949">
      <pivotArea outline="0" collapsedLevelsAreSubtotals="1" fieldPosition="0">
        <references count="1">
          <reference field="4294967294" count="1" selected="0">
            <x v="0"/>
          </reference>
        </references>
      </pivotArea>
    </format>
    <format dxfId="1948">
      <pivotArea outline="0" collapsedLevelsAreSubtotals="1" fieldPosition="0">
        <references count="1">
          <reference field="4294967294" count="1" selected="0">
            <x v="1"/>
          </reference>
        </references>
      </pivotArea>
    </format>
    <format dxfId="1947">
      <pivotArea grandRow="1" outline="0" collapsedLevelsAreSubtotals="1" fieldPosition="0"/>
    </format>
    <format dxfId="1946">
      <pivotArea dataOnly="0" labelOnly="1" grandRow="1" outline="0" fieldPosition="0"/>
    </format>
    <format dxfId="1945">
      <pivotArea grandRow="1" outline="0" collapsedLevelsAreSubtotals="1" fieldPosition="0"/>
    </format>
    <format dxfId="1944">
      <pivotArea dataOnly="0" labelOnly="1" grandRow="1" outline="0" fieldPosition="0"/>
    </format>
    <format dxfId="1943">
      <pivotArea grandRow="1" outline="0" collapsedLevelsAreSubtotals="1" fieldPosition="0"/>
    </format>
    <format dxfId="1942">
      <pivotArea dataOnly="0" labelOnly="1" grandRow="1" outline="0" fieldPosition="0"/>
    </format>
    <format dxfId="1839">
      <pivotArea outline="0" collapsedLevelsAreSubtotals="1" fieldPosition="0"/>
    </format>
    <format dxfId="1838">
      <pivotArea dataOnly="0" labelOnly="1" fieldPosition="0">
        <references count="1">
          <reference field="3" count="0"/>
        </references>
      </pivotArea>
    </format>
    <format dxfId="1837">
      <pivotArea dataOnly="0" labelOnly="1" grandRow="1" outline="0" fieldPosition="0"/>
    </format>
    <format dxfId="1836">
      <pivotArea outline="0" collapsedLevelsAreSubtotals="1" fieldPosition="0"/>
    </format>
    <format dxfId="1835">
      <pivotArea dataOnly="0" labelOnly="1" fieldPosition="0">
        <references count="1">
          <reference field="3" count="0"/>
        </references>
      </pivotArea>
    </format>
    <format dxfId="1834">
      <pivotArea dataOnly="0" labelOnly="1" grandRow="1" outline="0" fieldPosition="0"/>
    </format>
    <format dxfId="1833">
      <pivotArea outline="0" collapsedLevelsAreSubtotals="1" fieldPosition="0"/>
    </format>
    <format dxfId="1832">
      <pivotArea dataOnly="0" labelOnly="1" fieldPosition="0">
        <references count="1">
          <reference field="3" count="0"/>
        </references>
      </pivotArea>
    </format>
    <format dxfId="1831">
      <pivotArea dataOnly="0" labelOnly="1" grandRow="1" outline="0" fieldPosition="0"/>
    </format>
  </formats>
  <conditionalFormats count="1">
    <conditionalFormat priority="1">
      <pivotAreas count="1">
        <pivotArea type="data" collapsedLevelsAreSubtotals="1" fieldPosition="0">
          <references count="2">
            <reference field="4294967294" count="1" selected="0">
              <x v="0"/>
            </reference>
            <reference field="3" count="4">
              <x v="0"/>
              <x v="1"/>
              <x v="2"/>
              <x v="3"/>
            </reference>
          </references>
        </pivotArea>
      </pivotAreas>
    </conditionalFormat>
  </conditional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B6E407ED-BD71-4ED9-9F62-CBC7B1F5E537}" sourceName="Sales Rep">
  <pivotTables>
    <pivotTable tabId="5" name="PivotSummary"/>
  </pivotTables>
  <data>
    <tabular pivotCacheId="866576467">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7F9F4B0C-6BD1-4F82-8574-361245D2464B}" sourceName="Product Type">
  <pivotTables>
    <pivotTable tabId="7" name="PivotMonthly"/>
  </pivotTables>
  <data>
    <tabular pivotCacheId="866576467">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1" xr10:uid="{EBDA5465-92D8-4E49-A39B-6E68CD1D074B}" sourceName="Product Type">
  <pivotTables>
    <pivotTable tabId="6" name="PivotRegions"/>
  </pivotTables>
  <data>
    <tabular pivotCacheId="866576467">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B20BF2C2-48AD-4748-80A8-105C1B557A09}" sourceName="Quarter">
  <pivotTables>
    <pivotTable tabId="8" name="PivotReps"/>
  </pivotTables>
  <data>
    <tabular pivotCacheId="86657646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E6681066-634E-40ED-B0CD-63A0AEB73C3B}" cache="Slicer_Sales_Rep" caption="Sales Rep"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FFF0D4F0-DD91-4D83-8F66-70343F932107}" cache="Slicer_Product_Type1" caption="Product Type"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F3FEFC50-85DD-4E50-B49C-65E0E68E3D38}" cache="Slicer_Product_Type" caption="Product Type"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BB4C1AFA-658D-414D-95A0-2532406B8C8D}"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319132C-C8AD-4CBE-95F4-5FAFAE432190}" name="Table3" displayName="Table3" ref="A1:AI146" totalsRowCount="1" headerRowDxfId="2031" dataDxfId="2096" headerRowBorderDxfId="2097" tableBorderDxfId="2095" totalsRowBorderDxfId="2094">
  <autoFilter ref="A1:AI145" xr:uid="{4319132C-C8AD-4CBE-95F4-5FAFAE432190}"/>
  <tableColumns count="35">
    <tableColumn id="1" xr3:uid="{9DC57B01-823B-4AB9-ADD7-45D3E4F3FB51}" name="Sales Rep ID" totalsRowLabel="Total" dataDxfId="2093" totalsRowDxfId="2092"/>
    <tableColumn id="2" xr3:uid="{BAED6763-ACE5-4E18-94A9-15998CFE8953}" name="Rep First Name" dataDxfId="2091" totalsRowDxfId="2090"/>
    <tableColumn id="3" xr3:uid="{9336D3B4-62A9-4A90-87AF-96511F7FD75B}" name="Rep Last Name" dataDxfId="2089" totalsRowDxfId="2051"/>
    <tableColumn id="30" xr3:uid="{D7B369D5-13E4-4BD3-BC02-148D38C4F842}" name="Sales Rep" dataDxfId="2088" totalsRowDxfId="2050"/>
    <tableColumn id="4" xr3:uid="{6DD6B08C-7DEF-4DC4-A5B9-E407BA3EFA3D}" name="Month" dataDxfId="2087" totalsRowDxfId="2049"/>
    <tableColumn id="5" xr3:uid="{144E8BFF-431A-49CE-9792-002F4BF6F1F8}" name="Product Type" dataDxfId="2086" totalsRowDxfId="2085"/>
    <tableColumn id="6" xr3:uid="{2090DFBE-D498-4DED-BF10-220896719E24}" name="Min Speed (original, incomplete)" dataDxfId="2084" totalsRowDxfId="2048"/>
    <tableColumn id="25" xr3:uid="{4A5D14C9-9ADC-4A42-B9BF-51FB4A16B5D2}" name="Min Speed (mph)" dataDxfId="2083" totalsRowDxfId="2047"/>
    <tableColumn id="7" xr3:uid="{0E20C3B8-3AAD-450C-AE11-12821B4DA8BA}" name="Speed" dataDxfId="2082" totalsRowDxfId="2046"/>
    <tableColumn id="8" xr3:uid="{9187CAE4-31FB-4DF1-A2BE-18533CAC7224}" name="Distance" dataDxfId="2081" totalsRowDxfId="2080"/>
    <tableColumn id="26" xr3:uid="{67003BF8-AAAD-4953-8B2D-E327478CF814}" name="Min Speed (km/h)" dataDxfId="2079" totalsRowDxfId="2078"/>
    <tableColumn id="27" xr3:uid="{8DC17812-E73A-4E60-9F8B-1E068BB05117}" name="Max Speed (km/h)" dataDxfId="2077" totalsRowDxfId="2076"/>
    <tableColumn id="29" xr3:uid="{574A667B-DD82-4AE7-A6A7-0028E4785F93}" name="Speed Range (km/h)" dataDxfId="2075" totalsRowDxfId="2074"/>
    <tableColumn id="28" xr3:uid="{51717569-938C-4627-9CC1-8BEB976FF4DC}" name="Distance (km)" dataDxfId="2073" totalsRowDxfId="2072"/>
    <tableColumn id="9" xr3:uid="{AD71B897-3C10-4D73-A473-15A3A1F66B70}" name="Shipping Address" dataDxfId="2071" totalsRowDxfId="2045"/>
    <tableColumn id="14" xr3:uid="{F751B59E-C671-447D-A450-5F14801A6407}" name="Street" dataDxfId="2070" totalsRowDxfId="2044"/>
    <tableColumn id="15" xr3:uid="{22C6251B-ED4A-44CA-9787-526A17F6BDCE}" name="City" dataDxfId="2069" totalsRowDxfId="2043"/>
    <tableColumn id="16" xr3:uid="{EB4BA63F-941B-4D5F-989A-B8B32190E54E}" name="Postcode" dataDxfId="2068" totalsRowDxfId="2042"/>
    <tableColumn id="10" xr3:uid="{78BAF127-A68C-43F5-AF55-B93A54E1D93A}" name="Country Code" dataDxfId="2067" totalsRowDxfId="2066"/>
    <tableColumn id="17" xr3:uid="{2248271A-14C8-48D7-A182-3235A6A65CC2}" name="Country Name" dataDxfId="2065" totalsRowDxfId="2064"/>
    <tableColumn id="18" xr3:uid="{B383CD1B-5782-4149-BCE0-FEF0817C13BD}" name="Continent" dataDxfId="2063" totalsRowDxfId="2062"/>
    <tableColumn id="11" xr3:uid="{AAB8CFDD-59D0-4B6C-BB39-D2F084E45F62}" name="Unit Price" dataDxfId="2061" totalsRowDxfId="2041"/>
    <tableColumn id="19" xr3:uid="{CBB76D61-C1C7-44DA-8987-629DB8D3A93E}" name="Currency" dataDxfId="2060" totalsRowDxfId="2040"/>
    <tableColumn id="20" xr3:uid="{9DD9782F-F783-41DB-B919-D9BD83B879A5}" name="Unit Price (local)" dataDxfId="2059" totalsRowDxfId="2039"/>
    <tableColumn id="21" xr3:uid="{5F6813D3-0CCE-4576-A022-A094C0674823}" name="FX Rate (per EUR)" dataDxfId="2058" totalsRowDxfId="2038"/>
    <tableColumn id="22" xr3:uid="{65FBBE55-3032-4866-81A0-12EBC37156E6}" name="Unit Price (EUR)" dataDxfId="2057" totalsRowDxfId="2037"/>
    <tableColumn id="12" xr3:uid="{BAFFA887-9FE8-4A9D-AAD1-CA4B36D44658}" name="Units Sold" totalsRowFunction="sum" dataDxfId="2056" totalsRowDxfId="2055"/>
    <tableColumn id="13" xr3:uid="{AFDC9BD5-86DC-41D7-850C-D3B0BAA9C97E}" name="Discount (%)" dataDxfId="2054" totalsRowDxfId="2036"/>
    <tableColumn id="23" xr3:uid="{3D27658B-7C3F-4C10-B48A-F80A5CDA4227}" name="Gross Sales (EUR)" totalsRowFunction="sum" dataDxfId="2053" totalsRowDxfId="1812"/>
    <tableColumn id="24" xr3:uid="{E85CAB47-8BE3-463E-A064-69BFA18267B3}" name="Total Sales (EUR)" totalsRowFunction="sum" dataDxfId="2052" totalsRowDxfId="1811"/>
    <tableColumn id="31" xr3:uid="{AE16B297-2A23-484A-B86E-E8F094D6D321}" name="Month No" dataDxfId="2035" totalsRowDxfId="2030"/>
    <tableColumn id="32" xr3:uid="{D6A0E34E-B8CA-4C96-BC69-F7CF9A4C45B9}" name="Month (sorted)" dataDxfId="2034" totalsRowDxfId="2029"/>
    <tableColumn id="33" xr3:uid="{81E49F38-725A-4A54-BAF0-68DC8D853F9F}" name="Quarter" dataDxfId="2033" totalsRowDxfId="2028"/>
    <tableColumn id="34" xr3:uid="{CD24A156-01C0-4722-BE72-6DE60755CDDF}" name="Discount (EUR)" totalsRowFunction="sum" dataDxfId="2032" totalsRowDxfId="1810"/>
    <tableColumn id="35" xr3:uid="{320D2809-A238-4D83-88BD-B1A65199B883}" name="Month (date)" dataDxfId="1807" totalsRowDxfId="1808"/>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25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98E24CE-2CB9-4AD0-AB8C-5C21AE36A30D}">
  <we:reference id="wa200009404" version="1.0.0.8" store="en-US" storeType="OMEX"/>
  <we:alternateReferences>
    <we:reference id="wa200009404" version="1.0.0.8" store="" storeType="OMEX"/>
  </we:alternateReferences>
  <we:properties>
    <we:property name="claude.fileId" value="&quot;dfdfff7c-a6fc-4587-8c31-47aae0f7b8a9&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A998A-31A1-4A76-BD64-8391AF8FA25A}">
  <dimension ref="B1:M64"/>
  <sheetViews>
    <sheetView showGridLines="0" tabSelected="1" zoomScaleNormal="100" workbookViewId="0">
      <selection activeCell="J9" sqref="J9"/>
    </sheetView>
  </sheetViews>
  <sheetFormatPr defaultRowHeight="14.4" outlineLevelRow="1" x14ac:dyDescent="0.3"/>
  <cols>
    <col min="1" max="1" width="2.77734375" customWidth="1"/>
    <col min="2" max="2" width="22.21875" customWidth="1"/>
    <col min="3" max="6" width="19.44140625" customWidth="1"/>
    <col min="7" max="14" width="15.77734375" customWidth="1"/>
  </cols>
  <sheetData>
    <row r="1" spans="2:12" ht="22.8" x14ac:dyDescent="0.4">
      <c r="B1" s="31" t="s">
        <v>141</v>
      </c>
    </row>
    <row r="2" spans="2:12" x14ac:dyDescent="0.3">
      <c r="B2" s="33" t="s">
        <v>142</v>
      </c>
    </row>
    <row r="4" spans="2:12" x14ac:dyDescent="0.3">
      <c r="B4" s="106" t="s">
        <v>143</v>
      </c>
      <c r="D4" s="106" t="s">
        <v>139</v>
      </c>
      <c r="F4" s="106" t="s">
        <v>144</v>
      </c>
      <c r="H4" s="106" t="s">
        <v>145</v>
      </c>
      <c r="J4" s="106" t="s">
        <v>146</v>
      </c>
      <c r="L4" s="106" t="s">
        <v>147</v>
      </c>
    </row>
    <row r="5" spans="2:12" ht="17.399999999999999" x14ac:dyDescent="0.3">
      <c r="B5" s="107">
        <f>SUM(Table3[Total Sales (EUR)])</f>
        <v>36382530</v>
      </c>
      <c r="D5" s="108">
        <f>SUM(Table3[Units Sold])</f>
        <v>65480</v>
      </c>
      <c r="F5" s="107">
        <f>B5/D5</f>
        <v>555.6281307269395</v>
      </c>
      <c r="H5" s="109">
        <f>SUM(Table3[Discount (EUR)])/SUM(Table3[Gross Sales (EUR)])</f>
        <v>4.0266412802514993E-2</v>
      </c>
      <c r="J5" s="110" t="str">
        <f>INDEX('Pivot Time'!M4:M15,MATCH(MAX('Pivot Time'!N4:N15),'Pivot Time'!N4:N15,0))</f>
        <v>June</v>
      </c>
      <c r="L5" s="110" t="str">
        <f>INDEX('Pivot Reps &amp; Products'!J4:J7,MATCH(MAX('Pivot Reps &amp; Products'!K4:K7),'Pivot Reps &amp; Products'!K4:K7,0))</f>
        <v>Liu, Fang</v>
      </c>
    </row>
    <row r="7" spans="2:12" ht="15.6" x14ac:dyDescent="0.3">
      <c r="B7" s="111" t="s">
        <v>148</v>
      </c>
    </row>
    <row r="8" spans="2:12" x14ac:dyDescent="0.3">
      <c r="B8" s="112" t="s">
        <v>149</v>
      </c>
    </row>
    <row r="9" spans="2:12" x14ac:dyDescent="0.3">
      <c r="B9" s="106" t="s">
        <v>150</v>
      </c>
      <c r="C9" s="106" t="s">
        <v>151</v>
      </c>
      <c r="D9" s="106" t="s">
        <v>152</v>
      </c>
      <c r="E9" s="106" t="s">
        <v>137</v>
      </c>
      <c r="F9" s="106" t="s">
        <v>153</v>
      </c>
    </row>
    <row r="10" spans="2:12" x14ac:dyDescent="0.3">
      <c r="B10" s="90" t="s">
        <v>23</v>
      </c>
      <c r="C10" s="98">
        <f>AVERAGEIFS(Table3[Units Sold],Table3[Product Type],$B10,Table3[Discount (%)],0)</f>
        <v>635.55555555555554</v>
      </c>
      <c r="D10" s="98">
        <f>AVERAGEIFS(Table3[Units Sold],Table3[Product Type],$B10,Table3[Discount (%)],"&gt;0")</f>
        <v>644.16666666666663</v>
      </c>
      <c r="E10" s="92">
        <f>IFERROR(D10/C10-1,"-")</f>
        <v>1.3548951048951041E-2</v>
      </c>
      <c r="F10" s="114">
        <f>AVERAGEIFS(Table3[Discount (%)],Table3[Product Type],$B10,Table3[Discount (%)],"&gt;0")/100</f>
        <v>0.15</v>
      </c>
    </row>
    <row r="11" spans="2:12" x14ac:dyDescent="0.3">
      <c r="B11" s="90" t="s">
        <v>29</v>
      </c>
      <c r="C11" s="98">
        <f>AVERAGEIFS(Table3[Units Sold],Table3[Product Type],$B11,Table3[Discount (%)],0)</f>
        <v>439.16666666666669</v>
      </c>
      <c r="D11" s="98">
        <f>AVERAGEIFS(Table3[Units Sold],Table3[Product Type],$B11,Table3[Discount (%)],"&gt;0")</f>
        <v>440</v>
      </c>
      <c r="E11" s="92">
        <f t="shared" ref="E11:E12" si="0">IFERROR(D11/C11-1,"-")</f>
        <v>1.8975332068311701E-3</v>
      </c>
      <c r="F11" s="114">
        <f>AVERAGEIFS(Table3[Discount (%)],Table3[Product Type],$B11,Table3[Discount (%)],"&gt;0")/100</f>
        <v>0.15</v>
      </c>
    </row>
    <row r="12" spans="2:12" x14ac:dyDescent="0.3">
      <c r="B12" s="90" t="s">
        <v>16</v>
      </c>
      <c r="C12" s="98">
        <f>AVERAGEIFS(Table3[Units Sold],Table3[Product Type],$B12,Table3[Discount (%)],0)</f>
        <v>288.88888888888891</v>
      </c>
      <c r="D12" s="98">
        <f>AVERAGEIFS(Table3[Units Sold],Table3[Product Type],$B12,Table3[Discount (%)],"&gt;0")</f>
        <v>281.66666666666669</v>
      </c>
      <c r="E12" s="92">
        <f t="shared" si="0"/>
        <v>-2.5000000000000022E-2</v>
      </c>
      <c r="F12" s="114">
        <f>AVERAGEIFS(Table3[Discount (%)],Table3[Product Type],$B12,Table3[Discount (%)],"&gt;0")/100</f>
        <v>0.15</v>
      </c>
    </row>
    <row r="13" spans="2:12" x14ac:dyDescent="0.3">
      <c r="B13" s="113" t="s">
        <v>97</v>
      </c>
      <c r="C13" s="100">
        <f>AVERAGEIFS(Table3[Units Sold],Table3[Discount (%)],0)</f>
        <v>454.53703703703701</v>
      </c>
      <c r="D13" s="100">
        <f>AVERAGEIFS(Table3[Units Sold],Table3[Discount (%)],"&gt;0")</f>
        <v>455.27777777777777</v>
      </c>
      <c r="E13" s="115">
        <f>IFERROR(D13/C13-1,"-")</f>
        <v>1.6296598085150382E-3</v>
      </c>
      <c r="F13" s="116">
        <f>AVERAGEIFS(Table3[Discount (%)],Table3[Discount (%)],"&gt;0")/100</f>
        <v>0.15</v>
      </c>
    </row>
    <row r="49" spans="2:13" hidden="1" outlineLevel="1" x14ac:dyDescent="0.3">
      <c r="B49" s="117" t="s">
        <v>154</v>
      </c>
    </row>
    <row r="50" spans="2:13" hidden="1" outlineLevel="1" x14ac:dyDescent="0.3">
      <c r="B50" t="str">
        <f>'Pivot Time'!M3</f>
        <v>Month</v>
      </c>
      <c r="C50" t="str">
        <f>'Pivot Time'!N3</f>
        <v>Sales (EUR)</v>
      </c>
      <c r="E50" t="str">
        <f>'Pivot Time'!P3</f>
        <v>Quarter</v>
      </c>
      <c r="F50" t="str">
        <f>'Pivot Time'!Q3</f>
        <v>Sales (EUR)</v>
      </c>
      <c r="G50" t="str">
        <f>'Pivot Time'!R3</f>
        <v>Discounts (EUR)</v>
      </c>
      <c r="I50" t="str">
        <f>'Pivot Reps &amp; Products'!J3</f>
        <v>Sales Rep</v>
      </c>
      <c r="J50" t="str">
        <f>'Pivot Reps &amp; Products'!K3</f>
        <v>Sales (EUR)</v>
      </c>
      <c r="L50" t="str">
        <f>'Pivot Reps &amp; Products'!M3</f>
        <v>Product</v>
      </c>
      <c r="M50" t="str">
        <f>'Pivot Reps &amp; Products'!N3</f>
        <v>Sales (EUR)</v>
      </c>
    </row>
    <row r="51" spans="2:13" hidden="1" outlineLevel="1" x14ac:dyDescent="0.3">
      <c r="B51" t="str">
        <f>'Pivot Time'!M4</f>
        <v>January</v>
      </c>
      <c r="C51">
        <f>'Pivot Time'!N4</f>
        <v>2076593</v>
      </c>
      <c r="E51" t="str">
        <f>'Pivot Time'!P4</f>
        <v>Q1</v>
      </c>
      <c r="F51">
        <f>'Pivot Time'!Q4</f>
        <v>7180763</v>
      </c>
      <c r="G51">
        <f>'Pivot Time'!R4</f>
        <v>230730</v>
      </c>
      <c r="I51" t="str">
        <f>'Pivot Reps &amp; Products'!J4</f>
        <v>Liu, Fang</v>
      </c>
      <c r="J51">
        <f>'Pivot Reps &amp; Products'!K4</f>
        <v>18770889</v>
      </c>
      <c r="L51" t="str">
        <f>'Pivot Reps &amp; Products'!M4</f>
        <v>Electric Scooter</v>
      </c>
      <c r="M51">
        <f>'Pivot Reps &amp; Products'!N4</f>
        <v>14904265</v>
      </c>
    </row>
    <row r="52" spans="2:13" hidden="1" outlineLevel="1" x14ac:dyDescent="0.3">
      <c r="B52" t="str">
        <f>'Pivot Time'!M5</f>
        <v>February</v>
      </c>
      <c r="C52">
        <f>'Pivot Time'!N5</f>
        <v>2552085</v>
      </c>
      <c r="E52" t="str">
        <f>'Pivot Time'!P5</f>
        <v>Q2</v>
      </c>
      <c r="F52">
        <f>'Pivot Time'!Q5</f>
        <v>10284291</v>
      </c>
      <c r="G52">
        <f>'Pivot Time'!R5</f>
        <v>0</v>
      </c>
      <c r="I52" t="str">
        <f>'Pivot Reps &amp; Products'!J5</f>
        <v>Bernard, Théo</v>
      </c>
      <c r="J52">
        <f>'Pivot Reps &amp; Products'!K5</f>
        <v>8059775</v>
      </c>
      <c r="L52" t="str">
        <f>'Pivot Reps &amp; Products'!M5</f>
        <v>Electric Skateboard</v>
      </c>
      <c r="M52">
        <f>'Pivot Reps &amp; Products'!N5</f>
        <v>12366531</v>
      </c>
    </row>
    <row r="53" spans="2:13" hidden="1" outlineLevel="1" x14ac:dyDescent="0.3">
      <c r="B53" t="str">
        <f>'Pivot Time'!M6</f>
        <v>March</v>
      </c>
      <c r="C53">
        <f>'Pivot Time'!N6</f>
        <v>2552085</v>
      </c>
      <c r="E53" t="str">
        <f>'Pivot Time'!P6</f>
        <v>Q3</v>
      </c>
      <c r="F53">
        <f>'Pivot Time'!Q6</f>
        <v>10141023</v>
      </c>
      <c r="G53">
        <f>'Pivot Time'!R6</f>
        <v>0</v>
      </c>
      <c r="I53" t="str">
        <f>'Pivot Reps &amp; Products'!J6</f>
        <v>Fischer, Jonas</v>
      </c>
      <c r="J53">
        <f>'Pivot Reps &amp; Products'!K6</f>
        <v>7068725</v>
      </c>
      <c r="L53" t="str">
        <f>'Pivot Reps &amp; Products'!M6</f>
        <v>Electric Unicycle</v>
      </c>
      <c r="M53">
        <f>'Pivot Reps &amp; Products'!N6</f>
        <v>9111734</v>
      </c>
    </row>
    <row r="54" spans="2:13" hidden="1" outlineLevel="1" x14ac:dyDescent="0.3">
      <c r="B54" t="str">
        <f>'Pivot Time'!M7</f>
        <v>April</v>
      </c>
      <c r="C54">
        <f>'Pivot Time'!N7</f>
        <v>3167122</v>
      </c>
      <c r="E54" t="str">
        <f>'Pivot Time'!P7</f>
        <v>Q4</v>
      </c>
      <c r="F54">
        <f>'Pivot Time'!Q7</f>
        <v>8776453</v>
      </c>
      <c r="G54">
        <f>'Pivot Time'!R7</f>
        <v>1295729</v>
      </c>
      <c r="I54" t="str">
        <f>'Pivot Reps &amp; Products'!J7</f>
        <v>Joshi, Sanya</v>
      </c>
      <c r="J54">
        <f>'Pivot Reps &amp; Products'!K7</f>
        <v>2483141</v>
      </c>
    </row>
    <row r="55" spans="2:13" hidden="1" outlineLevel="1" x14ac:dyDescent="0.3">
      <c r="B55" t="str">
        <f>'Pivot Time'!M8</f>
        <v>May</v>
      </c>
      <c r="C55">
        <f>'Pivot Time'!N8</f>
        <v>3311633</v>
      </c>
    </row>
    <row r="56" spans="2:13" hidden="1" outlineLevel="1" x14ac:dyDescent="0.3">
      <c r="B56" t="str">
        <f>'Pivot Time'!M9</f>
        <v>June</v>
      </c>
      <c r="C56">
        <f>'Pivot Time'!N9</f>
        <v>3805536</v>
      </c>
    </row>
    <row r="57" spans="2:13" hidden="1" outlineLevel="1" x14ac:dyDescent="0.3">
      <c r="B57" t="str">
        <f>'Pivot Time'!M10</f>
        <v>July</v>
      </c>
      <c r="C57">
        <f>'Pivot Time'!N10</f>
        <v>3744231</v>
      </c>
    </row>
    <row r="58" spans="2:13" hidden="1" outlineLevel="1" x14ac:dyDescent="0.3">
      <c r="B58" t="str">
        <f>'Pivot Time'!M11</f>
        <v>August</v>
      </c>
      <c r="C58">
        <f>'Pivot Time'!N11</f>
        <v>3308633</v>
      </c>
    </row>
    <row r="59" spans="2:13" hidden="1" outlineLevel="1" x14ac:dyDescent="0.3">
      <c r="B59" t="str">
        <f>'Pivot Time'!M12</f>
        <v>September</v>
      </c>
      <c r="C59">
        <f>'Pivot Time'!N12</f>
        <v>3088159</v>
      </c>
    </row>
    <row r="60" spans="2:13" hidden="1" outlineLevel="1" x14ac:dyDescent="0.3">
      <c r="B60" t="str">
        <f>'Pivot Time'!M13</f>
        <v>October</v>
      </c>
      <c r="C60">
        <f>'Pivot Time'!N13</f>
        <v>2817184</v>
      </c>
    </row>
    <row r="61" spans="2:13" hidden="1" outlineLevel="1" x14ac:dyDescent="0.3">
      <c r="B61" t="str">
        <f>'Pivot Time'!M14</f>
        <v>November</v>
      </c>
      <c r="C61">
        <f>'Pivot Time'!N14</f>
        <v>2639595</v>
      </c>
    </row>
    <row r="62" spans="2:13" hidden="1" outlineLevel="1" x14ac:dyDescent="0.3">
      <c r="B62" t="str">
        <f>'Pivot Time'!M15</f>
        <v>December</v>
      </c>
      <c r="C62">
        <f>'Pivot Time'!N15</f>
        <v>3319674</v>
      </c>
    </row>
    <row r="63" spans="2:13" hidden="1" outlineLevel="1" x14ac:dyDescent="0.3"/>
    <row r="64" spans="2:13" collapsed="1"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1857D-582E-4C35-AF5B-DDE64DB09355}">
  <dimension ref="A1:AI146"/>
  <sheetViews>
    <sheetView zoomScaleNormal="100" workbookViewId="0">
      <pane ySplit="1" topLeftCell="A2" activePane="bottomLeft" state="frozen"/>
      <selection pane="bottomLeft" activeCell="Z1" sqref="Z1:Z1048576"/>
    </sheetView>
  </sheetViews>
  <sheetFormatPr defaultRowHeight="14.4" outlineLevelCol="2" x14ac:dyDescent="0.3"/>
  <cols>
    <col min="1" max="1" width="23.44140625" style="1" customWidth="1"/>
    <col min="2" max="2" width="24.5546875" style="1" hidden="1" customWidth="1" outlineLevel="1"/>
    <col min="3" max="3" width="26" hidden="1" customWidth="1" outlineLevel="1"/>
    <col min="4" max="4" width="15.44140625" bestFit="1" customWidth="1" collapsed="1"/>
    <col min="5" max="5" width="18.77734375" customWidth="1"/>
    <col min="6" max="6" width="26.5546875" style="1" customWidth="1"/>
    <col min="7" max="7" width="38" hidden="1" customWidth="1" outlineLevel="2"/>
    <col min="8" max="8" width="27.33203125" hidden="1" customWidth="1" outlineLevel="2" collapsed="1"/>
    <col min="9" max="9" width="20" hidden="1" customWidth="1" outlineLevel="2"/>
    <col min="10" max="10" width="23.5546875" style="1" hidden="1" customWidth="1" outlineLevel="2"/>
    <col min="11" max="11" width="22.77734375" style="1" hidden="1" customWidth="1" outlineLevel="1" collapsed="1"/>
    <col min="12" max="12" width="23.21875" style="1" hidden="1" customWidth="1" outlineLevel="1"/>
    <col min="13" max="13" width="25.6640625" style="1" bestFit="1" customWidth="1" collapsed="1"/>
    <col min="14" max="14" width="18.88671875" style="1" bestFit="1" customWidth="1"/>
    <col min="15" max="15" width="46.5546875" hidden="1" customWidth="1" outlineLevel="1"/>
    <col min="16" max="16" width="26.88671875" bestFit="1" customWidth="1" collapsed="1"/>
    <col min="17" max="17" width="10.109375" bestFit="1" customWidth="1"/>
    <col min="18" max="18" width="14.6640625" bestFit="1" customWidth="1"/>
    <col min="19" max="19" width="16.6640625" style="1" hidden="1" customWidth="1" outlineLevel="1"/>
    <col min="20" max="20" width="19.5546875" style="1" bestFit="1" customWidth="1" collapsed="1"/>
    <col min="21" max="21" width="15.109375" style="1" bestFit="1" customWidth="1"/>
    <col min="22" max="22" width="24.77734375" hidden="1" customWidth="1" outlineLevel="2"/>
    <col min="23" max="23" width="14.44140625" hidden="1" customWidth="1" outlineLevel="1" collapsed="1"/>
    <col min="24" max="24" width="21.88671875" hidden="1" customWidth="1" outlineLevel="2"/>
    <col min="25" max="25" width="23.77734375" hidden="1" customWidth="1" outlineLevel="2"/>
    <col min="26" max="26" width="21.77734375" bestFit="1" customWidth="1" collapsed="1"/>
    <col min="27" max="27" width="23.21875" style="1" customWidth="1"/>
    <col min="28" max="28" width="28" customWidth="1"/>
    <col min="29" max="29" width="24" bestFit="1" customWidth="1"/>
    <col min="30" max="30" width="23" bestFit="1" customWidth="1"/>
    <col min="31" max="31" width="15" hidden="1" customWidth="1" outlineLevel="1"/>
    <col min="32" max="32" width="20.109375" hidden="1" customWidth="1" outlineLevel="1"/>
    <col min="33" max="33" width="13" bestFit="1" customWidth="1" collapsed="1"/>
    <col min="34" max="34" width="20.6640625" bestFit="1" customWidth="1"/>
  </cols>
  <sheetData>
    <row r="1" spans="1:35" ht="37.5" customHeight="1" x14ac:dyDescent="0.3">
      <c r="A1" s="3" t="s">
        <v>0</v>
      </c>
      <c r="B1" s="4" t="s">
        <v>1</v>
      </c>
      <c r="C1" s="4" t="s">
        <v>2</v>
      </c>
      <c r="D1" s="4" t="s">
        <v>104</v>
      </c>
      <c r="E1" s="4" t="s">
        <v>3</v>
      </c>
      <c r="F1" s="4" t="s">
        <v>4</v>
      </c>
      <c r="G1" s="14" t="s">
        <v>109</v>
      </c>
      <c r="H1" s="4" t="s">
        <v>110</v>
      </c>
      <c r="I1" s="4" t="s">
        <v>6</v>
      </c>
      <c r="J1" s="4" t="s">
        <v>7</v>
      </c>
      <c r="K1" s="4" t="s">
        <v>100</v>
      </c>
      <c r="L1" s="4" t="s">
        <v>101</v>
      </c>
      <c r="M1" s="4" t="s">
        <v>103</v>
      </c>
      <c r="N1" s="4" t="s">
        <v>102</v>
      </c>
      <c r="O1" s="4" t="s">
        <v>8</v>
      </c>
      <c r="P1" s="4" t="s">
        <v>81</v>
      </c>
      <c r="Q1" s="4" t="s">
        <v>82</v>
      </c>
      <c r="R1" s="4" t="s">
        <v>83</v>
      </c>
      <c r="S1" s="4" t="s">
        <v>9</v>
      </c>
      <c r="T1" s="4" t="s">
        <v>76</v>
      </c>
      <c r="U1" s="4" t="s">
        <v>84</v>
      </c>
      <c r="V1" s="4" t="s">
        <v>10</v>
      </c>
      <c r="W1" s="4" t="s">
        <v>88</v>
      </c>
      <c r="X1" s="4" t="s">
        <v>93</v>
      </c>
      <c r="Y1" s="4" t="s">
        <v>89</v>
      </c>
      <c r="Z1" s="4" t="s">
        <v>94</v>
      </c>
      <c r="AA1" s="4" t="s">
        <v>11</v>
      </c>
      <c r="AB1" s="5" t="s">
        <v>12</v>
      </c>
      <c r="AC1" s="4" t="s">
        <v>95</v>
      </c>
      <c r="AD1" s="4" t="s">
        <v>96</v>
      </c>
      <c r="AE1" s="4" t="s">
        <v>111</v>
      </c>
      <c r="AF1" s="4" t="s">
        <v>112</v>
      </c>
      <c r="AG1" s="4" t="s">
        <v>113</v>
      </c>
      <c r="AH1" s="4" t="s">
        <v>114</v>
      </c>
      <c r="AI1" s="4" t="s">
        <v>133</v>
      </c>
    </row>
    <row r="2" spans="1:35" x14ac:dyDescent="0.3">
      <c r="A2" s="15">
        <v>1</v>
      </c>
      <c r="B2" s="16" t="s">
        <v>13</v>
      </c>
      <c r="C2" s="16" t="s">
        <v>14</v>
      </c>
      <c r="D2" s="16" t="str">
        <f>TRIM(Table3[[#This Row],[Rep Last Name]])&amp;", "&amp;TRIM(Table3[[#This Row],[Rep First Name]])</f>
        <v>Joshi, Sanya</v>
      </c>
      <c r="E2" s="16" t="s">
        <v>15</v>
      </c>
      <c r="F2" s="16" t="s">
        <v>16</v>
      </c>
      <c r="G2" s="16" t="s">
        <v>17</v>
      </c>
      <c r="H2" s="16" t="str">
        <f>IF(Table3[[#This Row],[Min Speed (original, incomplete)]]="",_xlfn.IFNA(_xlfn.XLOOKUP(Table3[[#This Row],[Product Type]],Lookups!$G$2:$G$4,Lookups!$H$2:$H$4),"CHECK PRODUCT"),Table3[[#This Row],[Min Speed (original, incomplete)]])</f>
        <v>15 mph</v>
      </c>
      <c r="I2" s="16" t="s">
        <v>18</v>
      </c>
      <c r="J2" s="16" t="s">
        <v>19</v>
      </c>
      <c r="K2" s="17">
        <f>ROUND(VALUE(SUBSTITUTE(Table3[[#This Row],[Min Speed (mph)]]," mph",""))*Lookups!$L$2,0)</f>
        <v>24</v>
      </c>
      <c r="L2" s="17">
        <f>ROUND(VALUE(SUBSTITUTE(Table3[[#This Row],[Speed]]," mph",""))*Lookups!$L$2,0)</f>
        <v>48</v>
      </c>
      <c r="M2" s="17" t="str">
        <f>Table3[[#This Row],[Min Speed (km/h)]]&amp;" – "&amp;Table3[[#This Row],[Max Speed (km/h)]]&amp;" km/h"</f>
        <v>24 – 48 km/h</v>
      </c>
      <c r="N2" s="18">
        <f>IF(ISNUMBER(SEARCH("mile",Table3[[#This Row],[Distance]])),ROUND(VALUE(SUBSTITUTE(Table3[[#This Row],[Distance]]," miles",""))*Lookups!$L$3,0),ROUND(VALUE(SUBSTITUTE(Table3[[#This Row],[Distance]]," meters",""))*Lookups!$L$4,0))</f>
        <v>48</v>
      </c>
      <c r="O2" s="16" t="s">
        <v>20</v>
      </c>
      <c r="P2" s="16" t="str">
        <f>TRIM(LEFT(Table3[[#This Row],[Shipping Address]],FIND(",",Table3[[#This Row],[Shipping Address]])-1))</f>
        <v>456 Brigade Road</v>
      </c>
      <c r="Q2" s="16" t="str">
        <f>TRIM(MID(Table3[[#This Row],[Shipping Address]],FIND(",",Table3[[#This Row],[Shipping Address]])+1,FIND(",",Table3[[#This Row],[Shipping Address]],FIND(",",Table3[[#This Row],[Shipping Address]])+1)-FIND(",",Table3[[#This Row],[Shipping Address]])-1))</f>
        <v>Bengaluru</v>
      </c>
      <c r="R2" s="16" t="str">
        <f>TRIM(MID(Table3[[#This Row],[Shipping Address]],FIND(",",Table3[[#This Row],[Shipping Address]],FIND(",",Table3[[#This Row],[Shipping Address]])+1)+1,20))</f>
        <v>560001</v>
      </c>
      <c r="S2" s="16" t="s">
        <v>21</v>
      </c>
      <c r="T2" s="16" t="str">
        <f>_xlfn.IFNA(_xlfn.XLOOKUP(Table3[[#This Row],[Country Code]],Lookups!$A$2:$A$5,Lookups!$B$2:$B$5),"CHECK CODE")</f>
        <v>India</v>
      </c>
      <c r="U2" s="16" t="str">
        <f>_xlfn.IFNA(_xlfn.XLOOKUP(Table3[[#This Row],[Country Code]],Lookups!$A$2:$A$5,Lookups!$C$2:$C$5),"CHECK CODE")</f>
        <v>Asia</v>
      </c>
      <c r="V2" s="16" t="s">
        <v>22</v>
      </c>
      <c r="W2" s="16" t="str">
        <f>_xlfn.IFNA(_xlfn.XLOOKUP(Table3[[#This Row],[Country Code]],Lookups!$A$2:$A$5,Lookups!$D$2:$D$5),"CHECK CODE")</f>
        <v>INR</v>
      </c>
      <c r="X2" s="16">
        <f>VALUE(MID(Table3[[#This Row],[Unit Price]],2,50))</f>
        <v>30000</v>
      </c>
      <c r="Y2" s="19">
        <f>_xlfn.IFNA(_xlfn.XLOOKUP(Table3[[#This Row],[Country Code]],Lookups!$A$2:$A$5,Lookups!$E$2:$E$5),"")</f>
        <v>109.88200000000001</v>
      </c>
      <c r="Z2" s="87">
        <f>Table3[[#This Row],[Unit Price (local)]]/Table3[[#This Row],[FX Rate (per EUR)]]</f>
        <v>273.02014888698784</v>
      </c>
      <c r="AA2" s="16">
        <v>150</v>
      </c>
      <c r="AB2" s="20">
        <v>10</v>
      </c>
      <c r="AC2" s="21">
        <f>ROUND(Table3[[#This Row],[Unit Price (EUR)]]*Table3[[#This Row],[Units Sold]],0)</f>
        <v>40953</v>
      </c>
      <c r="AD2" s="21">
        <f>ROUND(Table3[[#This Row],[Gross Sales (EUR)]]*(1-Table3[[#This Row],[Discount (%)]]/100),0)</f>
        <v>36858</v>
      </c>
      <c r="AE2" s="21">
        <f>_xlfn.IFNA(_xlfn.XLOOKUP(Table3[[#This Row],[Month]],Lookups!$N$2:$N$13,Lookups!$O$2:$O$13),"CHECK MONTH")</f>
        <v>1</v>
      </c>
      <c r="AF2" s="21" t="str">
        <f>TEXT(Table3[[#This Row],[Month No]],"00")&amp;" - "&amp;Table3[[#This Row],[Month]]</f>
        <v>01 - January</v>
      </c>
      <c r="AG2" s="21" t="str">
        <f>_xlfn.IFNA(_xlfn.XLOOKUP(Table3[[#This Row],[Month]],Lookups!$N$2:$N$13,Lookups!$P$2:$P$13),"CHECK MONTH")</f>
        <v>Q1</v>
      </c>
      <c r="AH2" s="21">
        <f>Table3[[#This Row],[Gross Sales (EUR)]]-Table3[[#This Row],[Total Sales (EUR)]]</f>
        <v>4095</v>
      </c>
      <c r="AI2" s="89">
        <f>DATE(Lookups!$O$15,Table3[[#This Row],[Month No]],1)</f>
        <v>45658</v>
      </c>
    </row>
    <row r="3" spans="1:35" x14ac:dyDescent="0.3">
      <c r="A3" s="15">
        <v>2</v>
      </c>
      <c r="B3" s="16" t="s">
        <v>13</v>
      </c>
      <c r="C3" s="16" t="s">
        <v>14</v>
      </c>
      <c r="D3" s="16" t="str">
        <f>TRIM(Table3[[#This Row],[Rep Last Name]])&amp;", "&amp;TRIM(Table3[[#This Row],[Rep First Name]])</f>
        <v>Joshi, Sanya</v>
      </c>
      <c r="E3" s="16" t="s">
        <v>15</v>
      </c>
      <c r="F3" s="16" t="s">
        <v>23</v>
      </c>
      <c r="G3" s="16" t="s">
        <v>24</v>
      </c>
      <c r="H3" s="16" t="str">
        <f>IF(Table3[[#This Row],[Min Speed (original, incomplete)]]="",_xlfn.IFNA(_xlfn.XLOOKUP(Table3[[#This Row],[Product Type]],Lookups!$G$2:$G$4,Lookups!$H$2:$H$4),"CHECK PRODUCT"),Table3[[#This Row],[Min Speed (original, incomplete)]])</f>
        <v>20 mph</v>
      </c>
      <c r="I3" s="16" t="s">
        <v>25</v>
      </c>
      <c r="J3" s="16" t="s">
        <v>26</v>
      </c>
      <c r="K3" s="17">
        <f>ROUND(VALUE(SUBSTITUTE(Table3[[#This Row],[Min Speed (mph)]]," mph",""))*Lookups!$L$2,0)</f>
        <v>32</v>
      </c>
      <c r="L3" s="17">
        <f>ROUND(VALUE(SUBSTITUTE(Table3[[#This Row],[Speed]]," mph",""))*Lookups!$L$2,0)</f>
        <v>56</v>
      </c>
      <c r="M3" s="17" t="str">
        <f>Table3[[#This Row],[Min Speed (km/h)]]&amp;" – "&amp;Table3[[#This Row],[Max Speed (km/h)]]&amp;" km/h"</f>
        <v>32 – 56 km/h</v>
      </c>
      <c r="N3" s="18">
        <f>IF(ISNUMBER(SEARCH("mile",Table3[[#This Row],[Distance]])),ROUND(VALUE(SUBSTITUTE(Table3[[#This Row],[Distance]]," miles",""))*Lookups!$L$3,0),ROUND(VALUE(SUBSTITUTE(Table3[[#This Row],[Distance]]," meters",""))*Lookups!$L$4,0))</f>
        <v>64</v>
      </c>
      <c r="O3" s="16" t="s">
        <v>27</v>
      </c>
      <c r="P3" s="16" t="str">
        <f>TRIM(LEFT(Table3[[#This Row],[Shipping Address]],FIND(",",Table3[[#This Row],[Shipping Address]])-1))</f>
        <v>457 Brigade Road</v>
      </c>
      <c r="Q3" s="16" t="str">
        <f>TRIM(MID(Table3[[#This Row],[Shipping Address]],FIND(",",Table3[[#This Row],[Shipping Address]])+1,FIND(",",Table3[[#This Row],[Shipping Address]],FIND(",",Table3[[#This Row],[Shipping Address]])+1)-FIND(",",Table3[[#This Row],[Shipping Address]])-1))</f>
        <v>Bengaluru</v>
      </c>
      <c r="R3" s="16" t="str">
        <f>TRIM(MID(Table3[[#This Row],[Shipping Address]],FIND(",",Table3[[#This Row],[Shipping Address]],FIND(",",Table3[[#This Row],[Shipping Address]])+1)+1,20))</f>
        <v>560001</v>
      </c>
      <c r="S3" s="16" t="s">
        <v>21</v>
      </c>
      <c r="T3" s="16" t="str">
        <f>_xlfn.IFNA(_xlfn.XLOOKUP(Table3[[#This Row],[Country Code]],Lookups!$A$2:$A$5,Lookups!$B$2:$B$5),"CHECK CODE")</f>
        <v>India</v>
      </c>
      <c r="U3" s="16" t="str">
        <f>_xlfn.IFNA(_xlfn.XLOOKUP(Table3[[#This Row],[Country Code]],Lookups!$A$2:$A$5,Lookups!$C$2:$C$5),"CHECK CODE")</f>
        <v>Asia</v>
      </c>
      <c r="V3" s="16" t="s">
        <v>28</v>
      </c>
      <c r="W3" s="16" t="str">
        <f>_xlfn.IFNA(_xlfn.XLOOKUP(Table3[[#This Row],[Country Code]],Lookups!$A$2:$A$5,Lookups!$D$2:$D$5),"CHECK CODE")</f>
        <v>INR</v>
      </c>
      <c r="X3" s="16">
        <f>VALUE(MID(Table3[[#This Row],[Unit Price]],2,50))</f>
        <v>25000</v>
      </c>
      <c r="Y3" s="19">
        <f>_xlfn.IFNA(_xlfn.XLOOKUP(Table3[[#This Row],[Country Code]],Lookups!$A$2:$A$5,Lookups!$E$2:$E$5),"")</f>
        <v>109.88200000000001</v>
      </c>
      <c r="Z3" s="87">
        <f>Table3[[#This Row],[Unit Price (local)]]/Table3[[#This Row],[FX Rate (per EUR)]]</f>
        <v>227.51679073915653</v>
      </c>
      <c r="AA3" s="16">
        <v>300</v>
      </c>
      <c r="AB3" s="20">
        <v>10</v>
      </c>
      <c r="AC3" s="21">
        <f>ROUND(Table3[[#This Row],[Unit Price (EUR)]]*Table3[[#This Row],[Units Sold]],0)</f>
        <v>68255</v>
      </c>
      <c r="AD3" s="22">
        <f>ROUND(Table3[[#This Row],[Gross Sales (EUR)]]*(1-Table3[[#This Row],[Discount (%)]]/100),0)</f>
        <v>61430</v>
      </c>
      <c r="AE3" s="22">
        <f>_xlfn.IFNA(_xlfn.XLOOKUP(Table3[[#This Row],[Month]],Lookups!$N$2:$N$13,Lookups!$O$2:$O$13),"CHECK MONTH")</f>
        <v>1</v>
      </c>
      <c r="AF3" s="22" t="str">
        <f>TEXT(Table3[[#This Row],[Month No]],"00")&amp;" - "&amp;Table3[[#This Row],[Month]]</f>
        <v>01 - January</v>
      </c>
      <c r="AG3" s="22" t="str">
        <f>_xlfn.IFNA(_xlfn.XLOOKUP(Table3[[#This Row],[Month]],Lookups!$N$2:$N$13,Lookups!$P$2:$P$13),"CHECK MONTH")</f>
        <v>Q1</v>
      </c>
      <c r="AH3" s="22">
        <f>Table3[[#This Row],[Gross Sales (EUR)]]-Table3[[#This Row],[Total Sales (EUR)]]</f>
        <v>6825</v>
      </c>
      <c r="AI3" s="89">
        <f>DATE(Lookups!$O$15,Table3[[#This Row],[Month No]],1)</f>
        <v>45658</v>
      </c>
    </row>
    <row r="4" spans="1:35" x14ac:dyDescent="0.3">
      <c r="A4" s="15">
        <v>3</v>
      </c>
      <c r="B4" s="16" t="s">
        <v>13</v>
      </c>
      <c r="C4" s="16" t="s">
        <v>14</v>
      </c>
      <c r="D4" s="16" t="str">
        <f>TRIM(Table3[[#This Row],[Rep Last Name]])&amp;", "&amp;TRIM(Table3[[#This Row],[Rep First Name]])</f>
        <v>Joshi, Sanya</v>
      </c>
      <c r="E4" s="16" t="s">
        <v>15</v>
      </c>
      <c r="F4" s="16" t="s">
        <v>29</v>
      </c>
      <c r="G4" s="16" t="s">
        <v>30</v>
      </c>
      <c r="H4" s="16" t="str">
        <f>IF(Table3[[#This Row],[Min Speed (original, incomplete)]]="",_xlfn.IFNA(_xlfn.XLOOKUP(Table3[[#This Row],[Product Type]],Lookups!$G$2:$G$4,Lookups!$H$2:$H$4),"CHECK PRODUCT"),Table3[[#This Row],[Min Speed (original, incomplete)]])</f>
        <v>18 mph</v>
      </c>
      <c r="I4" s="16" t="s">
        <v>31</v>
      </c>
      <c r="J4" s="16" t="s">
        <v>32</v>
      </c>
      <c r="K4" s="17">
        <f>ROUND(VALUE(SUBSTITUTE(Table3[[#This Row],[Min Speed (mph)]]," mph",""))*Lookups!$L$2,0)</f>
        <v>29</v>
      </c>
      <c r="L4" s="17">
        <f>ROUND(VALUE(SUBSTITUTE(Table3[[#This Row],[Speed]]," mph",""))*Lookups!$L$2,0)</f>
        <v>45</v>
      </c>
      <c r="M4" s="17" t="str">
        <f>Table3[[#This Row],[Min Speed (km/h)]]&amp;" – "&amp;Table3[[#This Row],[Max Speed (km/h)]]&amp;" km/h"</f>
        <v>29 – 45 km/h</v>
      </c>
      <c r="N4" s="18">
        <f>IF(ISNUMBER(SEARCH("mile",Table3[[#This Row],[Distance]])),ROUND(VALUE(SUBSTITUTE(Table3[[#This Row],[Distance]]," miles",""))*Lookups!$L$3,0),ROUND(VALUE(SUBSTITUTE(Table3[[#This Row],[Distance]]," meters",""))*Lookups!$L$4,0))</f>
        <v>40</v>
      </c>
      <c r="O4" s="16" t="s">
        <v>33</v>
      </c>
      <c r="P4" s="16" t="str">
        <f>TRIM(LEFT(Table3[[#This Row],[Shipping Address]],FIND(",",Table3[[#This Row],[Shipping Address]])-1))</f>
        <v>458 Brigade Road</v>
      </c>
      <c r="Q4" s="16" t="str">
        <f>TRIM(MID(Table3[[#This Row],[Shipping Address]],FIND(",",Table3[[#This Row],[Shipping Address]])+1,FIND(",",Table3[[#This Row],[Shipping Address]],FIND(",",Table3[[#This Row],[Shipping Address]])+1)-FIND(",",Table3[[#This Row],[Shipping Address]])-1))</f>
        <v>Bengaluru</v>
      </c>
      <c r="R4" s="16" t="str">
        <f>TRIM(MID(Table3[[#This Row],[Shipping Address]],FIND(",",Table3[[#This Row],[Shipping Address]],FIND(",",Table3[[#This Row],[Shipping Address]])+1)+1,20))</f>
        <v>560001</v>
      </c>
      <c r="S4" s="16" t="s">
        <v>21</v>
      </c>
      <c r="T4" s="16" t="str">
        <f>_xlfn.IFNA(_xlfn.XLOOKUP(Table3[[#This Row],[Country Code]],Lookups!$A$2:$A$5,Lookups!$B$2:$B$5),"CHECK CODE")</f>
        <v>India</v>
      </c>
      <c r="U4" s="16" t="str">
        <f>_xlfn.IFNA(_xlfn.XLOOKUP(Table3[[#This Row],[Country Code]],Lookups!$A$2:$A$5,Lookups!$C$2:$C$5),"CHECK CODE")</f>
        <v>Asia</v>
      </c>
      <c r="V4" s="16" t="s">
        <v>34</v>
      </c>
      <c r="W4" s="16" t="str">
        <f>_xlfn.IFNA(_xlfn.XLOOKUP(Table3[[#This Row],[Country Code]],Lookups!$A$2:$A$5,Lookups!$D$2:$D$5),"CHECK CODE")</f>
        <v>INR</v>
      </c>
      <c r="X4" s="16">
        <f>VALUE(MID(Table3[[#This Row],[Unit Price]],2,50))</f>
        <v>22000</v>
      </c>
      <c r="Y4" s="19">
        <f>_xlfn.IFNA(_xlfn.XLOOKUP(Table3[[#This Row],[Country Code]],Lookups!$A$2:$A$5,Lookups!$E$2:$E$5),"")</f>
        <v>109.88200000000001</v>
      </c>
      <c r="Z4" s="87">
        <f>Table3[[#This Row],[Unit Price (local)]]/Table3[[#This Row],[FX Rate (per EUR)]]</f>
        <v>200.21477585045776</v>
      </c>
      <c r="AA4" s="16">
        <v>200</v>
      </c>
      <c r="AB4" s="20">
        <v>10</v>
      </c>
      <c r="AC4" s="21">
        <f>ROUND(Table3[[#This Row],[Unit Price (EUR)]]*Table3[[#This Row],[Units Sold]],0)</f>
        <v>40043</v>
      </c>
      <c r="AD4" s="22">
        <f>ROUND(Table3[[#This Row],[Gross Sales (EUR)]]*(1-Table3[[#This Row],[Discount (%)]]/100),0)</f>
        <v>36039</v>
      </c>
      <c r="AE4" s="22">
        <f>_xlfn.IFNA(_xlfn.XLOOKUP(Table3[[#This Row],[Month]],Lookups!$N$2:$N$13,Lookups!$O$2:$O$13),"CHECK MONTH")</f>
        <v>1</v>
      </c>
      <c r="AF4" s="22" t="str">
        <f>TEXT(Table3[[#This Row],[Month No]],"00")&amp;" - "&amp;Table3[[#This Row],[Month]]</f>
        <v>01 - January</v>
      </c>
      <c r="AG4" s="22" t="str">
        <f>_xlfn.IFNA(_xlfn.XLOOKUP(Table3[[#This Row],[Month]],Lookups!$N$2:$N$13,Lookups!$P$2:$P$13),"CHECK MONTH")</f>
        <v>Q1</v>
      </c>
      <c r="AH4" s="22">
        <f>Table3[[#This Row],[Gross Sales (EUR)]]-Table3[[#This Row],[Total Sales (EUR)]]</f>
        <v>4004</v>
      </c>
      <c r="AI4" s="89">
        <f>DATE(Lookups!$O$15,Table3[[#This Row],[Month No]],1)</f>
        <v>45658</v>
      </c>
    </row>
    <row r="5" spans="1:35" x14ac:dyDescent="0.3">
      <c r="A5" s="15">
        <v>4</v>
      </c>
      <c r="B5" s="16" t="s">
        <v>35</v>
      </c>
      <c r="C5" s="16" t="s">
        <v>36</v>
      </c>
      <c r="D5" s="16" t="str">
        <f>TRIM(Table3[[#This Row],[Rep Last Name]])&amp;", "&amp;TRIM(Table3[[#This Row],[Rep First Name]])</f>
        <v>Liu, Fang</v>
      </c>
      <c r="E5" s="16" t="s">
        <v>15</v>
      </c>
      <c r="F5" s="16" t="s">
        <v>16</v>
      </c>
      <c r="G5" s="16" t="s">
        <v>17</v>
      </c>
      <c r="H5" s="16" t="str">
        <f>IF(Table3[[#This Row],[Min Speed (original, incomplete)]]="",_xlfn.IFNA(_xlfn.XLOOKUP(Table3[[#This Row],[Product Type]],Lookups!$G$2:$G$4,Lookups!$H$2:$H$4),"CHECK PRODUCT"),Table3[[#This Row],[Min Speed (original, incomplete)]])</f>
        <v>15 mph</v>
      </c>
      <c r="I5" s="16" t="s">
        <v>18</v>
      </c>
      <c r="J5" s="16" t="s">
        <v>19</v>
      </c>
      <c r="K5" s="17">
        <f>ROUND(VALUE(SUBSTITUTE(Table3[[#This Row],[Min Speed (mph)]]," mph",""))*Lookups!$L$2,0)</f>
        <v>24</v>
      </c>
      <c r="L5" s="17">
        <f>ROUND(VALUE(SUBSTITUTE(Table3[[#This Row],[Speed]]," mph",""))*Lookups!$L$2,0)</f>
        <v>48</v>
      </c>
      <c r="M5" s="17" t="str">
        <f>Table3[[#This Row],[Min Speed (km/h)]]&amp;" – "&amp;Table3[[#This Row],[Max Speed (km/h)]]&amp;" km/h"</f>
        <v>24 – 48 km/h</v>
      </c>
      <c r="N5" s="18">
        <f>IF(ISNUMBER(SEARCH("mile",Table3[[#This Row],[Distance]])),ROUND(VALUE(SUBSTITUTE(Table3[[#This Row],[Distance]]," miles",""))*Lookups!$L$3,0),ROUND(VALUE(SUBSTITUTE(Table3[[#This Row],[Distance]]," meters",""))*Lookups!$L$4,0))</f>
        <v>48</v>
      </c>
      <c r="O5" s="16" t="s">
        <v>37</v>
      </c>
      <c r="P5" s="16" t="str">
        <f>TRIM(LEFT(Table3[[#This Row],[Shipping Address]],FIND(",",Table3[[#This Row],[Shipping Address]])-1))</f>
        <v>99 Nanjing Road</v>
      </c>
      <c r="Q5" s="16" t="str">
        <f>TRIM(MID(Table3[[#This Row],[Shipping Address]],FIND(",",Table3[[#This Row],[Shipping Address]])+1,FIND(",",Table3[[#This Row],[Shipping Address]],FIND(",",Table3[[#This Row],[Shipping Address]])+1)-FIND(",",Table3[[#This Row],[Shipping Address]])-1))</f>
        <v>Shanghai</v>
      </c>
      <c r="R5" s="16" t="str">
        <f>TRIM(MID(Table3[[#This Row],[Shipping Address]],FIND(",",Table3[[#This Row],[Shipping Address]],FIND(",",Table3[[#This Row],[Shipping Address]])+1)+1,20))</f>
        <v>200001</v>
      </c>
      <c r="S5" s="16" t="s">
        <v>38</v>
      </c>
      <c r="T5" s="16" t="str">
        <f>_xlfn.IFNA(_xlfn.XLOOKUP(Table3[[#This Row],[Country Code]],Lookups!$A$2:$A$5,Lookups!$B$2:$B$5),"CHECK CODE")</f>
        <v>China</v>
      </c>
      <c r="U5" s="16" t="str">
        <f>_xlfn.IFNA(_xlfn.XLOOKUP(Table3[[#This Row],[Country Code]],Lookups!$A$2:$A$5,Lookups!$C$2:$C$5),"CHECK CODE")</f>
        <v>Asia</v>
      </c>
      <c r="V5" s="16" t="s">
        <v>39</v>
      </c>
      <c r="W5" s="16" t="str">
        <f>_xlfn.IFNA(_xlfn.XLOOKUP(Table3[[#This Row],[Country Code]],Lookups!$A$2:$A$5,Lookups!$D$2:$D$5),"CHECK CODE")</f>
        <v>CNY</v>
      </c>
      <c r="X5" s="16">
        <f>VALUE(MID(Table3[[#This Row],[Unit Price]],2,50))</f>
        <v>5000</v>
      </c>
      <c r="Y5" s="19">
        <f>_xlfn.IFNA(_xlfn.XLOOKUP(Table3[[#This Row],[Country Code]],Lookups!$A$2:$A$5,Lookups!$E$2:$E$5),"")</f>
        <v>7.7255000000000003</v>
      </c>
      <c r="Z5" s="87">
        <f>Table3[[#This Row],[Unit Price (local)]]/Table3[[#This Row],[FX Rate (per EUR)]]</f>
        <v>647.20730049834958</v>
      </c>
      <c r="AA5" s="16">
        <v>500</v>
      </c>
      <c r="AB5" s="20">
        <v>10</v>
      </c>
      <c r="AC5" s="21">
        <f>ROUND(Table3[[#This Row],[Unit Price (EUR)]]*Table3[[#This Row],[Units Sold]],0)</f>
        <v>323604</v>
      </c>
      <c r="AD5" s="22">
        <f>ROUND(Table3[[#This Row],[Gross Sales (EUR)]]*(1-Table3[[#This Row],[Discount (%)]]/100),0)</f>
        <v>291244</v>
      </c>
      <c r="AE5" s="22">
        <f>_xlfn.IFNA(_xlfn.XLOOKUP(Table3[[#This Row],[Month]],Lookups!$N$2:$N$13,Lookups!$O$2:$O$13),"CHECK MONTH")</f>
        <v>1</v>
      </c>
      <c r="AF5" s="22" t="str">
        <f>TEXT(Table3[[#This Row],[Month No]],"00")&amp;" - "&amp;Table3[[#This Row],[Month]]</f>
        <v>01 - January</v>
      </c>
      <c r="AG5" s="22" t="str">
        <f>_xlfn.IFNA(_xlfn.XLOOKUP(Table3[[#This Row],[Month]],Lookups!$N$2:$N$13,Lookups!$P$2:$P$13),"CHECK MONTH")</f>
        <v>Q1</v>
      </c>
      <c r="AH5" s="22">
        <f>Table3[[#This Row],[Gross Sales (EUR)]]-Table3[[#This Row],[Total Sales (EUR)]]</f>
        <v>32360</v>
      </c>
      <c r="AI5" s="89">
        <f>DATE(Lookups!$O$15,Table3[[#This Row],[Month No]],1)</f>
        <v>45658</v>
      </c>
    </row>
    <row r="6" spans="1:35" x14ac:dyDescent="0.3">
      <c r="A6" s="15">
        <v>5</v>
      </c>
      <c r="B6" s="16" t="s">
        <v>35</v>
      </c>
      <c r="C6" s="16" t="s">
        <v>36</v>
      </c>
      <c r="D6" s="16" t="str">
        <f>TRIM(Table3[[#This Row],[Rep Last Name]])&amp;", "&amp;TRIM(Table3[[#This Row],[Rep First Name]])</f>
        <v>Liu, Fang</v>
      </c>
      <c r="E6" s="16" t="s">
        <v>15</v>
      </c>
      <c r="F6" s="16" t="s">
        <v>23</v>
      </c>
      <c r="G6" s="16" t="s">
        <v>24</v>
      </c>
      <c r="H6" s="16" t="str">
        <f>IF(Table3[[#This Row],[Min Speed (original, incomplete)]]="",_xlfn.IFNA(_xlfn.XLOOKUP(Table3[[#This Row],[Product Type]],Lookups!$G$2:$G$4,Lookups!$H$2:$H$4),"CHECK PRODUCT"),Table3[[#This Row],[Min Speed (original, incomplete)]])</f>
        <v>20 mph</v>
      </c>
      <c r="I6" s="16" t="s">
        <v>25</v>
      </c>
      <c r="J6" s="16" t="s">
        <v>26</v>
      </c>
      <c r="K6" s="17">
        <f>ROUND(VALUE(SUBSTITUTE(Table3[[#This Row],[Min Speed (mph)]]," mph",""))*Lookups!$L$2,0)</f>
        <v>32</v>
      </c>
      <c r="L6" s="17">
        <f>ROUND(VALUE(SUBSTITUTE(Table3[[#This Row],[Speed]]," mph",""))*Lookups!$L$2,0)</f>
        <v>56</v>
      </c>
      <c r="M6" s="17" t="str">
        <f>Table3[[#This Row],[Min Speed (km/h)]]&amp;" – "&amp;Table3[[#This Row],[Max Speed (km/h)]]&amp;" km/h"</f>
        <v>32 – 56 km/h</v>
      </c>
      <c r="N6" s="18">
        <f>IF(ISNUMBER(SEARCH("mile",Table3[[#This Row],[Distance]])),ROUND(VALUE(SUBSTITUTE(Table3[[#This Row],[Distance]]," miles",""))*Lookups!$L$3,0),ROUND(VALUE(SUBSTITUTE(Table3[[#This Row],[Distance]]," meters",""))*Lookups!$L$4,0))</f>
        <v>64</v>
      </c>
      <c r="O6" s="16" t="s">
        <v>40</v>
      </c>
      <c r="P6" s="16" t="str">
        <f>TRIM(LEFT(Table3[[#This Row],[Shipping Address]],FIND(",",Table3[[#This Row],[Shipping Address]])-1))</f>
        <v>100 Nanjing Road</v>
      </c>
      <c r="Q6" s="16" t="str">
        <f>TRIM(MID(Table3[[#This Row],[Shipping Address]],FIND(",",Table3[[#This Row],[Shipping Address]])+1,FIND(",",Table3[[#This Row],[Shipping Address]],FIND(",",Table3[[#This Row],[Shipping Address]])+1)-FIND(",",Table3[[#This Row],[Shipping Address]])-1))</f>
        <v>Shanghai</v>
      </c>
      <c r="R6" s="16" t="str">
        <f>TRIM(MID(Table3[[#This Row],[Shipping Address]],FIND(",",Table3[[#This Row],[Shipping Address]],FIND(",",Table3[[#This Row],[Shipping Address]])+1)+1,20))</f>
        <v>200001</v>
      </c>
      <c r="S6" s="16" t="s">
        <v>38</v>
      </c>
      <c r="T6" s="16" t="str">
        <f>_xlfn.IFNA(_xlfn.XLOOKUP(Table3[[#This Row],[Country Code]],Lookups!$A$2:$A$5,Lookups!$B$2:$B$5),"CHECK CODE")</f>
        <v>China</v>
      </c>
      <c r="U6" s="16" t="str">
        <f>_xlfn.IFNA(_xlfn.XLOOKUP(Table3[[#This Row],[Country Code]],Lookups!$A$2:$A$5,Lookups!$C$2:$C$5),"CHECK CODE")</f>
        <v>Asia</v>
      </c>
      <c r="V6" s="16" t="s">
        <v>41</v>
      </c>
      <c r="W6" s="16" t="str">
        <f>_xlfn.IFNA(_xlfn.XLOOKUP(Table3[[#This Row],[Country Code]],Lookups!$A$2:$A$5,Lookups!$D$2:$D$5),"CHECK CODE")</f>
        <v>CNY</v>
      </c>
      <c r="X6" s="16">
        <f>VALUE(MID(Table3[[#This Row],[Unit Price]],2,50))</f>
        <v>3500</v>
      </c>
      <c r="Y6" s="19">
        <f>_xlfn.IFNA(_xlfn.XLOOKUP(Table3[[#This Row],[Country Code]],Lookups!$A$2:$A$5,Lookups!$E$2:$E$5),"")</f>
        <v>7.7255000000000003</v>
      </c>
      <c r="Z6" s="87">
        <f>Table3[[#This Row],[Unit Price (local)]]/Table3[[#This Row],[FX Rate (per EUR)]]</f>
        <v>453.04511034884473</v>
      </c>
      <c r="AA6" s="16">
        <v>1000</v>
      </c>
      <c r="AB6" s="20">
        <v>10</v>
      </c>
      <c r="AC6" s="21">
        <f>ROUND(Table3[[#This Row],[Unit Price (EUR)]]*Table3[[#This Row],[Units Sold]],0)</f>
        <v>453045</v>
      </c>
      <c r="AD6" s="22">
        <f>ROUND(Table3[[#This Row],[Gross Sales (EUR)]]*(1-Table3[[#This Row],[Discount (%)]]/100),0)</f>
        <v>407741</v>
      </c>
      <c r="AE6" s="22">
        <f>_xlfn.IFNA(_xlfn.XLOOKUP(Table3[[#This Row],[Month]],Lookups!$N$2:$N$13,Lookups!$O$2:$O$13),"CHECK MONTH")</f>
        <v>1</v>
      </c>
      <c r="AF6" s="22" t="str">
        <f>TEXT(Table3[[#This Row],[Month No]],"00")&amp;" - "&amp;Table3[[#This Row],[Month]]</f>
        <v>01 - January</v>
      </c>
      <c r="AG6" s="22" t="str">
        <f>_xlfn.IFNA(_xlfn.XLOOKUP(Table3[[#This Row],[Month]],Lookups!$N$2:$N$13,Lookups!$P$2:$P$13),"CHECK MONTH")</f>
        <v>Q1</v>
      </c>
      <c r="AH6" s="22">
        <f>Table3[[#This Row],[Gross Sales (EUR)]]-Table3[[#This Row],[Total Sales (EUR)]]</f>
        <v>45304</v>
      </c>
      <c r="AI6" s="89">
        <f>DATE(Lookups!$O$15,Table3[[#This Row],[Month No]],1)</f>
        <v>45658</v>
      </c>
    </row>
    <row r="7" spans="1:35" x14ac:dyDescent="0.3">
      <c r="A7" s="15">
        <v>6</v>
      </c>
      <c r="B7" s="16" t="s">
        <v>35</v>
      </c>
      <c r="C7" s="16" t="s">
        <v>36</v>
      </c>
      <c r="D7" s="16" t="str">
        <f>TRIM(Table3[[#This Row],[Rep Last Name]])&amp;", "&amp;TRIM(Table3[[#This Row],[Rep First Name]])</f>
        <v>Liu, Fang</v>
      </c>
      <c r="E7" s="16" t="s">
        <v>15</v>
      </c>
      <c r="F7" s="16" t="s">
        <v>29</v>
      </c>
      <c r="G7" s="23"/>
      <c r="H7" s="16" t="str">
        <f>IF(Table3[[#This Row],[Min Speed (original, incomplete)]]="",_xlfn.IFNA(_xlfn.XLOOKUP(Table3[[#This Row],[Product Type]],Lookups!$G$2:$G$4,Lookups!$H$2:$H$4),"CHECK PRODUCT"),Table3[[#This Row],[Min Speed (original, incomplete)]])</f>
        <v>18 mph</v>
      </c>
      <c r="I7" s="16" t="s">
        <v>31</v>
      </c>
      <c r="J7" s="16" t="s">
        <v>42</v>
      </c>
      <c r="K7" s="17">
        <f>ROUND(VALUE(SUBSTITUTE(Table3[[#This Row],[Min Speed (mph)]]," mph",""))*Lookups!$L$2,0)</f>
        <v>29</v>
      </c>
      <c r="L7" s="17">
        <f>ROUND(VALUE(SUBSTITUTE(Table3[[#This Row],[Speed]]," mph",""))*Lookups!$L$2,0)</f>
        <v>45</v>
      </c>
      <c r="M7" s="17" t="str">
        <f>Table3[[#This Row],[Min Speed (km/h)]]&amp;" – "&amp;Table3[[#This Row],[Max Speed (km/h)]]&amp;" km/h"</f>
        <v>29 – 45 km/h</v>
      </c>
      <c r="N7" s="18">
        <f>IF(ISNUMBER(SEARCH("mile",Table3[[#This Row],[Distance]])),ROUND(VALUE(SUBSTITUTE(Table3[[#This Row],[Distance]]," miles",""))*Lookups!$L$3,0),ROUND(VALUE(SUBSTITUTE(Table3[[#This Row],[Distance]]," meters",""))*Lookups!$L$4,0))</f>
        <v>40</v>
      </c>
      <c r="O7" s="16" t="s">
        <v>43</v>
      </c>
      <c r="P7" s="16" t="str">
        <f>TRIM(LEFT(Table3[[#This Row],[Shipping Address]],FIND(",",Table3[[#This Row],[Shipping Address]])-1))</f>
        <v>101 Nanjing Road</v>
      </c>
      <c r="Q7" s="16" t="str">
        <f>TRIM(MID(Table3[[#This Row],[Shipping Address]],FIND(",",Table3[[#This Row],[Shipping Address]])+1,FIND(",",Table3[[#This Row],[Shipping Address]],FIND(",",Table3[[#This Row],[Shipping Address]])+1)-FIND(",",Table3[[#This Row],[Shipping Address]])-1))</f>
        <v>Shanghai</v>
      </c>
      <c r="R7" s="16" t="str">
        <f>TRIM(MID(Table3[[#This Row],[Shipping Address]],FIND(",",Table3[[#This Row],[Shipping Address]],FIND(",",Table3[[#This Row],[Shipping Address]])+1)+1,20))</f>
        <v>200001</v>
      </c>
      <c r="S7" s="16" t="s">
        <v>38</v>
      </c>
      <c r="T7" s="16" t="str">
        <f>_xlfn.IFNA(_xlfn.XLOOKUP(Table3[[#This Row],[Country Code]],Lookups!$A$2:$A$5,Lookups!$B$2:$B$5),"CHECK CODE")</f>
        <v>China</v>
      </c>
      <c r="U7" s="16" t="str">
        <f>_xlfn.IFNA(_xlfn.XLOOKUP(Table3[[#This Row],[Country Code]],Lookups!$A$2:$A$5,Lookups!$C$2:$C$5),"CHECK CODE")</f>
        <v>Asia</v>
      </c>
      <c r="V7" s="16" t="s">
        <v>44</v>
      </c>
      <c r="W7" s="16" t="str">
        <f>_xlfn.IFNA(_xlfn.XLOOKUP(Table3[[#This Row],[Country Code]],Lookups!$A$2:$A$5,Lookups!$D$2:$D$5),"CHECK CODE")</f>
        <v>CNY</v>
      </c>
      <c r="X7" s="16">
        <f>VALUE(MID(Table3[[#This Row],[Unit Price]],2,50))</f>
        <v>4200</v>
      </c>
      <c r="Y7" s="19">
        <f>_xlfn.IFNA(_xlfn.XLOOKUP(Table3[[#This Row],[Country Code]],Lookups!$A$2:$A$5,Lookups!$E$2:$E$5),"")</f>
        <v>7.7255000000000003</v>
      </c>
      <c r="Z7" s="87">
        <f>Table3[[#This Row],[Unit Price (local)]]/Table3[[#This Row],[FX Rate (per EUR)]]</f>
        <v>543.6541324186137</v>
      </c>
      <c r="AA7" s="16">
        <v>800</v>
      </c>
      <c r="AB7" s="20">
        <v>10</v>
      </c>
      <c r="AC7" s="21">
        <f>ROUND(Table3[[#This Row],[Unit Price (EUR)]]*Table3[[#This Row],[Units Sold]],0)</f>
        <v>434923</v>
      </c>
      <c r="AD7" s="22">
        <f>ROUND(Table3[[#This Row],[Gross Sales (EUR)]]*(1-Table3[[#This Row],[Discount (%)]]/100),0)</f>
        <v>391431</v>
      </c>
      <c r="AE7" s="22">
        <f>_xlfn.IFNA(_xlfn.XLOOKUP(Table3[[#This Row],[Month]],Lookups!$N$2:$N$13,Lookups!$O$2:$O$13),"CHECK MONTH")</f>
        <v>1</v>
      </c>
      <c r="AF7" s="22" t="str">
        <f>TEXT(Table3[[#This Row],[Month No]],"00")&amp;" - "&amp;Table3[[#This Row],[Month]]</f>
        <v>01 - January</v>
      </c>
      <c r="AG7" s="22" t="str">
        <f>_xlfn.IFNA(_xlfn.XLOOKUP(Table3[[#This Row],[Month]],Lookups!$N$2:$N$13,Lookups!$P$2:$P$13),"CHECK MONTH")</f>
        <v>Q1</v>
      </c>
      <c r="AH7" s="22">
        <f>Table3[[#This Row],[Gross Sales (EUR)]]-Table3[[#This Row],[Total Sales (EUR)]]</f>
        <v>43492</v>
      </c>
      <c r="AI7" s="89">
        <f>DATE(Lookups!$O$15,Table3[[#This Row],[Month No]],1)</f>
        <v>45658</v>
      </c>
    </row>
    <row r="8" spans="1:35" x14ac:dyDescent="0.3">
      <c r="A8" s="15">
        <v>7</v>
      </c>
      <c r="B8" s="16" t="s">
        <v>45</v>
      </c>
      <c r="C8" s="16" t="s">
        <v>46</v>
      </c>
      <c r="D8" s="16" t="str">
        <f>TRIM(Table3[[#This Row],[Rep Last Name]])&amp;", "&amp;TRIM(Table3[[#This Row],[Rep First Name]])</f>
        <v>Fischer, Jonas</v>
      </c>
      <c r="E8" s="16" t="s">
        <v>15</v>
      </c>
      <c r="F8" s="16" t="s">
        <v>16</v>
      </c>
      <c r="G8" s="16" t="s">
        <v>17</v>
      </c>
      <c r="H8" s="16" t="str">
        <f>IF(Table3[[#This Row],[Min Speed (original, incomplete)]]="",_xlfn.IFNA(_xlfn.XLOOKUP(Table3[[#This Row],[Product Type]],Lookups!$G$2:$G$4,Lookups!$H$2:$H$4),"CHECK PRODUCT"),Table3[[#This Row],[Min Speed (original, incomplete)]])</f>
        <v>15 mph</v>
      </c>
      <c r="I8" s="16" t="s">
        <v>18</v>
      </c>
      <c r="J8" s="16" t="s">
        <v>47</v>
      </c>
      <c r="K8" s="17">
        <f>ROUND(VALUE(SUBSTITUTE(Table3[[#This Row],[Min Speed (mph)]]," mph",""))*Lookups!$L$2,0)</f>
        <v>24</v>
      </c>
      <c r="L8" s="17">
        <f>ROUND(VALUE(SUBSTITUTE(Table3[[#This Row],[Speed]]," mph",""))*Lookups!$L$2,0)</f>
        <v>48</v>
      </c>
      <c r="M8" s="17" t="str">
        <f>Table3[[#This Row],[Min Speed (km/h)]]&amp;" – "&amp;Table3[[#This Row],[Max Speed (km/h)]]&amp;" km/h"</f>
        <v>24 – 48 km/h</v>
      </c>
      <c r="N8" s="18">
        <f>IF(ISNUMBER(SEARCH("mile",Table3[[#This Row],[Distance]])),ROUND(VALUE(SUBSTITUTE(Table3[[#This Row],[Distance]]," miles",""))*Lookups!$L$3,0),ROUND(VALUE(SUBSTITUTE(Table3[[#This Row],[Distance]]," meters",""))*Lookups!$L$4,0))</f>
        <v>48</v>
      </c>
      <c r="O8" s="16" t="s">
        <v>48</v>
      </c>
      <c r="P8" s="16" t="str">
        <f>TRIM(LEFT(Table3[[#This Row],[Shipping Address]],FIND(",",Table3[[#This Row],[Shipping Address]])-1))</f>
        <v>303 Ringstraße</v>
      </c>
      <c r="Q8" s="16" t="str">
        <f>TRIM(MID(Table3[[#This Row],[Shipping Address]],FIND(",",Table3[[#This Row],[Shipping Address]])+1,FIND(",",Table3[[#This Row],[Shipping Address]],FIND(",",Table3[[#This Row],[Shipping Address]])+1)-FIND(",",Table3[[#This Row],[Shipping Address]])-1))</f>
        <v>Hamburg</v>
      </c>
      <c r="R8" s="16" t="str">
        <f>TRIM(MID(Table3[[#This Row],[Shipping Address]],FIND(",",Table3[[#This Row],[Shipping Address]],FIND(",",Table3[[#This Row],[Shipping Address]])+1)+1,20))</f>
        <v>20095</v>
      </c>
      <c r="S8" s="16" t="s">
        <v>49</v>
      </c>
      <c r="T8" s="16" t="str">
        <f>_xlfn.IFNA(_xlfn.XLOOKUP(Table3[[#This Row],[Country Code]],Lookups!$A$2:$A$5,Lookups!$B$2:$B$5),"CHECK CODE")</f>
        <v>Germany</v>
      </c>
      <c r="U8" s="16" t="str">
        <f>_xlfn.IFNA(_xlfn.XLOOKUP(Table3[[#This Row],[Country Code]],Lookups!$A$2:$A$5,Lookups!$C$2:$C$5),"CHECK CODE")</f>
        <v>Europe</v>
      </c>
      <c r="V8" s="16" t="s">
        <v>50</v>
      </c>
      <c r="W8" s="16" t="str">
        <f>_xlfn.IFNA(_xlfn.XLOOKUP(Table3[[#This Row],[Country Code]],Lookups!$A$2:$A$5,Lookups!$D$2:$D$5),"CHECK CODE")</f>
        <v>EUR</v>
      </c>
      <c r="X8" s="16">
        <f>VALUE(MID(Table3[[#This Row],[Unit Price]],2,50))</f>
        <v>1000</v>
      </c>
      <c r="Y8" s="19">
        <f>_xlfn.IFNA(_xlfn.XLOOKUP(Table3[[#This Row],[Country Code]],Lookups!$A$2:$A$5,Lookups!$E$2:$E$5),"")</f>
        <v>1</v>
      </c>
      <c r="Z8" s="87">
        <f>Table3[[#This Row],[Unit Price (local)]]/Table3[[#This Row],[FX Rate (per EUR)]]</f>
        <v>1000</v>
      </c>
      <c r="AA8" s="16">
        <v>120</v>
      </c>
      <c r="AB8" s="20">
        <v>10</v>
      </c>
      <c r="AC8" s="21">
        <f>ROUND(Table3[[#This Row],[Unit Price (EUR)]]*Table3[[#This Row],[Units Sold]],0)</f>
        <v>120000</v>
      </c>
      <c r="AD8" s="22">
        <f>ROUND(Table3[[#This Row],[Gross Sales (EUR)]]*(1-Table3[[#This Row],[Discount (%)]]/100),0)</f>
        <v>108000</v>
      </c>
      <c r="AE8" s="22">
        <f>_xlfn.IFNA(_xlfn.XLOOKUP(Table3[[#This Row],[Month]],Lookups!$N$2:$N$13,Lookups!$O$2:$O$13),"CHECK MONTH")</f>
        <v>1</v>
      </c>
      <c r="AF8" s="22" t="str">
        <f>TEXT(Table3[[#This Row],[Month No]],"00")&amp;" - "&amp;Table3[[#This Row],[Month]]</f>
        <v>01 - January</v>
      </c>
      <c r="AG8" s="22" t="str">
        <f>_xlfn.IFNA(_xlfn.XLOOKUP(Table3[[#This Row],[Month]],Lookups!$N$2:$N$13,Lookups!$P$2:$P$13),"CHECK MONTH")</f>
        <v>Q1</v>
      </c>
      <c r="AH8" s="22">
        <f>Table3[[#This Row],[Gross Sales (EUR)]]-Table3[[#This Row],[Total Sales (EUR)]]</f>
        <v>12000</v>
      </c>
      <c r="AI8" s="89">
        <f>DATE(Lookups!$O$15,Table3[[#This Row],[Month No]],1)</f>
        <v>45658</v>
      </c>
    </row>
    <row r="9" spans="1:35" x14ac:dyDescent="0.3">
      <c r="A9" s="15">
        <v>8</v>
      </c>
      <c r="B9" s="16" t="s">
        <v>45</v>
      </c>
      <c r="C9" s="16" t="s">
        <v>46</v>
      </c>
      <c r="D9" s="16" t="str">
        <f>TRIM(Table3[[#This Row],[Rep Last Name]])&amp;", "&amp;TRIM(Table3[[#This Row],[Rep First Name]])</f>
        <v>Fischer, Jonas</v>
      </c>
      <c r="E9" s="16" t="s">
        <v>15</v>
      </c>
      <c r="F9" s="16" t="s">
        <v>23</v>
      </c>
      <c r="G9" s="16" t="s">
        <v>24</v>
      </c>
      <c r="H9" s="16" t="str">
        <f>IF(Table3[[#This Row],[Min Speed (original, incomplete)]]="",_xlfn.IFNA(_xlfn.XLOOKUP(Table3[[#This Row],[Product Type]],Lookups!$G$2:$G$4,Lookups!$H$2:$H$4),"CHECK PRODUCT"),Table3[[#This Row],[Min Speed (original, incomplete)]])</f>
        <v>20 mph</v>
      </c>
      <c r="I9" s="16" t="s">
        <v>25</v>
      </c>
      <c r="J9" s="16" t="s">
        <v>26</v>
      </c>
      <c r="K9" s="17">
        <f>ROUND(VALUE(SUBSTITUTE(Table3[[#This Row],[Min Speed (mph)]]," mph",""))*Lookups!$L$2,0)</f>
        <v>32</v>
      </c>
      <c r="L9" s="17">
        <f>ROUND(VALUE(SUBSTITUTE(Table3[[#This Row],[Speed]]," mph",""))*Lookups!$L$2,0)</f>
        <v>56</v>
      </c>
      <c r="M9" s="17" t="str">
        <f>Table3[[#This Row],[Min Speed (km/h)]]&amp;" – "&amp;Table3[[#This Row],[Max Speed (km/h)]]&amp;" km/h"</f>
        <v>32 – 56 km/h</v>
      </c>
      <c r="N9" s="18">
        <f>IF(ISNUMBER(SEARCH("mile",Table3[[#This Row],[Distance]])),ROUND(VALUE(SUBSTITUTE(Table3[[#This Row],[Distance]]," miles",""))*Lookups!$L$3,0),ROUND(VALUE(SUBSTITUTE(Table3[[#This Row],[Distance]]," meters",""))*Lookups!$L$4,0))</f>
        <v>64</v>
      </c>
      <c r="O9" s="16" t="s">
        <v>51</v>
      </c>
      <c r="P9" s="16" t="str">
        <f>TRIM(LEFT(Table3[[#This Row],[Shipping Address]],FIND(",",Table3[[#This Row],[Shipping Address]])-1))</f>
        <v>304 Ringstraße</v>
      </c>
      <c r="Q9" s="16" t="str">
        <f>TRIM(MID(Table3[[#This Row],[Shipping Address]],FIND(",",Table3[[#This Row],[Shipping Address]])+1,FIND(",",Table3[[#This Row],[Shipping Address]],FIND(",",Table3[[#This Row],[Shipping Address]])+1)-FIND(",",Table3[[#This Row],[Shipping Address]])-1))</f>
        <v>Hamburg</v>
      </c>
      <c r="R9" s="16" t="str">
        <f>TRIM(MID(Table3[[#This Row],[Shipping Address]],FIND(",",Table3[[#This Row],[Shipping Address]],FIND(",",Table3[[#This Row],[Shipping Address]])+1)+1,20))</f>
        <v>20095</v>
      </c>
      <c r="S9" s="16" t="s">
        <v>49</v>
      </c>
      <c r="T9" s="16" t="str">
        <f>_xlfn.IFNA(_xlfn.XLOOKUP(Table3[[#This Row],[Country Code]],Lookups!$A$2:$A$5,Lookups!$B$2:$B$5),"CHECK CODE")</f>
        <v>Germany</v>
      </c>
      <c r="U9" s="16" t="str">
        <f>_xlfn.IFNA(_xlfn.XLOOKUP(Table3[[#This Row],[Country Code]],Lookups!$A$2:$A$5,Lookups!$C$2:$C$5),"CHECK CODE")</f>
        <v>Europe</v>
      </c>
      <c r="V9" s="16" t="s">
        <v>52</v>
      </c>
      <c r="W9" s="16" t="str">
        <f>_xlfn.IFNA(_xlfn.XLOOKUP(Table3[[#This Row],[Country Code]],Lookups!$A$2:$A$5,Lookups!$D$2:$D$5),"CHECK CODE")</f>
        <v>EUR</v>
      </c>
      <c r="X9" s="16">
        <f>VALUE(MID(Table3[[#This Row],[Unit Price]],2,50))</f>
        <v>800</v>
      </c>
      <c r="Y9" s="19">
        <f>_xlfn.IFNA(_xlfn.XLOOKUP(Table3[[#This Row],[Country Code]],Lookups!$A$2:$A$5,Lookups!$E$2:$E$5),"")</f>
        <v>1</v>
      </c>
      <c r="Z9" s="87">
        <f>Table3[[#This Row],[Unit Price (local)]]/Table3[[#This Row],[FX Rate (per EUR)]]</f>
        <v>800</v>
      </c>
      <c r="AA9" s="16">
        <v>200</v>
      </c>
      <c r="AB9" s="20">
        <v>10</v>
      </c>
      <c r="AC9" s="21">
        <f>ROUND(Table3[[#This Row],[Unit Price (EUR)]]*Table3[[#This Row],[Units Sold]],0)</f>
        <v>160000</v>
      </c>
      <c r="AD9" s="22">
        <f>ROUND(Table3[[#This Row],[Gross Sales (EUR)]]*(1-Table3[[#This Row],[Discount (%)]]/100),0)</f>
        <v>144000</v>
      </c>
      <c r="AE9" s="22">
        <f>_xlfn.IFNA(_xlfn.XLOOKUP(Table3[[#This Row],[Month]],Lookups!$N$2:$N$13,Lookups!$O$2:$O$13),"CHECK MONTH")</f>
        <v>1</v>
      </c>
      <c r="AF9" s="22" t="str">
        <f>TEXT(Table3[[#This Row],[Month No]],"00")&amp;" - "&amp;Table3[[#This Row],[Month]]</f>
        <v>01 - January</v>
      </c>
      <c r="AG9" s="22" t="str">
        <f>_xlfn.IFNA(_xlfn.XLOOKUP(Table3[[#This Row],[Month]],Lookups!$N$2:$N$13,Lookups!$P$2:$P$13),"CHECK MONTH")</f>
        <v>Q1</v>
      </c>
      <c r="AH9" s="22">
        <f>Table3[[#This Row],[Gross Sales (EUR)]]-Table3[[#This Row],[Total Sales (EUR)]]</f>
        <v>16000</v>
      </c>
      <c r="AI9" s="89">
        <f>DATE(Lookups!$O$15,Table3[[#This Row],[Month No]],1)</f>
        <v>45658</v>
      </c>
    </row>
    <row r="10" spans="1:35" x14ac:dyDescent="0.3">
      <c r="A10" s="15">
        <v>9</v>
      </c>
      <c r="B10" s="16" t="s">
        <v>45</v>
      </c>
      <c r="C10" s="16" t="s">
        <v>46</v>
      </c>
      <c r="D10" s="16" t="str">
        <f>TRIM(Table3[[#This Row],[Rep Last Name]])&amp;", "&amp;TRIM(Table3[[#This Row],[Rep First Name]])</f>
        <v>Fischer, Jonas</v>
      </c>
      <c r="E10" s="16" t="s">
        <v>15</v>
      </c>
      <c r="F10" s="16" t="s">
        <v>29</v>
      </c>
      <c r="G10" s="16" t="s">
        <v>30</v>
      </c>
      <c r="H10" s="16" t="str">
        <f>IF(Table3[[#This Row],[Min Speed (original, incomplete)]]="",_xlfn.IFNA(_xlfn.XLOOKUP(Table3[[#This Row],[Product Type]],Lookups!$G$2:$G$4,Lookups!$H$2:$H$4),"CHECK PRODUCT"),Table3[[#This Row],[Min Speed (original, incomplete)]])</f>
        <v>18 mph</v>
      </c>
      <c r="I10" s="16" t="s">
        <v>31</v>
      </c>
      <c r="J10" s="16" t="s">
        <v>32</v>
      </c>
      <c r="K10" s="17">
        <f>ROUND(VALUE(SUBSTITUTE(Table3[[#This Row],[Min Speed (mph)]]," mph",""))*Lookups!$L$2,0)</f>
        <v>29</v>
      </c>
      <c r="L10" s="17">
        <f>ROUND(VALUE(SUBSTITUTE(Table3[[#This Row],[Speed]]," mph",""))*Lookups!$L$2,0)</f>
        <v>45</v>
      </c>
      <c r="M10" s="17" t="str">
        <f>Table3[[#This Row],[Min Speed (km/h)]]&amp;" – "&amp;Table3[[#This Row],[Max Speed (km/h)]]&amp;" km/h"</f>
        <v>29 – 45 km/h</v>
      </c>
      <c r="N10" s="18">
        <f>IF(ISNUMBER(SEARCH("mile",Table3[[#This Row],[Distance]])),ROUND(VALUE(SUBSTITUTE(Table3[[#This Row],[Distance]]," miles",""))*Lookups!$L$3,0),ROUND(VALUE(SUBSTITUTE(Table3[[#This Row],[Distance]]," meters",""))*Lookups!$L$4,0))</f>
        <v>40</v>
      </c>
      <c r="O10" s="16" t="s">
        <v>53</v>
      </c>
      <c r="P10" s="16" t="str">
        <f>TRIM(LEFT(Table3[[#This Row],[Shipping Address]],FIND(",",Table3[[#This Row],[Shipping Address]])-1))</f>
        <v>305 Ringstraße</v>
      </c>
      <c r="Q10" s="16" t="str">
        <f>TRIM(MID(Table3[[#This Row],[Shipping Address]],FIND(",",Table3[[#This Row],[Shipping Address]])+1,FIND(",",Table3[[#This Row],[Shipping Address]],FIND(",",Table3[[#This Row],[Shipping Address]])+1)-FIND(",",Table3[[#This Row],[Shipping Address]])-1))</f>
        <v>Hamburg</v>
      </c>
      <c r="R10" s="16" t="str">
        <f>TRIM(MID(Table3[[#This Row],[Shipping Address]],FIND(",",Table3[[#This Row],[Shipping Address]],FIND(",",Table3[[#This Row],[Shipping Address]])+1)+1,20))</f>
        <v>20095</v>
      </c>
      <c r="S10" s="16" t="s">
        <v>49</v>
      </c>
      <c r="T10" s="16" t="str">
        <f>_xlfn.IFNA(_xlfn.XLOOKUP(Table3[[#This Row],[Country Code]],Lookups!$A$2:$A$5,Lookups!$B$2:$B$5),"CHECK CODE")</f>
        <v>Germany</v>
      </c>
      <c r="U10" s="16" t="str">
        <f>_xlfn.IFNA(_xlfn.XLOOKUP(Table3[[#This Row],[Country Code]],Lookups!$A$2:$A$5,Lookups!$C$2:$C$5),"CHECK CODE")</f>
        <v>Europe</v>
      </c>
      <c r="V10" s="16" t="s">
        <v>54</v>
      </c>
      <c r="W10" s="16" t="str">
        <f>_xlfn.IFNA(_xlfn.XLOOKUP(Table3[[#This Row],[Country Code]],Lookups!$A$2:$A$5,Lookups!$D$2:$D$5),"CHECK CODE")</f>
        <v>EUR</v>
      </c>
      <c r="X10" s="16">
        <f>VALUE(MID(Table3[[#This Row],[Unit Price]],2,50))</f>
        <v>950</v>
      </c>
      <c r="Y10" s="19">
        <f>_xlfn.IFNA(_xlfn.XLOOKUP(Table3[[#This Row],[Country Code]],Lookups!$A$2:$A$5,Lookups!$E$2:$E$5),"")</f>
        <v>1</v>
      </c>
      <c r="Z10" s="87">
        <f>Table3[[#This Row],[Unit Price (local)]]/Table3[[#This Row],[FX Rate (per EUR)]]</f>
        <v>950</v>
      </c>
      <c r="AA10" s="16">
        <v>150</v>
      </c>
      <c r="AB10" s="20">
        <v>10</v>
      </c>
      <c r="AC10" s="21">
        <f>ROUND(Table3[[#This Row],[Unit Price (EUR)]]*Table3[[#This Row],[Units Sold]],0)</f>
        <v>142500</v>
      </c>
      <c r="AD10" s="22">
        <f>ROUND(Table3[[#This Row],[Gross Sales (EUR)]]*(1-Table3[[#This Row],[Discount (%)]]/100),0)</f>
        <v>128250</v>
      </c>
      <c r="AE10" s="22">
        <f>_xlfn.IFNA(_xlfn.XLOOKUP(Table3[[#This Row],[Month]],Lookups!$N$2:$N$13,Lookups!$O$2:$O$13),"CHECK MONTH")</f>
        <v>1</v>
      </c>
      <c r="AF10" s="22" t="str">
        <f>TEXT(Table3[[#This Row],[Month No]],"00")&amp;" - "&amp;Table3[[#This Row],[Month]]</f>
        <v>01 - January</v>
      </c>
      <c r="AG10" s="22" t="str">
        <f>_xlfn.IFNA(_xlfn.XLOOKUP(Table3[[#This Row],[Month]],Lookups!$N$2:$N$13,Lookups!$P$2:$P$13),"CHECK MONTH")</f>
        <v>Q1</v>
      </c>
      <c r="AH10" s="22">
        <f>Table3[[#This Row],[Gross Sales (EUR)]]-Table3[[#This Row],[Total Sales (EUR)]]</f>
        <v>14250</v>
      </c>
      <c r="AI10" s="89">
        <f>DATE(Lookups!$O$15,Table3[[#This Row],[Month No]],1)</f>
        <v>45658</v>
      </c>
    </row>
    <row r="11" spans="1:35" x14ac:dyDescent="0.3">
      <c r="A11" s="15">
        <v>10</v>
      </c>
      <c r="B11" s="16" t="s">
        <v>55</v>
      </c>
      <c r="C11" s="16" t="s">
        <v>56</v>
      </c>
      <c r="D11" s="16" t="str">
        <f>TRIM(Table3[[#This Row],[Rep Last Name]])&amp;", "&amp;TRIM(Table3[[#This Row],[Rep First Name]])</f>
        <v>Bernard, Théo</v>
      </c>
      <c r="E11" s="16" t="s">
        <v>15</v>
      </c>
      <c r="F11" s="16" t="s">
        <v>16</v>
      </c>
      <c r="G11" s="16" t="s">
        <v>17</v>
      </c>
      <c r="H11" s="16" t="str">
        <f>IF(Table3[[#This Row],[Min Speed (original, incomplete)]]="",_xlfn.IFNA(_xlfn.XLOOKUP(Table3[[#This Row],[Product Type]],Lookups!$G$2:$G$4,Lookups!$H$2:$H$4),"CHECK PRODUCT"),Table3[[#This Row],[Min Speed (original, incomplete)]])</f>
        <v>15 mph</v>
      </c>
      <c r="I11" s="16" t="s">
        <v>18</v>
      </c>
      <c r="J11" s="16" t="s">
        <v>19</v>
      </c>
      <c r="K11" s="17">
        <f>ROUND(VALUE(SUBSTITUTE(Table3[[#This Row],[Min Speed (mph)]]," mph",""))*Lookups!$L$2,0)</f>
        <v>24</v>
      </c>
      <c r="L11" s="17">
        <f>ROUND(VALUE(SUBSTITUTE(Table3[[#This Row],[Speed]]," mph",""))*Lookups!$L$2,0)</f>
        <v>48</v>
      </c>
      <c r="M11" s="17" t="str">
        <f>Table3[[#This Row],[Min Speed (km/h)]]&amp;" – "&amp;Table3[[#This Row],[Max Speed (km/h)]]&amp;" km/h"</f>
        <v>24 – 48 km/h</v>
      </c>
      <c r="N11" s="18">
        <f>IF(ISNUMBER(SEARCH("mile",Table3[[#This Row],[Distance]])),ROUND(VALUE(SUBSTITUTE(Table3[[#This Row],[Distance]]," miles",""))*Lookups!$L$3,0),ROUND(VALUE(SUBSTITUTE(Table3[[#This Row],[Distance]]," meters",""))*Lookups!$L$4,0))</f>
        <v>48</v>
      </c>
      <c r="O11" s="16" t="s">
        <v>57</v>
      </c>
      <c r="P11" s="16" t="str">
        <f>TRIM(LEFT(Table3[[#This Row],[Shipping Address]],FIND(",",Table3[[#This Row],[Shipping Address]])-1))</f>
        <v>56 Boulevard Saint-Germain</v>
      </c>
      <c r="Q11" s="16" t="str">
        <f>TRIM(MID(Table3[[#This Row],[Shipping Address]],FIND(",",Table3[[#This Row],[Shipping Address]])+1,FIND(",",Table3[[#This Row],[Shipping Address]],FIND(",",Table3[[#This Row],[Shipping Address]])+1)-FIND(",",Table3[[#This Row],[Shipping Address]])-1))</f>
        <v>Paris</v>
      </c>
      <c r="R11" s="16" t="str">
        <f>TRIM(MID(Table3[[#This Row],[Shipping Address]],FIND(",",Table3[[#This Row],[Shipping Address]],FIND(",",Table3[[#This Row],[Shipping Address]])+1)+1,20))</f>
        <v>75005</v>
      </c>
      <c r="S11" s="16" t="s">
        <v>58</v>
      </c>
      <c r="T11" s="16" t="str">
        <f>_xlfn.IFNA(_xlfn.XLOOKUP(Table3[[#This Row],[Country Code]],Lookups!$A$2:$A$5,Lookups!$B$2:$B$5),"CHECK CODE")</f>
        <v>France</v>
      </c>
      <c r="U11" s="16" t="str">
        <f>_xlfn.IFNA(_xlfn.XLOOKUP(Table3[[#This Row],[Country Code]],Lookups!$A$2:$A$5,Lookups!$C$2:$C$5),"CHECK CODE")</f>
        <v>Europe</v>
      </c>
      <c r="V11" s="16" t="s">
        <v>59</v>
      </c>
      <c r="W11" s="16" t="str">
        <f>_xlfn.IFNA(_xlfn.XLOOKUP(Table3[[#This Row],[Country Code]],Lookups!$A$2:$A$5,Lookups!$D$2:$D$5),"CHECK CODE")</f>
        <v>EUR</v>
      </c>
      <c r="X11" s="16">
        <f>VALUE(MID(Table3[[#This Row],[Unit Price]],2,50))</f>
        <v>1100</v>
      </c>
      <c r="Y11" s="19">
        <f>_xlfn.IFNA(_xlfn.XLOOKUP(Table3[[#This Row],[Country Code]],Lookups!$A$2:$A$5,Lookups!$E$2:$E$5),"")</f>
        <v>1</v>
      </c>
      <c r="Z11" s="87">
        <f>Table3[[#This Row],[Unit Price (local)]]/Table3[[#This Row],[FX Rate (per EUR)]]</f>
        <v>1100</v>
      </c>
      <c r="AA11" s="16">
        <v>100</v>
      </c>
      <c r="AB11" s="20">
        <v>10</v>
      </c>
      <c r="AC11" s="21">
        <f>ROUND(Table3[[#This Row],[Unit Price (EUR)]]*Table3[[#This Row],[Units Sold]],0)</f>
        <v>110000</v>
      </c>
      <c r="AD11" s="22">
        <f>ROUND(Table3[[#This Row],[Gross Sales (EUR)]]*(1-Table3[[#This Row],[Discount (%)]]/100),0)</f>
        <v>99000</v>
      </c>
      <c r="AE11" s="22">
        <f>_xlfn.IFNA(_xlfn.XLOOKUP(Table3[[#This Row],[Month]],Lookups!$N$2:$N$13,Lookups!$O$2:$O$13),"CHECK MONTH")</f>
        <v>1</v>
      </c>
      <c r="AF11" s="22" t="str">
        <f>TEXT(Table3[[#This Row],[Month No]],"00")&amp;" - "&amp;Table3[[#This Row],[Month]]</f>
        <v>01 - January</v>
      </c>
      <c r="AG11" s="22" t="str">
        <f>_xlfn.IFNA(_xlfn.XLOOKUP(Table3[[#This Row],[Month]],Lookups!$N$2:$N$13,Lookups!$P$2:$P$13),"CHECK MONTH")</f>
        <v>Q1</v>
      </c>
      <c r="AH11" s="22">
        <f>Table3[[#This Row],[Gross Sales (EUR)]]-Table3[[#This Row],[Total Sales (EUR)]]</f>
        <v>11000</v>
      </c>
      <c r="AI11" s="89">
        <f>DATE(Lookups!$O$15,Table3[[#This Row],[Month No]],1)</f>
        <v>45658</v>
      </c>
    </row>
    <row r="12" spans="1:35" x14ac:dyDescent="0.3">
      <c r="A12" s="15">
        <v>11</v>
      </c>
      <c r="B12" s="16" t="s">
        <v>55</v>
      </c>
      <c r="C12" s="16" t="s">
        <v>56</v>
      </c>
      <c r="D12" s="16" t="str">
        <f>TRIM(Table3[[#This Row],[Rep Last Name]])&amp;", "&amp;TRIM(Table3[[#This Row],[Rep First Name]])</f>
        <v>Bernard, Théo</v>
      </c>
      <c r="E12" s="16" t="s">
        <v>15</v>
      </c>
      <c r="F12" s="16" t="s">
        <v>23</v>
      </c>
      <c r="G12" s="16" t="s">
        <v>24</v>
      </c>
      <c r="H12" s="16" t="str">
        <f>IF(Table3[[#This Row],[Min Speed (original, incomplete)]]="",_xlfn.IFNA(_xlfn.XLOOKUP(Table3[[#This Row],[Product Type]],Lookups!$G$2:$G$4,Lookups!$H$2:$H$4),"CHECK PRODUCT"),Table3[[#This Row],[Min Speed (original, incomplete)]])</f>
        <v>20 mph</v>
      </c>
      <c r="I12" s="16" t="s">
        <v>25</v>
      </c>
      <c r="J12" s="16" t="s">
        <v>60</v>
      </c>
      <c r="K12" s="17">
        <f>ROUND(VALUE(SUBSTITUTE(Table3[[#This Row],[Min Speed (mph)]]," mph",""))*Lookups!$L$2,0)</f>
        <v>32</v>
      </c>
      <c r="L12" s="17">
        <f>ROUND(VALUE(SUBSTITUTE(Table3[[#This Row],[Speed]]," mph",""))*Lookups!$L$2,0)</f>
        <v>56</v>
      </c>
      <c r="M12" s="17" t="str">
        <f>Table3[[#This Row],[Min Speed (km/h)]]&amp;" – "&amp;Table3[[#This Row],[Max Speed (km/h)]]&amp;" km/h"</f>
        <v>32 – 56 km/h</v>
      </c>
      <c r="N12" s="18">
        <f>IF(ISNUMBER(SEARCH("mile",Table3[[#This Row],[Distance]])),ROUND(VALUE(SUBSTITUTE(Table3[[#This Row],[Distance]]," miles",""))*Lookups!$L$3,0),ROUND(VALUE(SUBSTITUTE(Table3[[#This Row],[Distance]]," meters",""))*Lookups!$L$4,0))</f>
        <v>64</v>
      </c>
      <c r="O12" s="16" t="s">
        <v>61</v>
      </c>
      <c r="P12" s="16" t="str">
        <f>TRIM(LEFT(Table3[[#This Row],[Shipping Address]],FIND(",",Table3[[#This Row],[Shipping Address]])-1))</f>
        <v>57 Boulevard Saint-Germain</v>
      </c>
      <c r="Q12" s="16" t="str">
        <f>TRIM(MID(Table3[[#This Row],[Shipping Address]],FIND(",",Table3[[#This Row],[Shipping Address]])+1,FIND(",",Table3[[#This Row],[Shipping Address]],FIND(",",Table3[[#This Row],[Shipping Address]])+1)-FIND(",",Table3[[#This Row],[Shipping Address]])-1))</f>
        <v>Paris</v>
      </c>
      <c r="R12" s="16" t="str">
        <f>TRIM(MID(Table3[[#This Row],[Shipping Address]],FIND(",",Table3[[#This Row],[Shipping Address]],FIND(",",Table3[[#This Row],[Shipping Address]])+1)+1,20))</f>
        <v>75005</v>
      </c>
      <c r="S12" s="16" t="s">
        <v>58</v>
      </c>
      <c r="T12" s="16" t="str">
        <f>_xlfn.IFNA(_xlfn.XLOOKUP(Table3[[#This Row],[Country Code]],Lookups!$A$2:$A$5,Lookups!$B$2:$B$5),"CHECK CODE")</f>
        <v>France</v>
      </c>
      <c r="U12" s="16" t="str">
        <f>_xlfn.IFNA(_xlfn.XLOOKUP(Table3[[#This Row],[Country Code]],Lookups!$A$2:$A$5,Lookups!$C$2:$C$5),"CHECK CODE")</f>
        <v>Europe</v>
      </c>
      <c r="V12" s="16" t="s">
        <v>62</v>
      </c>
      <c r="W12" s="16" t="str">
        <f>_xlfn.IFNA(_xlfn.XLOOKUP(Table3[[#This Row],[Country Code]],Lookups!$A$2:$A$5,Lookups!$D$2:$D$5),"CHECK CODE")</f>
        <v>EUR</v>
      </c>
      <c r="X12" s="16">
        <f>VALUE(MID(Table3[[#This Row],[Unit Price]],2,50))</f>
        <v>900</v>
      </c>
      <c r="Y12" s="19">
        <f>_xlfn.IFNA(_xlfn.XLOOKUP(Table3[[#This Row],[Country Code]],Lookups!$A$2:$A$5,Lookups!$E$2:$E$5),"")</f>
        <v>1</v>
      </c>
      <c r="Z12" s="87">
        <f>Table3[[#This Row],[Unit Price (local)]]/Table3[[#This Row],[FX Rate (per EUR)]]</f>
        <v>900</v>
      </c>
      <c r="AA12" s="16">
        <v>250</v>
      </c>
      <c r="AB12" s="20">
        <v>10</v>
      </c>
      <c r="AC12" s="21">
        <f>ROUND(Table3[[#This Row],[Unit Price (EUR)]]*Table3[[#This Row],[Units Sold]],0)</f>
        <v>225000</v>
      </c>
      <c r="AD12" s="22">
        <f>ROUND(Table3[[#This Row],[Gross Sales (EUR)]]*(1-Table3[[#This Row],[Discount (%)]]/100),0)</f>
        <v>202500</v>
      </c>
      <c r="AE12" s="22">
        <f>_xlfn.IFNA(_xlfn.XLOOKUP(Table3[[#This Row],[Month]],Lookups!$N$2:$N$13,Lookups!$O$2:$O$13),"CHECK MONTH")</f>
        <v>1</v>
      </c>
      <c r="AF12" s="22" t="str">
        <f>TEXT(Table3[[#This Row],[Month No]],"00")&amp;" - "&amp;Table3[[#This Row],[Month]]</f>
        <v>01 - January</v>
      </c>
      <c r="AG12" s="22" t="str">
        <f>_xlfn.IFNA(_xlfn.XLOOKUP(Table3[[#This Row],[Month]],Lookups!$N$2:$N$13,Lookups!$P$2:$P$13),"CHECK MONTH")</f>
        <v>Q1</v>
      </c>
      <c r="AH12" s="22">
        <f>Table3[[#This Row],[Gross Sales (EUR)]]-Table3[[#This Row],[Total Sales (EUR)]]</f>
        <v>22500</v>
      </c>
      <c r="AI12" s="89">
        <f>DATE(Lookups!$O$15,Table3[[#This Row],[Month No]],1)</f>
        <v>45658</v>
      </c>
    </row>
    <row r="13" spans="1:35" x14ac:dyDescent="0.3">
      <c r="A13" s="15">
        <v>12</v>
      </c>
      <c r="B13" s="16" t="s">
        <v>55</v>
      </c>
      <c r="C13" s="16" t="s">
        <v>56</v>
      </c>
      <c r="D13" s="16" t="str">
        <f>TRIM(Table3[[#This Row],[Rep Last Name]])&amp;", "&amp;TRIM(Table3[[#This Row],[Rep First Name]])</f>
        <v>Bernard, Théo</v>
      </c>
      <c r="E13" s="16" t="s">
        <v>15</v>
      </c>
      <c r="F13" s="16" t="s">
        <v>29</v>
      </c>
      <c r="G13" s="16" t="s">
        <v>30</v>
      </c>
      <c r="H13" s="16" t="str">
        <f>IF(Table3[[#This Row],[Min Speed (original, incomplete)]]="",_xlfn.IFNA(_xlfn.XLOOKUP(Table3[[#This Row],[Product Type]],Lookups!$G$2:$G$4,Lookups!$H$2:$H$4),"CHECK PRODUCT"),Table3[[#This Row],[Min Speed (original, incomplete)]])</f>
        <v>18 mph</v>
      </c>
      <c r="I13" s="16" t="s">
        <v>31</v>
      </c>
      <c r="J13" s="16" t="s">
        <v>32</v>
      </c>
      <c r="K13" s="17">
        <f>ROUND(VALUE(SUBSTITUTE(Table3[[#This Row],[Min Speed (mph)]]," mph",""))*Lookups!$L$2,0)</f>
        <v>29</v>
      </c>
      <c r="L13" s="17">
        <f>ROUND(VALUE(SUBSTITUTE(Table3[[#This Row],[Speed]]," mph",""))*Lookups!$L$2,0)</f>
        <v>45</v>
      </c>
      <c r="M13" s="17" t="str">
        <f>Table3[[#This Row],[Min Speed (km/h)]]&amp;" – "&amp;Table3[[#This Row],[Max Speed (km/h)]]&amp;" km/h"</f>
        <v>29 – 45 km/h</v>
      </c>
      <c r="N13" s="18">
        <f>IF(ISNUMBER(SEARCH("mile",Table3[[#This Row],[Distance]])),ROUND(VALUE(SUBSTITUTE(Table3[[#This Row],[Distance]]," miles",""))*Lookups!$L$3,0),ROUND(VALUE(SUBSTITUTE(Table3[[#This Row],[Distance]]," meters",""))*Lookups!$L$4,0))</f>
        <v>40</v>
      </c>
      <c r="O13" s="16" t="s">
        <v>63</v>
      </c>
      <c r="P13" s="16" t="str">
        <f>TRIM(LEFT(Table3[[#This Row],[Shipping Address]],FIND(",",Table3[[#This Row],[Shipping Address]])-1))</f>
        <v>58 Boulevard Saint-Germain</v>
      </c>
      <c r="Q13" s="16" t="str">
        <f>TRIM(MID(Table3[[#This Row],[Shipping Address]],FIND(",",Table3[[#This Row],[Shipping Address]])+1,FIND(",",Table3[[#This Row],[Shipping Address]],FIND(",",Table3[[#This Row],[Shipping Address]])+1)-FIND(",",Table3[[#This Row],[Shipping Address]])-1))</f>
        <v>Paris</v>
      </c>
      <c r="R13" s="16" t="str">
        <f>TRIM(MID(Table3[[#This Row],[Shipping Address]],FIND(",",Table3[[#This Row],[Shipping Address]],FIND(",",Table3[[#This Row],[Shipping Address]])+1)+1,20))</f>
        <v>75005</v>
      </c>
      <c r="S13" s="16" t="s">
        <v>58</v>
      </c>
      <c r="T13" s="16" t="str">
        <f>_xlfn.IFNA(_xlfn.XLOOKUP(Table3[[#This Row],[Country Code]],Lookups!$A$2:$A$5,Lookups!$B$2:$B$5),"CHECK CODE")</f>
        <v>France</v>
      </c>
      <c r="U13" s="16" t="str">
        <f>_xlfn.IFNA(_xlfn.XLOOKUP(Table3[[#This Row],[Country Code]],Lookups!$A$2:$A$5,Lookups!$C$2:$C$5),"CHECK CODE")</f>
        <v>Europe</v>
      </c>
      <c r="V13" s="16" t="s">
        <v>64</v>
      </c>
      <c r="W13" s="16" t="str">
        <f>_xlfn.IFNA(_xlfn.XLOOKUP(Table3[[#This Row],[Country Code]],Lookups!$A$2:$A$5,Lookups!$D$2:$D$5),"CHECK CODE")</f>
        <v>EUR</v>
      </c>
      <c r="X13" s="16">
        <f>VALUE(MID(Table3[[#This Row],[Unit Price]],2,50))</f>
        <v>1050</v>
      </c>
      <c r="Y13" s="19">
        <f>_xlfn.IFNA(_xlfn.XLOOKUP(Table3[[#This Row],[Country Code]],Lookups!$A$2:$A$5,Lookups!$E$2:$E$5),"")</f>
        <v>1</v>
      </c>
      <c r="Z13" s="87">
        <f>Table3[[#This Row],[Unit Price (local)]]/Table3[[#This Row],[FX Rate (per EUR)]]</f>
        <v>1050</v>
      </c>
      <c r="AA13" s="16">
        <v>180</v>
      </c>
      <c r="AB13" s="20">
        <v>10</v>
      </c>
      <c r="AC13" s="21">
        <f>ROUND(Table3[[#This Row],[Unit Price (EUR)]]*Table3[[#This Row],[Units Sold]],0)</f>
        <v>189000</v>
      </c>
      <c r="AD13" s="22">
        <f>ROUND(Table3[[#This Row],[Gross Sales (EUR)]]*(1-Table3[[#This Row],[Discount (%)]]/100),0)</f>
        <v>170100</v>
      </c>
      <c r="AE13" s="22">
        <f>_xlfn.IFNA(_xlfn.XLOOKUP(Table3[[#This Row],[Month]],Lookups!$N$2:$N$13,Lookups!$O$2:$O$13),"CHECK MONTH")</f>
        <v>1</v>
      </c>
      <c r="AF13" s="22" t="str">
        <f>TEXT(Table3[[#This Row],[Month No]],"00")&amp;" - "&amp;Table3[[#This Row],[Month]]</f>
        <v>01 - January</v>
      </c>
      <c r="AG13" s="22" t="str">
        <f>_xlfn.IFNA(_xlfn.XLOOKUP(Table3[[#This Row],[Month]],Lookups!$N$2:$N$13,Lookups!$P$2:$P$13),"CHECK MONTH")</f>
        <v>Q1</v>
      </c>
      <c r="AH13" s="22">
        <f>Table3[[#This Row],[Gross Sales (EUR)]]-Table3[[#This Row],[Total Sales (EUR)]]</f>
        <v>18900</v>
      </c>
      <c r="AI13" s="89">
        <f>DATE(Lookups!$O$15,Table3[[#This Row],[Month No]],1)</f>
        <v>45658</v>
      </c>
    </row>
    <row r="14" spans="1:35" x14ac:dyDescent="0.3">
      <c r="A14" s="15">
        <v>13</v>
      </c>
      <c r="B14" s="16" t="s">
        <v>13</v>
      </c>
      <c r="C14" s="16" t="s">
        <v>14</v>
      </c>
      <c r="D14" s="16" t="str">
        <f>TRIM(Table3[[#This Row],[Rep Last Name]])&amp;", "&amp;TRIM(Table3[[#This Row],[Rep First Name]])</f>
        <v>Joshi, Sanya</v>
      </c>
      <c r="E14" s="16" t="s">
        <v>65</v>
      </c>
      <c r="F14" s="16" t="s">
        <v>16</v>
      </c>
      <c r="G14" s="16" t="s">
        <v>17</v>
      </c>
      <c r="H14" s="16" t="str">
        <f>IF(Table3[[#This Row],[Min Speed (original, incomplete)]]="",_xlfn.IFNA(_xlfn.XLOOKUP(Table3[[#This Row],[Product Type]],Lookups!$G$2:$G$4,Lookups!$H$2:$H$4),"CHECK PRODUCT"),Table3[[#This Row],[Min Speed (original, incomplete)]])</f>
        <v>15 mph</v>
      </c>
      <c r="I14" s="16" t="s">
        <v>18</v>
      </c>
      <c r="J14" s="16" t="s">
        <v>19</v>
      </c>
      <c r="K14" s="17">
        <f>ROUND(VALUE(SUBSTITUTE(Table3[[#This Row],[Min Speed (mph)]]," mph",""))*Lookups!$L$2,0)</f>
        <v>24</v>
      </c>
      <c r="L14" s="17">
        <f>ROUND(VALUE(SUBSTITUTE(Table3[[#This Row],[Speed]]," mph",""))*Lookups!$L$2,0)</f>
        <v>48</v>
      </c>
      <c r="M14" s="17" t="str">
        <f>Table3[[#This Row],[Min Speed (km/h)]]&amp;" – "&amp;Table3[[#This Row],[Max Speed (km/h)]]&amp;" km/h"</f>
        <v>24 – 48 km/h</v>
      </c>
      <c r="N14" s="18">
        <f>IF(ISNUMBER(SEARCH("mile",Table3[[#This Row],[Distance]])),ROUND(VALUE(SUBSTITUTE(Table3[[#This Row],[Distance]]," miles",""))*Lookups!$L$3,0),ROUND(VALUE(SUBSTITUTE(Table3[[#This Row],[Distance]]," meters",""))*Lookups!$L$4,0))</f>
        <v>48</v>
      </c>
      <c r="O14" s="16" t="s">
        <v>20</v>
      </c>
      <c r="P14" s="16" t="str">
        <f>TRIM(LEFT(Table3[[#This Row],[Shipping Address]],FIND(",",Table3[[#This Row],[Shipping Address]])-1))</f>
        <v>456 Brigade Road</v>
      </c>
      <c r="Q14" s="16" t="str">
        <f>TRIM(MID(Table3[[#This Row],[Shipping Address]],FIND(",",Table3[[#This Row],[Shipping Address]])+1,FIND(",",Table3[[#This Row],[Shipping Address]],FIND(",",Table3[[#This Row],[Shipping Address]])+1)-FIND(",",Table3[[#This Row],[Shipping Address]])-1))</f>
        <v>Bengaluru</v>
      </c>
      <c r="R14" s="16" t="str">
        <f>TRIM(MID(Table3[[#This Row],[Shipping Address]],FIND(",",Table3[[#This Row],[Shipping Address]],FIND(",",Table3[[#This Row],[Shipping Address]])+1)+1,20))</f>
        <v>560001</v>
      </c>
      <c r="S14" s="16" t="s">
        <v>21</v>
      </c>
      <c r="T14" s="16" t="str">
        <f>_xlfn.IFNA(_xlfn.XLOOKUP(Table3[[#This Row],[Country Code]],Lookups!$A$2:$A$5,Lookups!$B$2:$B$5),"CHECK CODE")</f>
        <v>India</v>
      </c>
      <c r="U14" s="16" t="str">
        <f>_xlfn.IFNA(_xlfn.XLOOKUP(Table3[[#This Row],[Country Code]],Lookups!$A$2:$A$5,Lookups!$C$2:$C$5),"CHECK CODE")</f>
        <v>Asia</v>
      </c>
      <c r="V14" s="16" t="s">
        <v>22</v>
      </c>
      <c r="W14" s="16" t="str">
        <f>_xlfn.IFNA(_xlfn.XLOOKUP(Table3[[#This Row],[Country Code]],Lookups!$A$2:$A$5,Lookups!$D$2:$D$5),"CHECK CODE")</f>
        <v>INR</v>
      </c>
      <c r="X14" s="16">
        <f>VALUE(MID(Table3[[#This Row],[Unit Price]],2,50))</f>
        <v>30000</v>
      </c>
      <c r="Y14" s="19">
        <f>_xlfn.IFNA(_xlfn.XLOOKUP(Table3[[#This Row],[Country Code]],Lookups!$A$2:$A$5,Lookups!$E$2:$E$5),"")</f>
        <v>109.88200000000001</v>
      </c>
      <c r="Z14" s="87">
        <f>Table3[[#This Row],[Unit Price (local)]]/Table3[[#This Row],[FX Rate (per EUR)]]</f>
        <v>273.02014888698784</v>
      </c>
      <c r="AA14" s="16">
        <v>160</v>
      </c>
      <c r="AB14" s="20">
        <v>0</v>
      </c>
      <c r="AC14" s="21">
        <f>ROUND(Table3[[#This Row],[Unit Price (EUR)]]*Table3[[#This Row],[Units Sold]],0)</f>
        <v>43683</v>
      </c>
      <c r="AD14" s="22">
        <f>ROUND(Table3[[#This Row],[Gross Sales (EUR)]]*(1-Table3[[#This Row],[Discount (%)]]/100),0)</f>
        <v>43683</v>
      </c>
      <c r="AE14" s="22">
        <f>_xlfn.IFNA(_xlfn.XLOOKUP(Table3[[#This Row],[Month]],Lookups!$N$2:$N$13,Lookups!$O$2:$O$13),"CHECK MONTH")</f>
        <v>2</v>
      </c>
      <c r="AF14" s="22" t="str">
        <f>TEXT(Table3[[#This Row],[Month No]],"00")&amp;" - "&amp;Table3[[#This Row],[Month]]</f>
        <v>02 - February</v>
      </c>
      <c r="AG14" s="22" t="str">
        <f>_xlfn.IFNA(_xlfn.XLOOKUP(Table3[[#This Row],[Month]],Lookups!$N$2:$N$13,Lookups!$P$2:$P$13),"CHECK MONTH")</f>
        <v>Q1</v>
      </c>
      <c r="AH14" s="22">
        <f>Table3[[#This Row],[Gross Sales (EUR)]]-Table3[[#This Row],[Total Sales (EUR)]]</f>
        <v>0</v>
      </c>
      <c r="AI14" s="89">
        <f>DATE(Lookups!$O$15,Table3[[#This Row],[Month No]],1)</f>
        <v>45689</v>
      </c>
    </row>
    <row r="15" spans="1:35" x14ac:dyDescent="0.3">
      <c r="A15" s="15">
        <v>14</v>
      </c>
      <c r="B15" s="16" t="s">
        <v>13</v>
      </c>
      <c r="C15" s="16" t="s">
        <v>14</v>
      </c>
      <c r="D15" s="16" t="str">
        <f>TRIM(Table3[[#This Row],[Rep Last Name]])&amp;", "&amp;TRIM(Table3[[#This Row],[Rep First Name]])</f>
        <v>Joshi, Sanya</v>
      </c>
      <c r="E15" s="16" t="s">
        <v>65</v>
      </c>
      <c r="F15" s="16" t="s">
        <v>23</v>
      </c>
      <c r="G15" s="23"/>
      <c r="H15" s="16" t="str">
        <f>IF(Table3[[#This Row],[Min Speed (original, incomplete)]]="",_xlfn.IFNA(_xlfn.XLOOKUP(Table3[[#This Row],[Product Type]],Lookups!$G$2:$G$4,Lookups!$H$2:$H$4),"CHECK PRODUCT"),Table3[[#This Row],[Min Speed (original, incomplete)]])</f>
        <v>20 mph</v>
      </c>
      <c r="I15" s="16" t="s">
        <v>25</v>
      </c>
      <c r="J15" s="16" t="s">
        <v>26</v>
      </c>
      <c r="K15" s="17">
        <f>ROUND(VALUE(SUBSTITUTE(Table3[[#This Row],[Min Speed (mph)]]," mph",""))*Lookups!$L$2,0)</f>
        <v>32</v>
      </c>
      <c r="L15" s="17">
        <f>ROUND(VALUE(SUBSTITUTE(Table3[[#This Row],[Speed]]," mph",""))*Lookups!$L$2,0)</f>
        <v>56</v>
      </c>
      <c r="M15" s="17" t="str">
        <f>Table3[[#This Row],[Min Speed (km/h)]]&amp;" – "&amp;Table3[[#This Row],[Max Speed (km/h)]]&amp;" km/h"</f>
        <v>32 – 56 km/h</v>
      </c>
      <c r="N15" s="18">
        <f>IF(ISNUMBER(SEARCH("mile",Table3[[#This Row],[Distance]])),ROUND(VALUE(SUBSTITUTE(Table3[[#This Row],[Distance]]," miles",""))*Lookups!$L$3,0),ROUND(VALUE(SUBSTITUTE(Table3[[#This Row],[Distance]]," meters",""))*Lookups!$L$4,0))</f>
        <v>64</v>
      </c>
      <c r="O15" s="16" t="s">
        <v>27</v>
      </c>
      <c r="P15" s="16" t="str">
        <f>TRIM(LEFT(Table3[[#This Row],[Shipping Address]],FIND(",",Table3[[#This Row],[Shipping Address]])-1))</f>
        <v>457 Brigade Road</v>
      </c>
      <c r="Q15" s="16" t="str">
        <f>TRIM(MID(Table3[[#This Row],[Shipping Address]],FIND(",",Table3[[#This Row],[Shipping Address]])+1,FIND(",",Table3[[#This Row],[Shipping Address]],FIND(",",Table3[[#This Row],[Shipping Address]])+1)-FIND(",",Table3[[#This Row],[Shipping Address]])-1))</f>
        <v>Bengaluru</v>
      </c>
      <c r="R15" s="16" t="str">
        <f>TRIM(MID(Table3[[#This Row],[Shipping Address]],FIND(",",Table3[[#This Row],[Shipping Address]],FIND(",",Table3[[#This Row],[Shipping Address]])+1)+1,20))</f>
        <v>560001</v>
      </c>
      <c r="S15" s="16" t="s">
        <v>21</v>
      </c>
      <c r="T15" s="16" t="str">
        <f>_xlfn.IFNA(_xlfn.XLOOKUP(Table3[[#This Row],[Country Code]],Lookups!$A$2:$A$5,Lookups!$B$2:$B$5),"CHECK CODE")</f>
        <v>India</v>
      </c>
      <c r="U15" s="16" t="str">
        <f>_xlfn.IFNA(_xlfn.XLOOKUP(Table3[[#This Row],[Country Code]],Lookups!$A$2:$A$5,Lookups!$C$2:$C$5),"CHECK CODE")</f>
        <v>Asia</v>
      </c>
      <c r="V15" s="16" t="s">
        <v>28</v>
      </c>
      <c r="W15" s="16" t="str">
        <f>_xlfn.IFNA(_xlfn.XLOOKUP(Table3[[#This Row],[Country Code]],Lookups!$A$2:$A$5,Lookups!$D$2:$D$5),"CHECK CODE")</f>
        <v>INR</v>
      </c>
      <c r="X15" s="16">
        <f>VALUE(MID(Table3[[#This Row],[Unit Price]],2,50))</f>
        <v>25000</v>
      </c>
      <c r="Y15" s="19">
        <f>_xlfn.IFNA(_xlfn.XLOOKUP(Table3[[#This Row],[Country Code]],Lookups!$A$2:$A$5,Lookups!$E$2:$E$5),"")</f>
        <v>109.88200000000001</v>
      </c>
      <c r="Z15" s="87">
        <f>Table3[[#This Row],[Unit Price (local)]]/Table3[[#This Row],[FX Rate (per EUR)]]</f>
        <v>227.51679073915653</v>
      </c>
      <c r="AA15" s="16">
        <v>350</v>
      </c>
      <c r="AB15" s="20">
        <v>0</v>
      </c>
      <c r="AC15" s="21">
        <f>ROUND(Table3[[#This Row],[Unit Price (EUR)]]*Table3[[#This Row],[Units Sold]],0)</f>
        <v>79631</v>
      </c>
      <c r="AD15" s="22">
        <f>ROUND(Table3[[#This Row],[Gross Sales (EUR)]]*(1-Table3[[#This Row],[Discount (%)]]/100),0)</f>
        <v>79631</v>
      </c>
      <c r="AE15" s="22">
        <f>_xlfn.IFNA(_xlfn.XLOOKUP(Table3[[#This Row],[Month]],Lookups!$N$2:$N$13,Lookups!$O$2:$O$13),"CHECK MONTH")</f>
        <v>2</v>
      </c>
      <c r="AF15" s="22" t="str">
        <f>TEXT(Table3[[#This Row],[Month No]],"00")&amp;" - "&amp;Table3[[#This Row],[Month]]</f>
        <v>02 - February</v>
      </c>
      <c r="AG15" s="22" t="str">
        <f>_xlfn.IFNA(_xlfn.XLOOKUP(Table3[[#This Row],[Month]],Lookups!$N$2:$N$13,Lookups!$P$2:$P$13),"CHECK MONTH")</f>
        <v>Q1</v>
      </c>
      <c r="AH15" s="22">
        <f>Table3[[#This Row],[Gross Sales (EUR)]]-Table3[[#This Row],[Total Sales (EUR)]]</f>
        <v>0</v>
      </c>
      <c r="AI15" s="89">
        <f>DATE(Lookups!$O$15,Table3[[#This Row],[Month No]],1)</f>
        <v>45689</v>
      </c>
    </row>
    <row r="16" spans="1:35" x14ac:dyDescent="0.3">
      <c r="A16" s="15">
        <v>15</v>
      </c>
      <c r="B16" s="16" t="s">
        <v>13</v>
      </c>
      <c r="C16" s="16" t="s">
        <v>14</v>
      </c>
      <c r="D16" s="16" t="str">
        <f>TRIM(Table3[[#This Row],[Rep Last Name]])&amp;", "&amp;TRIM(Table3[[#This Row],[Rep First Name]])</f>
        <v>Joshi, Sanya</v>
      </c>
      <c r="E16" s="16" t="s">
        <v>65</v>
      </c>
      <c r="F16" s="16" t="s">
        <v>29</v>
      </c>
      <c r="G16" s="16" t="s">
        <v>30</v>
      </c>
      <c r="H16" s="16" t="str">
        <f>IF(Table3[[#This Row],[Min Speed (original, incomplete)]]="",_xlfn.IFNA(_xlfn.XLOOKUP(Table3[[#This Row],[Product Type]],Lookups!$G$2:$G$4,Lookups!$H$2:$H$4),"CHECK PRODUCT"),Table3[[#This Row],[Min Speed (original, incomplete)]])</f>
        <v>18 mph</v>
      </c>
      <c r="I16" s="16" t="s">
        <v>31</v>
      </c>
      <c r="J16" s="16" t="s">
        <v>32</v>
      </c>
      <c r="K16" s="17">
        <f>ROUND(VALUE(SUBSTITUTE(Table3[[#This Row],[Min Speed (mph)]]," mph",""))*Lookups!$L$2,0)</f>
        <v>29</v>
      </c>
      <c r="L16" s="17">
        <f>ROUND(VALUE(SUBSTITUTE(Table3[[#This Row],[Speed]]," mph",""))*Lookups!$L$2,0)</f>
        <v>45</v>
      </c>
      <c r="M16" s="17" t="str">
        <f>Table3[[#This Row],[Min Speed (km/h)]]&amp;" – "&amp;Table3[[#This Row],[Max Speed (km/h)]]&amp;" km/h"</f>
        <v>29 – 45 km/h</v>
      </c>
      <c r="N16" s="18">
        <f>IF(ISNUMBER(SEARCH("mile",Table3[[#This Row],[Distance]])),ROUND(VALUE(SUBSTITUTE(Table3[[#This Row],[Distance]]," miles",""))*Lookups!$L$3,0),ROUND(VALUE(SUBSTITUTE(Table3[[#This Row],[Distance]]," meters",""))*Lookups!$L$4,0))</f>
        <v>40</v>
      </c>
      <c r="O16" s="16" t="s">
        <v>33</v>
      </c>
      <c r="P16" s="16" t="str">
        <f>TRIM(LEFT(Table3[[#This Row],[Shipping Address]],FIND(",",Table3[[#This Row],[Shipping Address]])-1))</f>
        <v>458 Brigade Road</v>
      </c>
      <c r="Q16" s="16" t="str">
        <f>TRIM(MID(Table3[[#This Row],[Shipping Address]],FIND(",",Table3[[#This Row],[Shipping Address]])+1,FIND(",",Table3[[#This Row],[Shipping Address]],FIND(",",Table3[[#This Row],[Shipping Address]])+1)-FIND(",",Table3[[#This Row],[Shipping Address]])-1))</f>
        <v>Bengaluru</v>
      </c>
      <c r="R16" s="16" t="str">
        <f>TRIM(MID(Table3[[#This Row],[Shipping Address]],FIND(",",Table3[[#This Row],[Shipping Address]],FIND(",",Table3[[#This Row],[Shipping Address]])+1)+1,20))</f>
        <v>560001</v>
      </c>
      <c r="S16" s="16" t="s">
        <v>21</v>
      </c>
      <c r="T16" s="16" t="str">
        <f>_xlfn.IFNA(_xlfn.XLOOKUP(Table3[[#This Row],[Country Code]],Lookups!$A$2:$A$5,Lookups!$B$2:$B$5),"CHECK CODE")</f>
        <v>India</v>
      </c>
      <c r="U16" s="16" t="str">
        <f>_xlfn.IFNA(_xlfn.XLOOKUP(Table3[[#This Row],[Country Code]],Lookups!$A$2:$A$5,Lookups!$C$2:$C$5),"CHECK CODE")</f>
        <v>Asia</v>
      </c>
      <c r="V16" s="16" t="s">
        <v>34</v>
      </c>
      <c r="W16" s="16" t="str">
        <f>_xlfn.IFNA(_xlfn.XLOOKUP(Table3[[#This Row],[Country Code]],Lookups!$A$2:$A$5,Lookups!$D$2:$D$5),"CHECK CODE")</f>
        <v>INR</v>
      </c>
      <c r="X16" s="16">
        <f>VALUE(MID(Table3[[#This Row],[Unit Price]],2,50))</f>
        <v>22000</v>
      </c>
      <c r="Y16" s="19">
        <f>_xlfn.IFNA(_xlfn.XLOOKUP(Table3[[#This Row],[Country Code]],Lookups!$A$2:$A$5,Lookups!$E$2:$E$5),"")</f>
        <v>109.88200000000001</v>
      </c>
      <c r="Z16" s="87">
        <f>Table3[[#This Row],[Unit Price (local)]]/Table3[[#This Row],[FX Rate (per EUR)]]</f>
        <v>200.21477585045776</v>
      </c>
      <c r="AA16" s="16">
        <v>220</v>
      </c>
      <c r="AB16" s="20">
        <v>0</v>
      </c>
      <c r="AC16" s="21">
        <f>ROUND(Table3[[#This Row],[Unit Price (EUR)]]*Table3[[#This Row],[Units Sold]],0)</f>
        <v>44047</v>
      </c>
      <c r="AD16" s="22">
        <f>ROUND(Table3[[#This Row],[Gross Sales (EUR)]]*(1-Table3[[#This Row],[Discount (%)]]/100),0)</f>
        <v>44047</v>
      </c>
      <c r="AE16" s="22">
        <f>_xlfn.IFNA(_xlfn.XLOOKUP(Table3[[#This Row],[Month]],Lookups!$N$2:$N$13,Lookups!$O$2:$O$13),"CHECK MONTH")</f>
        <v>2</v>
      </c>
      <c r="AF16" s="22" t="str">
        <f>TEXT(Table3[[#This Row],[Month No]],"00")&amp;" - "&amp;Table3[[#This Row],[Month]]</f>
        <v>02 - February</v>
      </c>
      <c r="AG16" s="22" t="str">
        <f>_xlfn.IFNA(_xlfn.XLOOKUP(Table3[[#This Row],[Month]],Lookups!$N$2:$N$13,Lookups!$P$2:$P$13),"CHECK MONTH")</f>
        <v>Q1</v>
      </c>
      <c r="AH16" s="22">
        <f>Table3[[#This Row],[Gross Sales (EUR)]]-Table3[[#This Row],[Total Sales (EUR)]]</f>
        <v>0</v>
      </c>
      <c r="AI16" s="89">
        <f>DATE(Lookups!$O$15,Table3[[#This Row],[Month No]],1)</f>
        <v>45689</v>
      </c>
    </row>
    <row r="17" spans="1:35" x14ac:dyDescent="0.3">
      <c r="A17" s="15">
        <v>16</v>
      </c>
      <c r="B17" s="16" t="s">
        <v>35</v>
      </c>
      <c r="C17" s="16" t="s">
        <v>36</v>
      </c>
      <c r="D17" s="16" t="str">
        <f>TRIM(Table3[[#This Row],[Rep Last Name]])&amp;", "&amp;TRIM(Table3[[#This Row],[Rep First Name]])</f>
        <v>Liu, Fang</v>
      </c>
      <c r="E17" s="16" t="s">
        <v>65</v>
      </c>
      <c r="F17" s="16" t="s">
        <v>16</v>
      </c>
      <c r="G17" s="16" t="s">
        <v>17</v>
      </c>
      <c r="H17" s="16" t="str">
        <f>IF(Table3[[#This Row],[Min Speed (original, incomplete)]]="",_xlfn.IFNA(_xlfn.XLOOKUP(Table3[[#This Row],[Product Type]],Lookups!$G$2:$G$4,Lookups!$H$2:$H$4),"CHECK PRODUCT"),Table3[[#This Row],[Min Speed (original, incomplete)]])</f>
        <v>15 mph</v>
      </c>
      <c r="I17" s="16" t="s">
        <v>18</v>
      </c>
      <c r="J17" s="16" t="s">
        <v>47</v>
      </c>
      <c r="K17" s="17">
        <f>ROUND(VALUE(SUBSTITUTE(Table3[[#This Row],[Min Speed (mph)]]," mph",""))*Lookups!$L$2,0)</f>
        <v>24</v>
      </c>
      <c r="L17" s="17">
        <f>ROUND(VALUE(SUBSTITUTE(Table3[[#This Row],[Speed]]," mph",""))*Lookups!$L$2,0)</f>
        <v>48</v>
      </c>
      <c r="M17" s="17" t="str">
        <f>Table3[[#This Row],[Min Speed (km/h)]]&amp;" – "&amp;Table3[[#This Row],[Max Speed (km/h)]]&amp;" km/h"</f>
        <v>24 – 48 km/h</v>
      </c>
      <c r="N17" s="18">
        <f>IF(ISNUMBER(SEARCH("mile",Table3[[#This Row],[Distance]])),ROUND(VALUE(SUBSTITUTE(Table3[[#This Row],[Distance]]," miles",""))*Lookups!$L$3,0),ROUND(VALUE(SUBSTITUTE(Table3[[#This Row],[Distance]]," meters",""))*Lookups!$L$4,0))</f>
        <v>48</v>
      </c>
      <c r="O17" s="16" t="s">
        <v>37</v>
      </c>
      <c r="P17" s="16" t="str">
        <f>TRIM(LEFT(Table3[[#This Row],[Shipping Address]],FIND(",",Table3[[#This Row],[Shipping Address]])-1))</f>
        <v>99 Nanjing Road</v>
      </c>
      <c r="Q17" s="16" t="str">
        <f>TRIM(MID(Table3[[#This Row],[Shipping Address]],FIND(",",Table3[[#This Row],[Shipping Address]])+1,FIND(",",Table3[[#This Row],[Shipping Address]],FIND(",",Table3[[#This Row],[Shipping Address]])+1)-FIND(",",Table3[[#This Row],[Shipping Address]])-1))</f>
        <v>Shanghai</v>
      </c>
      <c r="R17" s="16" t="str">
        <f>TRIM(MID(Table3[[#This Row],[Shipping Address]],FIND(",",Table3[[#This Row],[Shipping Address]],FIND(",",Table3[[#This Row],[Shipping Address]])+1)+1,20))</f>
        <v>200001</v>
      </c>
      <c r="S17" s="16" t="s">
        <v>38</v>
      </c>
      <c r="T17" s="16" t="str">
        <f>_xlfn.IFNA(_xlfn.XLOOKUP(Table3[[#This Row],[Country Code]],Lookups!$A$2:$A$5,Lookups!$B$2:$B$5),"CHECK CODE")</f>
        <v>China</v>
      </c>
      <c r="U17" s="16" t="str">
        <f>_xlfn.IFNA(_xlfn.XLOOKUP(Table3[[#This Row],[Country Code]],Lookups!$A$2:$A$5,Lookups!$C$2:$C$5),"CHECK CODE")</f>
        <v>Asia</v>
      </c>
      <c r="V17" s="16" t="s">
        <v>39</v>
      </c>
      <c r="W17" s="16" t="str">
        <f>_xlfn.IFNA(_xlfn.XLOOKUP(Table3[[#This Row],[Country Code]],Lookups!$A$2:$A$5,Lookups!$D$2:$D$5),"CHECK CODE")</f>
        <v>CNY</v>
      </c>
      <c r="X17" s="16">
        <f>VALUE(MID(Table3[[#This Row],[Unit Price]],2,50))</f>
        <v>5000</v>
      </c>
      <c r="Y17" s="19">
        <f>_xlfn.IFNA(_xlfn.XLOOKUP(Table3[[#This Row],[Country Code]],Lookups!$A$2:$A$5,Lookups!$E$2:$E$5),"")</f>
        <v>7.7255000000000003</v>
      </c>
      <c r="Z17" s="87">
        <f>Table3[[#This Row],[Unit Price (local)]]/Table3[[#This Row],[FX Rate (per EUR)]]</f>
        <v>647.20730049834958</v>
      </c>
      <c r="AA17" s="16">
        <v>550</v>
      </c>
      <c r="AB17" s="20">
        <v>0</v>
      </c>
      <c r="AC17" s="21">
        <f>ROUND(Table3[[#This Row],[Unit Price (EUR)]]*Table3[[#This Row],[Units Sold]],0)</f>
        <v>355964</v>
      </c>
      <c r="AD17" s="22">
        <f>ROUND(Table3[[#This Row],[Gross Sales (EUR)]]*(1-Table3[[#This Row],[Discount (%)]]/100),0)</f>
        <v>355964</v>
      </c>
      <c r="AE17" s="22">
        <f>_xlfn.IFNA(_xlfn.XLOOKUP(Table3[[#This Row],[Month]],Lookups!$N$2:$N$13,Lookups!$O$2:$O$13),"CHECK MONTH")</f>
        <v>2</v>
      </c>
      <c r="AF17" s="22" t="str">
        <f>TEXT(Table3[[#This Row],[Month No]],"00")&amp;" - "&amp;Table3[[#This Row],[Month]]</f>
        <v>02 - February</v>
      </c>
      <c r="AG17" s="22" t="str">
        <f>_xlfn.IFNA(_xlfn.XLOOKUP(Table3[[#This Row],[Month]],Lookups!$N$2:$N$13,Lookups!$P$2:$P$13),"CHECK MONTH")</f>
        <v>Q1</v>
      </c>
      <c r="AH17" s="22">
        <f>Table3[[#This Row],[Gross Sales (EUR)]]-Table3[[#This Row],[Total Sales (EUR)]]</f>
        <v>0</v>
      </c>
      <c r="AI17" s="89">
        <f>DATE(Lookups!$O$15,Table3[[#This Row],[Month No]],1)</f>
        <v>45689</v>
      </c>
    </row>
    <row r="18" spans="1:35" x14ac:dyDescent="0.3">
      <c r="A18" s="15">
        <v>17</v>
      </c>
      <c r="B18" s="16" t="s">
        <v>35</v>
      </c>
      <c r="C18" s="16" t="s">
        <v>36</v>
      </c>
      <c r="D18" s="16" t="str">
        <f>TRIM(Table3[[#This Row],[Rep Last Name]])&amp;", "&amp;TRIM(Table3[[#This Row],[Rep First Name]])</f>
        <v>Liu, Fang</v>
      </c>
      <c r="E18" s="16" t="s">
        <v>65</v>
      </c>
      <c r="F18" s="16" t="s">
        <v>23</v>
      </c>
      <c r="G18" s="16" t="s">
        <v>24</v>
      </c>
      <c r="H18" s="16" t="str">
        <f>IF(Table3[[#This Row],[Min Speed (original, incomplete)]]="",_xlfn.IFNA(_xlfn.XLOOKUP(Table3[[#This Row],[Product Type]],Lookups!$G$2:$G$4,Lookups!$H$2:$H$4),"CHECK PRODUCT"),Table3[[#This Row],[Min Speed (original, incomplete)]])</f>
        <v>20 mph</v>
      </c>
      <c r="I18" s="16" t="s">
        <v>25</v>
      </c>
      <c r="J18" s="16" t="s">
        <v>26</v>
      </c>
      <c r="K18" s="17">
        <f>ROUND(VALUE(SUBSTITUTE(Table3[[#This Row],[Min Speed (mph)]]," mph",""))*Lookups!$L$2,0)</f>
        <v>32</v>
      </c>
      <c r="L18" s="17">
        <f>ROUND(VALUE(SUBSTITUTE(Table3[[#This Row],[Speed]]," mph",""))*Lookups!$L$2,0)</f>
        <v>56</v>
      </c>
      <c r="M18" s="17" t="str">
        <f>Table3[[#This Row],[Min Speed (km/h)]]&amp;" – "&amp;Table3[[#This Row],[Max Speed (km/h)]]&amp;" km/h"</f>
        <v>32 – 56 km/h</v>
      </c>
      <c r="N18" s="18">
        <f>IF(ISNUMBER(SEARCH("mile",Table3[[#This Row],[Distance]])),ROUND(VALUE(SUBSTITUTE(Table3[[#This Row],[Distance]]," miles",""))*Lookups!$L$3,0),ROUND(VALUE(SUBSTITUTE(Table3[[#This Row],[Distance]]," meters",""))*Lookups!$L$4,0))</f>
        <v>64</v>
      </c>
      <c r="O18" s="16" t="s">
        <v>40</v>
      </c>
      <c r="P18" s="16" t="str">
        <f>TRIM(LEFT(Table3[[#This Row],[Shipping Address]],FIND(",",Table3[[#This Row],[Shipping Address]])-1))</f>
        <v>100 Nanjing Road</v>
      </c>
      <c r="Q18" s="16" t="str">
        <f>TRIM(MID(Table3[[#This Row],[Shipping Address]],FIND(",",Table3[[#This Row],[Shipping Address]])+1,FIND(",",Table3[[#This Row],[Shipping Address]],FIND(",",Table3[[#This Row],[Shipping Address]])+1)-FIND(",",Table3[[#This Row],[Shipping Address]])-1))</f>
        <v>Shanghai</v>
      </c>
      <c r="R18" s="16" t="str">
        <f>TRIM(MID(Table3[[#This Row],[Shipping Address]],FIND(",",Table3[[#This Row],[Shipping Address]],FIND(",",Table3[[#This Row],[Shipping Address]])+1)+1,20))</f>
        <v>200001</v>
      </c>
      <c r="S18" s="16" t="s">
        <v>38</v>
      </c>
      <c r="T18" s="16" t="str">
        <f>_xlfn.IFNA(_xlfn.XLOOKUP(Table3[[#This Row],[Country Code]],Lookups!$A$2:$A$5,Lookups!$B$2:$B$5),"CHECK CODE")</f>
        <v>China</v>
      </c>
      <c r="U18" s="16" t="str">
        <f>_xlfn.IFNA(_xlfn.XLOOKUP(Table3[[#This Row],[Country Code]],Lookups!$A$2:$A$5,Lookups!$C$2:$C$5),"CHECK CODE")</f>
        <v>Asia</v>
      </c>
      <c r="V18" s="16" t="s">
        <v>41</v>
      </c>
      <c r="W18" s="16" t="str">
        <f>_xlfn.IFNA(_xlfn.XLOOKUP(Table3[[#This Row],[Country Code]],Lookups!$A$2:$A$5,Lookups!$D$2:$D$5),"CHECK CODE")</f>
        <v>CNY</v>
      </c>
      <c r="X18" s="16">
        <f>VALUE(MID(Table3[[#This Row],[Unit Price]],2,50))</f>
        <v>3500</v>
      </c>
      <c r="Y18" s="19">
        <f>_xlfn.IFNA(_xlfn.XLOOKUP(Table3[[#This Row],[Country Code]],Lookups!$A$2:$A$5,Lookups!$E$2:$E$5),"")</f>
        <v>7.7255000000000003</v>
      </c>
      <c r="Z18" s="87">
        <f>Table3[[#This Row],[Unit Price (local)]]/Table3[[#This Row],[FX Rate (per EUR)]]</f>
        <v>453.04511034884473</v>
      </c>
      <c r="AA18" s="16">
        <v>1200</v>
      </c>
      <c r="AB18" s="20">
        <v>0</v>
      </c>
      <c r="AC18" s="21">
        <f>ROUND(Table3[[#This Row],[Unit Price (EUR)]]*Table3[[#This Row],[Units Sold]],0)</f>
        <v>543654</v>
      </c>
      <c r="AD18" s="22">
        <f>ROUND(Table3[[#This Row],[Gross Sales (EUR)]]*(1-Table3[[#This Row],[Discount (%)]]/100),0)</f>
        <v>543654</v>
      </c>
      <c r="AE18" s="22">
        <f>_xlfn.IFNA(_xlfn.XLOOKUP(Table3[[#This Row],[Month]],Lookups!$N$2:$N$13,Lookups!$O$2:$O$13),"CHECK MONTH")</f>
        <v>2</v>
      </c>
      <c r="AF18" s="22" t="str">
        <f>TEXT(Table3[[#This Row],[Month No]],"00")&amp;" - "&amp;Table3[[#This Row],[Month]]</f>
        <v>02 - February</v>
      </c>
      <c r="AG18" s="22" t="str">
        <f>_xlfn.IFNA(_xlfn.XLOOKUP(Table3[[#This Row],[Month]],Lookups!$N$2:$N$13,Lookups!$P$2:$P$13),"CHECK MONTH")</f>
        <v>Q1</v>
      </c>
      <c r="AH18" s="22">
        <f>Table3[[#This Row],[Gross Sales (EUR)]]-Table3[[#This Row],[Total Sales (EUR)]]</f>
        <v>0</v>
      </c>
      <c r="AI18" s="89">
        <f>DATE(Lookups!$O$15,Table3[[#This Row],[Month No]],1)</f>
        <v>45689</v>
      </c>
    </row>
    <row r="19" spans="1:35" x14ac:dyDescent="0.3">
      <c r="A19" s="15">
        <v>18</v>
      </c>
      <c r="B19" s="16" t="s">
        <v>35</v>
      </c>
      <c r="C19" s="16" t="s">
        <v>36</v>
      </c>
      <c r="D19" s="16" t="str">
        <f>TRIM(Table3[[#This Row],[Rep Last Name]])&amp;", "&amp;TRIM(Table3[[#This Row],[Rep First Name]])</f>
        <v>Liu, Fang</v>
      </c>
      <c r="E19" s="16" t="s">
        <v>65</v>
      </c>
      <c r="F19" s="16" t="s">
        <v>29</v>
      </c>
      <c r="G19" s="16" t="s">
        <v>30</v>
      </c>
      <c r="H19" s="16" t="str">
        <f>IF(Table3[[#This Row],[Min Speed (original, incomplete)]]="",_xlfn.IFNA(_xlfn.XLOOKUP(Table3[[#This Row],[Product Type]],Lookups!$G$2:$G$4,Lookups!$H$2:$H$4),"CHECK PRODUCT"),Table3[[#This Row],[Min Speed (original, incomplete)]])</f>
        <v>18 mph</v>
      </c>
      <c r="I19" s="16" t="s">
        <v>31</v>
      </c>
      <c r="J19" s="16" t="s">
        <v>32</v>
      </c>
      <c r="K19" s="17">
        <f>ROUND(VALUE(SUBSTITUTE(Table3[[#This Row],[Min Speed (mph)]]," mph",""))*Lookups!$L$2,0)</f>
        <v>29</v>
      </c>
      <c r="L19" s="17">
        <f>ROUND(VALUE(SUBSTITUTE(Table3[[#This Row],[Speed]]," mph",""))*Lookups!$L$2,0)</f>
        <v>45</v>
      </c>
      <c r="M19" s="17" t="str">
        <f>Table3[[#This Row],[Min Speed (km/h)]]&amp;" – "&amp;Table3[[#This Row],[Max Speed (km/h)]]&amp;" km/h"</f>
        <v>29 – 45 km/h</v>
      </c>
      <c r="N19" s="18">
        <f>IF(ISNUMBER(SEARCH("mile",Table3[[#This Row],[Distance]])),ROUND(VALUE(SUBSTITUTE(Table3[[#This Row],[Distance]]," miles",""))*Lookups!$L$3,0),ROUND(VALUE(SUBSTITUTE(Table3[[#This Row],[Distance]]," meters",""))*Lookups!$L$4,0))</f>
        <v>40</v>
      </c>
      <c r="O19" s="16" t="s">
        <v>43</v>
      </c>
      <c r="P19" s="16" t="str">
        <f>TRIM(LEFT(Table3[[#This Row],[Shipping Address]],FIND(",",Table3[[#This Row],[Shipping Address]])-1))</f>
        <v>101 Nanjing Road</v>
      </c>
      <c r="Q19" s="16" t="str">
        <f>TRIM(MID(Table3[[#This Row],[Shipping Address]],FIND(",",Table3[[#This Row],[Shipping Address]])+1,FIND(",",Table3[[#This Row],[Shipping Address]],FIND(",",Table3[[#This Row],[Shipping Address]])+1)-FIND(",",Table3[[#This Row],[Shipping Address]])-1))</f>
        <v>Shanghai</v>
      </c>
      <c r="R19" s="16" t="str">
        <f>TRIM(MID(Table3[[#This Row],[Shipping Address]],FIND(",",Table3[[#This Row],[Shipping Address]],FIND(",",Table3[[#This Row],[Shipping Address]])+1)+1,20))</f>
        <v>200001</v>
      </c>
      <c r="S19" s="16" t="s">
        <v>38</v>
      </c>
      <c r="T19" s="16" t="str">
        <f>_xlfn.IFNA(_xlfn.XLOOKUP(Table3[[#This Row],[Country Code]],Lookups!$A$2:$A$5,Lookups!$B$2:$B$5),"CHECK CODE")</f>
        <v>China</v>
      </c>
      <c r="U19" s="16" t="str">
        <f>_xlfn.IFNA(_xlfn.XLOOKUP(Table3[[#This Row],[Country Code]],Lookups!$A$2:$A$5,Lookups!$C$2:$C$5),"CHECK CODE")</f>
        <v>Asia</v>
      </c>
      <c r="V19" s="16" t="s">
        <v>44</v>
      </c>
      <c r="W19" s="16" t="str">
        <f>_xlfn.IFNA(_xlfn.XLOOKUP(Table3[[#This Row],[Country Code]],Lookups!$A$2:$A$5,Lookups!$D$2:$D$5),"CHECK CODE")</f>
        <v>CNY</v>
      </c>
      <c r="X19" s="16">
        <f>VALUE(MID(Table3[[#This Row],[Unit Price]],2,50))</f>
        <v>4200</v>
      </c>
      <c r="Y19" s="19">
        <f>_xlfn.IFNA(_xlfn.XLOOKUP(Table3[[#This Row],[Country Code]],Lookups!$A$2:$A$5,Lookups!$E$2:$E$5),"")</f>
        <v>7.7255000000000003</v>
      </c>
      <c r="Z19" s="87">
        <f>Table3[[#This Row],[Unit Price (local)]]/Table3[[#This Row],[FX Rate (per EUR)]]</f>
        <v>543.6541324186137</v>
      </c>
      <c r="AA19" s="16">
        <v>850</v>
      </c>
      <c r="AB19" s="20">
        <v>0</v>
      </c>
      <c r="AC19" s="21">
        <f>ROUND(Table3[[#This Row],[Unit Price (EUR)]]*Table3[[#This Row],[Units Sold]],0)</f>
        <v>462106</v>
      </c>
      <c r="AD19" s="22">
        <f>ROUND(Table3[[#This Row],[Gross Sales (EUR)]]*(1-Table3[[#This Row],[Discount (%)]]/100),0)</f>
        <v>462106</v>
      </c>
      <c r="AE19" s="22">
        <f>_xlfn.IFNA(_xlfn.XLOOKUP(Table3[[#This Row],[Month]],Lookups!$N$2:$N$13,Lookups!$O$2:$O$13),"CHECK MONTH")</f>
        <v>2</v>
      </c>
      <c r="AF19" s="22" t="str">
        <f>TEXT(Table3[[#This Row],[Month No]],"00")&amp;" - "&amp;Table3[[#This Row],[Month]]</f>
        <v>02 - February</v>
      </c>
      <c r="AG19" s="22" t="str">
        <f>_xlfn.IFNA(_xlfn.XLOOKUP(Table3[[#This Row],[Month]],Lookups!$N$2:$N$13,Lookups!$P$2:$P$13),"CHECK MONTH")</f>
        <v>Q1</v>
      </c>
      <c r="AH19" s="22">
        <f>Table3[[#This Row],[Gross Sales (EUR)]]-Table3[[#This Row],[Total Sales (EUR)]]</f>
        <v>0</v>
      </c>
      <c r="AI19" s="89">
        <f>DATE(Lookups!$O$15,Table3[[#This Row],[Month No]],1)</f>
        <v>45689</v>
      </c>
    </row>
    <row r="20" spans="1:35" x14ac:dyDescent="0.3">
      <c r="A20" s="15">
        <v>19</v>
      </c>
      <c r="B20" s="16" t="s">
        <v>45</v>
      </c>
      <c r="C20" s="16" t="s">
        <v>46</v>
      </c>
      <c r="D20" s="16" t="str">
        <f>TRIM(Table3[[#This Row],[Rep Last Name]])&amp;", "&amp;TRIM(Table3[[#This Row],[Rep First Name]])</f>
        <v>Fischer, Jonas</v>
      </c>
      <c r="E20" s="16" t="s">
        <v>65</v>
      </c>
      <c r="F20" s="16" t="s">
        <v>16</v>
      </c>
      <c r="G20" s="16" t="s">
        <v>17</v>
      </c>
      <c r="H20" s="16" t="str">
        <f>IF(Table3[[#This Row],[Min Speed (original, incomplete)]]="",_xlfn.IFNA(_xlfn.XLOOKUP(Table3[[#This Row],[Product Type]],Lookups!$G$2:$G$4,Lookups!$H$2:$H$4),"CHECK PRODUCT"),Table3[[#This Row],[Min Speed (original, incomplete)]])</f>
        <v>15 mph</v>
      </c>
      <c r="I20" s="16" t="s">
        <v>18</v>
      </c>
      <c r="J20" s="16" t="s">
        <v>19</v>
      </c>
      <c r="K20" s="17">
        <f>ROUND(VALUE(SUBSTITUTE(Table3[[#This Row],[Min Speed (mph)]]," mph",""))*Lookups!$L$2,0)</f>
        <v>24</v>
      </c>
      <c r="L20" s="17">
        <f>ROUND(VALUE(SUBSTITUTE(Table3[[#This Row],[Speed]]," mph",""))*Lookups!$L$2,0)</f>
        <v>48</v>
      </c>
      <c r="M20" s="17" t="str">
        <f>Table3[[#This Row],[Min Speed (km/h)]]&amp;" – "&amp;Table3[[#This Row],[Max Speed (km/h)]]&amp;" km/h"</f>
        <v>24 – 48 km/h</v>
      </c>
      <c r="N20" s="18">
        <f>IF(ISNUMBER(SEARCH("mile",Table3[[#This Row],[Distance]])),ROUND(VALUE(SUBSTITUTE(Table3[[#This Row],[Distance]]," miles",""))*Lookups!$L$3,0),ROUND(VALUE(SUBSTITUTE(Table3[[#This Row],[Distance]]," meters",""))*Lookups!$L$4,0))</f>
        <v>48</v>
      </c>
      <c r="O20" s="16" t="s">
        <v>48</v>
      </c>
      <c r="P20" s="16" t="str">
        <f>TRIM(LEFT(Table3[[#This Row],[Shipping Address]],FIND(",",Table3[[#This Row],[Shipping Address]])-1))</f>
        <v>303 Ringstraße</v>
      </c>
      <c r="Q20" s="16" t="str">
        <f>TRIM(MID(Table3[[#This Row],[Shipping Address]],FIND(",",Table3[[#This Row],[Shipping Address]])+1,FIND(",",Table3[[#This Row],[Shipping Address]],FIND(",",Table3[[#This Row],[Shipping Address]])+1)-FIND(",",Table3[[#This Row],[Shipping Address]])-1))</f>
        <v>Hamburg</v>
      </c>
      <c r="R20" s="16" t="str">
        <f>TRIM(MID(Table3[[#This Row],[Shipping Address]],FIND(",",Table3[[#This Row],[Shipping Address]],FIND(",",Table3[[#This Row],[Shipping Address]])+1)+1,20))</f>
        <v>20095</v>
      </c>
      <c r="S20" s="16" t="s">
        <v>49</v>
      </c>
      <c r="T20" s="16" t="str">
        <f>_xlfn.IFNA(_xlfn.XLOOKUP(Table3[[#This Row],[Country Code]],Lookups!$A$2:$A$5,Lookups!$B$2:$B$5),"CHECK CODE")</f>
        <v>Germany</v>
      </c>
      <c r="U20" s="16" t="str">
        <f>_xlfn.IFNA(_xlfn.XLOOKUP(Table3[[#This Row],[Country Code]],Lookups!$A$2:$A$5,Lookups!$C$2:$C$5),"CHECK CODE")</f>
        <v>Europe</v>
      </c>
      <c r="V20" s="16" t="s">
        <v>50</v>
      </c>
      <c r="W20" s="16" t="str">
        <f>_xlfn.IFNA(_xlfn.XLOOKUP(Table3[[#This Row],[Country Code]],Lookups!$A$2:$A$5,Lookups!$D$2:$D$5),"CHECK CODE")</f>
        <v>EUR</v>
      </c>
      <c r="X20" s="16">
        <f>VALUE(MID(Table3[[#This Row],[Unit Price]],2,50))</f>
        <v>1000</v>
      </c>
      <c r="Y20" s="19">
        <f>_xlfn.IFNA(_xlfn.XLOOKUP(Table3[[#This Row],[Country Code]],Lookups!$A$2:$A$5,Lookups!$E$2:$E$5),"")</f>
        <v>1</v>
      </c>
      <c r="Z20" s="87">
        <f>Table3[[#This Row],[Unit Price (local)]]/Table3[[#This Row],[FX Rate (per EUR)]]</f>
        <v>1000</v>
      </c>
      <c r="AA20" s="16">
        <v>130</v>
      </c>
      <c r="AB20" s="20">
        <v>0</v>
      </c>
      <c r="AC20" s="21">
        <f>ROUND(Table3[[#This Row],[Unit Price (EUR)]]*Table3[[#This Row],[Units Sold]],0)</f>
        <v>130000</v>
      </c>
      <c r="AD20" s="22">
        <f>ROUND(Table3[[#This Row],[Gross Sales (EUR)]]*(1-Table3[[#This Row],[Discount (%)]]/100),0)</f>
        <v>130000</v>
      </c>
      <c r="AE20" s="22">
        <f>_xlfn.IFNA(_xlfn.XLOOKUP(Table3[[#This Row],[Month]],Lookups!$N$2:$N$13,Lookups!$O$2:$O$13),"CHECK MONTH")</f>
        <v>2</v>
      </c>
      <c r="AF20" s="22" t="str">
        <f>TEXT(Table3[[#This Row],[Month No]],"00")&amp;" - "&amp;Table3[[#This Row],[Month]]</f>
        <v>02 - February</v>
      </c>
      <c r="AG20" s="22" t="str">
        <f>_xlfn.IFNA(_xlfn.XLOOKUP(Table3[[#This Row],[Month]],Lookups!$N$2:$N$13,Lookups!$P$2:$P$13),"CHECK MONTH")</f>
        <v>Q1</v>
      </c>
      <c r="AH20" s="22">
        <f>Table3[[#This Row],[Gross Sales (EUR)]]-Table3[[#This Row],[Total Sales (EUR)]]</f>
        <v>0</v>
      </c>
      <c r="AI20" s="89">
        <f>DATE(Lookups!$O$15,Table3[[#This Row],[Month No]],1)</f>
        <v>45689</v>
      </c>
    </row>
    <row r="21" spans="1:35" x14ac:dyDescent="0.3">
      <c r="A21" s="15">
        <v>20</v>
      </c>
      <c r="B21" s="16" t="s">
        <v>45</v>
      </c>
      <c r="C21" s="16" t="s">
        <v>46</v>
      </c>
      <c r="D21" s="16" t="str">
        <f>TRIM(Table3[[#This Row],[Rep Last Name]])&amp;", "&amp;TRIM(Table3[[#This Row],[Rep First Name]])</f>
        <v>Fischer, Jonas</v>
      </c>
      <c r="E21" s="16" t="s">
        <v>65</v>
      </c>
      <c r="F21" s="16" t="s">
        <v>23</v>
      </c>
      <c r="G21" s="16" t="s">
        <v>24</v>
      </c>
      <c r="H21" s="16" t="str">
        <f>IF(Table3[[#This Row],[Min Speed (original, incomplete)]]="",_xlfn.IFNA(_xlfn.XLOOKUP(Table3[[#This Row],[Product Type]],Lookups!$G$2:$G$4,Lookups!$H$2:$H$4),"CHECK PRODUCT"),Table3[[#This Row],[Min Speed (original, incomplete)]])</f>
        <v>20 mph</v>
      </c>
      <c r="I21" s="16" t="s">
        <v>25</v>
      </c>
      <c r="J21" s="16" t="s">
        <v>26</v>
      </c>
      <c r="K21" s="17">
        <f>ROUND(VALUE(SUBSTITUTE(Table3[[#This Row],[Min Speed (mph)]]," mph",""))*Lookups!$L$2,0)</f>
        <v>32</v>
      </c>
      <c r="L21" s="17">
        <f>ROUND(VALUE(SUBSTITUTE(Table3[[#This Row],[Speed]]," mph",""))*Lookups!$L$2,0)</f>
        <v>56</v>
      </c>
      <c r="M21" s="17" t="str">
        <f>Table3[[#This Row],[Min Speed (km/h)]]&amp;" – "&amp;Table3[[#This Row],[Max Speed (km/h)]]&amp;" km/h"</f>
        <v>32 – 56 km/h</v>
      </c>
      <c r="N21" s="18">
        <f>IF(ISNUMBER(SEARCH("mile",Table3[[#This Row],[Distance]])),ROUND(VALUE(SUBSTITUTE(Table3[[#This Row],[Distance]]," miles",""))*Lookups!$L$3,0),ROUND(VALUE(SUBSTITUTE(Table3[[#This Row],[Distance]]," meters",""))*Lookups!$L$4,0))</f>
        <v>64</v>
      </c>
      <c r="O21" s="16" t="s">
        <v>51</v>
      </c>
      <c r="P21" s="16" t="str">
        <f>TRIM(LEFT(Table3[[#This Row],[Shipping Address]],FIND(",",Table3[[#This Row],[Shipping Address]])-1))</f>
        <v>304 Ringstraße</v>
      </c>
      <c r="Q21" s="16" t="str">
        <f>TRIM(MID(Table3[[#This Row],[Shipping Address]],FIND(",",Table3[[#This Row],[Shipping Address]])+1,FIND(",",Table3[[#This Row],[Shipping Address]],FIND(",",Table3[[#This Row],[Shipping Address]])+1)-FIND(",",Table3[[#This Row],[Shipping Address]])-1))</f>
        <v>Hamburg</v>
      </c>
      <c r="R21" s="16" t="str">
        <f>TRIM(MID(Table3[[#This Row],[Shipping Address]],FIND(",",Table3[[#This Row],[Shipping Address]],FIND(",",Table3[[#This Row],[Shipping Address]])+1)+1,20))</f>
        <v>20095</v>
      </c>
      <c r="S21" s="16" t="s">
        <v>49</v>
      </c>
      <c r="T21" s="16" t="str">
        <f>_xlfn.IFNA(_xlfn.XLOOKUP(Table3[[#This Row],[Country Code]],Lookups!$A$2:$A$5,Lookups!$B$2:$B$5),"CHECK CODE")</f>
        <v>Germany</v>
      </c>
      <c r="U21" s="16" t="str">
        <f>_xlfn.IFNA(_xlfn.XLOOKUP(Table3[[#This Row],[Country Code]],Lookups!$A$2:$A$5,Lookups!$C$2:$C$5),"CHECK CODE")</f>
        <v>Europe</v>
      </c>
      <c r="V21" s="16" t="s">
        <v>52</v>
      </c>
      <c r="W21" s="16" t="str">
        <f>_xlfn.IFNA(_xlfn.XLOOKUP(Table3[[#This Row],[Country Code]],Lookups!$A$2:$A$5,Lookups!$D$2:$D$5),"CHECK CODE")</f>
        <v>EUR</v>
      </c>
      <c r="X21" s="16">
        <f>VALUE(MID(Table3[[#This Row],[Unit Price]],2,50))</f>
        <v>800</v>
      </c>
      <c r="Y21" s="19">
        <f>_xlfn.IFNA(_xlfn.XLOOKUP(Table3[[#This Row],[Country Code]],Lookups!$A$2:$A$5,Lookups!$E$2:$E$5),"")</f>
        <v>1</v>
      </c>
      <c r="Z21" s="87">
        <f>Table3[[#This Row],[Unit Price (local)]]/Table3[[#This Row],[FX Rate (per EUR)]]</f>
        <v>800</v>
      </c>
      <c r="AA21" s="16">
        <v>220</v>
      </c>
      <c r="AB21" s="20">
        <v>0</v>
      </c>
      <c r="AC21" s="21">
        <f>ROUND(Table3[[#This Row],[Unit Price (EUR)]]*Table3[[#This Row],[Units Sold]],0)</f>
        <v>176000</v>
      </c>
      <c r="AD21" s="22">
        <f>ROUND(Table3[[#This Row],[Gross Sales (EUR)]]*(1-Table3[[#This Row],[Discount (%)]]/100),0)</f>
        <v>176000</v>
      </c>
      <c r="AE21" s="22">
        <f>_xlfn.IFNA(_xlfn.XLOOKUP(Table3[[#This Row],[Month]],Lookups!$N$2:$N$13,Lookups!$O$2:$O$13),"CHECK MONTH")</f>
        <v>2</v>
      </c>
      <c r="AF21" s="22" t="str">
        <f>TEXT(Table3[[#This Row],[Month No]],"00")&amp;" - "&amp;Table3[[#This Row],[Month]]</f>
        <v>02 - February</v>
      </c>
      <c r="AG21" s="22" t="str">
        <f>_xlfn.IFNA(_xlfn.XLOOKUP(Table3[[#This Row],[Month]],Lookups!$N$2:$N$13,Lookups!$P$2:$P$13),"CHECK MONTH")</f>
        <v>Q1</v>
      </c>
      <c r="AH21" s="22">
        <f>Table3[[#This Row],[Gross Sales (EUR)]]-Table3[[#This Row],[Total Sales (EUR)]]</f>
        <v>0</v>
      </c>
      <c r="AI21" s="89">
        <f>DATE(Lookups!$O$15,Table3[[#This Row],[Month No]],1)</f>
        <v>45689</v>
      </c>
    </row>
    <row r="22" spans="1:35" x14ac:dyDescent="0.3">
      <c r="A22" s="15">
        <v>21</v>
      </c>
      <c r="B22" s="16" t="s">
        <v>45</v>
      </c>
      <c r="C22" s="16" t="s">
        <v>46</v>
      </c>
      <c r="D22" s="16" t="str">
        <f>TRIM(Table3[[#This Row],[Rep Last Name]])&amp;", "&amp;TRIM(Table3[[#This Row],[Rep First Name]])</f>
        <v>Fischer, Jonas</v>
      </c>
      <c r="E22" s="16" t="s">
        <v>65</v>
      </c>
      <c r="F22" s="16" t="s">
        <v>29</v>
      </c>
      <c r="G22" s="16" t="s">
        <v>30</v>
      </c>
      <c r="H22" s="16" t="str">
        <f>IF(Table3[[#This Row],[Min Speed (original, incomplete)]]="",_xlfn.IFNA(_xlfn.XLOOKUP(Table3[[#This Row],[Product Type]],Lookups!$G$2:$G$4,Lookups!$H$2:$H$4),"CHECK PRODUCT"),Table3[[#This Row],[Min Speed (original, incomplete)]])</f>
        <v>18 mph</v>
      </c>
      <c r="I22" s="16" t="s">
        <v>31</v>
      </c>
      <c r="J22" s="16" t="s">
        <v>32</v>
      </c>
      <c r="K22" s="17">
        <f>ROUND(VALUE(SUBSTITUTE(Table3[[#This Row],[Min Speed (mph)]]," mph",""))*Lookups!$L$2,0)</f>
        <v>29</v>
      </c>
      <c r="L22" s="17">
        <f>ROUND(VALUE(SUBSTITUTE(Table3[[#This Row],[Speed]]," mph",""))*Lookups!$L$2,0)</f>
        <v>45</v>
      </c>
      <c r="M22" s="17" t="str">
        <f>Table3[[#This Row],[Min Speed (km/h)]]&amp;" – "&amp;Table3[[#This Row],[Max Speed (km/h)]]&amp;" km/h"</f>
        <v>29 – 45 km/h</v>
      </c>
      <c r="N22" s="18">
        <f>IF(ISNUMBER(SEARCH("mile",Table3[[#This Row],[Distance]])),ROUND(VALUE(SUBSTITUTE(Table3[[#This Row],[Distance]]," miles",""))*Lookups!$L$3,0),ROUND(VALUE(SUBSTITUTE(Table3[[#This Row],[Distance]]," meters",""))*Lookups!$L$4,0))</f>
        <v>40</v>
      </c>
      <c r="O22" s="16" t="s">
        <v>53</v>
      </c>
      <c r="P22" s="16" t="str">
        <f>TRIM(LEFT(Table3[[#This Row],[Shipping Address]],FIND(",",Table3[[#This Row],[Shipping Address]])-1))</f>
        <v>305 Ringstraße</v>
      </c>
      <c r="Q22" s="16" t="str">
        <f>TRIM(MID(Table3[[#This Row],[Shipping Address]],FIND(",",Table3[[#This Row],[Shipping Address]])+1,FIND(",",Table3[[#This Row],[Shipping Address]],FIND(",",Table3[[#This Row],[Shipping Address]])+1)-FIND(",",Table3[[#This Row],[Shipping Address]])-1))</f>
        <v>Hamburg</v>
      </c>
      <c r="R22" s="16" t="str">
        <f>TRIM(MID(Table3[[#This Row],[Shipping Address]],FIND(",",Table3[[#This Row],[Shipping Address]],FIND(",",Table3[[#This Row],[Shipping Address]])+1)+1,20))</f>
        <v>20095</v>
      </c>
      <c r="S22" s="16" t="s">
        <v>49</v>
      </c>
      <c r="T22" s="16" t="str">
        <f>_xlfn.IFNA(_xlfn.XLOOKUP(Table3[[#This Row],[Country Code]],Lookups!$A$2:$A$5,Lookups!$B$2:$B$5),"CHECK CODE")</f>
        <v>Germany</v>
      </c>
      <c r="U22" s="16" t="str">
        <f>_xlfn.IFNA(_xlfn.XLOOKUP(Table3[[#This Row],[Country Code]],Lookups!$A$2:$A$5,Lookups!$C$2:$C$5),"CHECK CODE")</f>
        <v>Europe</v>
      </c>
      <c r="V22" s="16" t="s">
        <v>54</v>
      </c>
      <c r="W22" s="16" t="str">
        <f>_xlfn.IFNA(_xlfn.XLOOKUP(Table3[[#This Row],[Country Code]],Lookups!$A$2:$A$5,Lookups!$D$2:$D$5),"CHECK CODE")</f>
        <v>EUR</v>
      </c>
      <c r="X22" s="16">
        <f>VALUE(MID(Table3[[#This Row],[Unit Price]],2,50))</f>
        <v>950</v>
      </c>
      <c r="Y22" s="19">
        <f>_xlfn.IFNA(_xlfn.XLOOKUP(Table3[[#This Row],[Country Code]],Lookups!$A$2:$A$5,Lookups!$E$2:$E$5),"")</f>
        <v>1</v>
      </c>
      <c r="Z22" s="87">
        <f>Table3[[#This Row],[Unit Price (local)]]/Table3[[#This Row],[FX Rate (per EUR)]]</f>
        <v>950</v>
      </c>
      <c r="AA22" s="16">
        <v>160</v>
      </c>
      <c r="AB22" s="20">
        <v>0</v>
      </c>
      <c r="AC22" s="21">
        <f>ROUND(Table3[[#This Row],[Unit Price (EUR)]]*Table3[[#This Row],[Units Sold]],0)</f>
        <v>152000</v>
      </c>
      <c r="AD22" s="22">
        <f>ROUND(Table3[[#This Row],[Gross Sales (EUR)]]*(1-Table3[[#This Row],[Discount (%)]]/100),0)</f>
        <v>152000</v>
      </c>
      <c r="AE22" s="22">
        <f>_xlfn.IFNA(_xlfn.XLOOKUP(Table3[[#This Row],[Month]],Lookups!$N$2:$N$13,Lookups!$O$2:$O$13),"CHECK MONTH")</f>
        <v>2</v>
      </c>
      <c r="AF22" s="22" t="str">
        <f>TEXT(Table3[[#This Row],[Month No]],"00")&amp;" - "&amp;Table3[[#This Row],[Month]]</f>
        <v>02 - February</v>
      </c>
      <c r="AG22" s="22" t="str">
        <f>_xlfn.IFNA(_xlfn.XLOOKUP(Table3[[#This Row],[Month]],Lookups!$N$2:$N$13,Lookups!$P$2:$P$13),"CHECK MONTH")</f>
        <v>Q1</v>
      </c>
      <c r="AH22" s="22">
        <f>Table3[[#This Row],[Gross Sales (EUR)]]-Table3[[#This Row],[Total Sales (EUR)]]</f>
        <v>0</v>
      </c>
      <c r="AI22" s="89">
        <f>DATE(Lookups!$O$15,Table3[[#This Row],[Month No]],1)</f>
        <v>45689</v>
      </c>
    </row>
    <row r="23" spans="1:35" x14ac:dyDescent="0.3">
      <c r="A23" s="15">
        <v>22</v>
      </c>
      <c r="B23" s="16" t="s">
        <v>55</v>
      </c>
      <c r="C23" s="16" t="s">
        <v>56</v>
      </c>
      <c r="D23" s="16" t="str">
        <f>TRIM(Table3[[#This Row],[Rep Last Name]])&amp;", "&amp;TRIM(Table3[[#This Row],[Rep First Name]])</f>
        <v>Bernard, Théo</v>
      </c>
      <c r="E23" s="16" t="s">
        <v>65</v>
      </c>
      <c r="F23" s="16" t="s">
        <v>16</v>
      </c>
      <c r="G23" s="16" t="s">
        <v>17</v>
      </c>
      <c r="H23" s="16" t="str">
        <f>IF(Table3[[#This Row],[Min Speed (original, incomplete)]]="",_xlfn.IFNA(_xlfn.XLOOKUP(Table3[[#This Row],[Product Type]],Lookups!$G$2:$G$4,Lookups!$H$2:$H$4),"CHECK PRODUCT"),Table3[[#This Row],[Min Speed (original, incomplete)]])</f>
        <v>15 mph</v>
      </c>
      <c r="I23" s="16" t="s">
        <v>18</v>
      </c>
      <c r="J23" s="16" t="s">
        <v>19</v>
      </c>
      <c r="K23" s="17">
        <f>ROUND(VALUE(SUBSTITUTE(Table3[[#This Row],[Min Speed (mph)]]," mph",""))*Lookups!$L$2,0)</f>
        <v>24</v>
      </c>
      <c r="L23" s="17">
        <f>ROUND(VALUE(SUBSTITUTE(Table3[[#This Row],[Speed]]," mph",""))*Lookups!$L$2,0)</f>
        <v>48</v>
      </c>
      <c r="M23" s="17" t="str">
        <f>Table3[[#This Row],[Min Speed (km/h)]]&amp;" – "&amp;Table3[[#This Row],[Max Speed (km/h)]]&amp;" km/h"</f>
        <v>24 – 48 km/h</v>
      </c>
      <c r="N23" s="18">
        <f>IF(ISNUMBER(SEARCH("mile",Table3[[#This Row],[Distance]])),ROUND(VALUE(SUBSTITUTE(Table3[[#This Row],[Distance]]," miles",""))*Lookups!$L$3,0),ROUND(VALUE(SUBSTITUTE(Table3[[#This Row],[Distance]]," meters",""))*Lookups!$L$4,0))</f>
        <v>48</v>
      </c>
      <c r="O23" s="16" t="s">
        <v>57</v>
      </c>
      <c r="P23" s="16" t="str">
        <f>TRIM(LEFT(Table3[[#This Row],[Shipping Address]],FIND(",",Table3[[#This Row],[Shipping Address]])-1))</f>
        <v>56 Boulevard Saint-Germain</v>
      </c>
      <c r="Q23" s="16" t="str">
        <f>TRIM(MID(Table3[[#This Row],[Shipping Address]],FIND(",",Table3[[#This Row],[Shipping Address]])+1,FIND(",",Table3[[#This Row],[Shipping Address]],FIND(",",Table3[[#This Row],[Shipping Address]])+1)-FIND(",",Table3[[#This Row],[Shipping Address]])-1))</f>
        <v>Paris</v>
      </c>
      <c r="R23" s="16" t="str">
        <f>TRIM(MID(Table3[[#This Row],[Shipping Address]],FIND(",",Table3[[#This Row],[Shipping Address]],FIND(",",Table3[[#This Row],[Shipping Address]])+1)+1,20))</f>
        <v>75005</v>
      </c>
      <c r="S23" s="16" t="s">
        <v>58</v>
      </c>
      <c r="T23" s="16" t="str">
        <f>_xlfn.IFNA(_xlfn.XLOOKUP(Table3[[#This Row],[Country Code]],Lookups!$A$2:$A$5,Lookups!$B$2:$B$5),"CHECK CODE")</f>
        <v>France</v>
      </c>
      <c r="U23" s="16" t="str">
        <f>_xlfn.IFNA(_xlfn.XLOOKUP(Table3[[#This Row],[Country Code]],Lookups!$A$2:$A$5,Lookups!$C$2:$C$5),"CHECK CODE")</f>
        <v>Europe</v>
      </c>
      <c r="V23" s="16" t="s">
        <v>59</v>
      </c>
      <c r="W23" s="16" t="str">
        <f>_xlfn.IFNA(_xlfn.XLOOKUP(Table3[[#This Row],[Country Code]],Lookups!$A$2:$A$5,Lookups!$D$2:$D$5),"CHECK CODE")</f>
        <v>EUR</v>
      </c>
      <c r="X23" s="16">
        <f>VALUE(MID(Table3[[#This Row],[Unit Price]],2,50))</f>
        <v>1100</v>
      </c>
      <c r="Y23" s="19">
        <f>_xlfn.IFNA(_xlfn.XLOOKUP(Table3[[#This Row],[Country Code]],Lookups!$A$2:$A$5,Lookups!$E$2:$E$5),"")</f>
        <v>1</v>
      </c>
      <c r="Z23" s="87">
        <f>Table3[[#This Row],[Unit Price (local)]]/Table3[[#This Row],[FX Rate (per EUR)]]</f>
        <v>1100</v>
      </c>
      <c r="AA23" s="16">
        <v>110</v>
      </c>
      <c r="AB23" s="20">
        <v>0</v>
      </c>
      <c r="AC23" s="21">
        <f>ROUND(Table3[[#This Row],[Unit Price (EUR)]]*Table3[[#This Row],[Units Sold]],0)</f>
        <v>121000</v>
      </c>
      <c r="AD23" s="22">
        <f>ROUND(Table3[[#This Row],[Gross Sales (EUR)]]*(1-Table3[[#This Row],[Discount (%)]]/100),0)</f>
        <v>121000</v>
      </c>
      <c r="AE23" s="22">
        <f>_xlfn.IFNA(_xlfn.XLOOKUP(Table3[[#This Row],[Month]],Lookups!$N$2:$N$13,Lookups!$O$2:$O$13),"CHECK MONTH")</f>
        <v>2</v>
      </c>
      <c r="AF23" s="22" t="str">
        <f>TEXT(Table3[[#This Row],[Month No]],"00")&amp;" - "&amp;Table3[[#This Row],[Month]]</f>
        <v>02 - February</v>
      </c>
      <c r="AG23" s="22" t="str">
        <f>_xlfn.IFNA(_xlfn.XLOOKUP(Table3[[#This Row],[Month]],Lookups!$N$2:$N$13,Lookups!$P$2:$P$13),"CHECK MONTH")</f>
        <v>Q1</v>
      </c>
      <c r="AH23" s="22">
        <f>Table3[[#This Row],[Gross Sales (EUR)]]-Table3[[#This Row],[Total Sales (EUR)]]</f>
        <v>0</v>
      </c>
      <c r="AI23" s="89">
        <f>DATE(Lookups!$O$15,Table3[[#This Row],[Month No]],1)</f>
        <v>45689</v>
      </c>
    </row>
    <row r="24" spans="1:35" x14ac:dyDescent="0.3">
      <c r="A24" s="15">
        <v>23</v>
      </c>
      <c r="B24" s="16" t="s">
        <v>55</v>
      </c>
      <c r="C24" s="16" t="s">
        <v>56</v>
      </c>
      <c r="D24" s="16" t="str">
        <f>TRIM(Table3[[#This Row],[Rep Last Name]])&amp;", "&amp;TRIM(Table3[[#This Row],[Rep First Name]])</f>
        <v>Bernard, Théo</v>
      </c>
      <c r="E24" s="16" t="s">
        <v>65</v>
      </c>
      <c r="F24" s="16" t="s">
        <v>23</v>
      </c>
      <c r="G24" s="16" t="s">
        <v>24</v>
      </c>
      <c r="H24" s="16" t="str">
        <f>IF(Table3[[#This Row],[Min Speed (original, incomplete)]]="",_xlfn.IFNA(_xlfn.XLOOKUP(Table3[[#This Row],[Product Type]],Lookups!$G$2:$G$4,Lookups!$H$2:$H$4),"CHECK PRODUCT"),Table3[[#This Row],[Min Speed (original, incomplete)]])</f>
        <v>20 mph</v>
      </c>
      <c r="I24" s="16" t="s">
        <v>25</v>
      </c>
      <c r="J24" s="16" t="s">
        <v>26</v>
      </c>
      <c r="K24" s="17">
        <f>ROUND(VALUE(SUBSTITUTE(Table3[[#This Row],[Min Speed (mph)]]," mph",""))*Lookups!$L$2,0)</f>
        <v>32</v>
      </c>
      <c r="L24" s="17">
        <f>ROUND(VALUE(SUBSTITUTE(Table3[[#This Row],[Speed]]," mph",""))*Lookups!$L$2,0)</f>
        <v>56</v>
      </c>
      <c r="M24" s="17" t="str">
        <f>Table3[[#This Row],[Min Speed (km/h)]]&amp;" – "&amp;Table3[[#This Row],[Max Speed (km/h)]]&amp;" km/h"</f>
        <v>32 – 56 km/h</v>
      </c>
      <c r="N24" s="18">
        <f>IF(ISNUMBER(SEARCH("mile",Table3[[#This Row],[Distance]])),ROUND(VALUE(SUBSTITUTE(Table3[[#This Row],[Distance]]," miles",""))*Lookups!$L$3,0),ROUND(VALUE(SUBSTITUTE(Table3[[#This Row],[Distance]]," meters",""))*Lookups!$L$4,0))</f>
        <v>64</v>
      </c>
      <c r="O24" s="16" t="s">
        <v>61</v>
      </c>
      <c r="P24" s="16" t="str">
        <f>TRIM(LEFT(Table3[[#This Row],[Shipping Address]],FIND(",",Table3[[#This Row],[Shipping Address]])-1))</f>
        <v>57 Boulevard Saint-Germain</v>
      </c>
      <c r="Q24" s="16" t="str">
        <f>TRIM(MID(Table3[[#This Row],[Shipping Address]],FIND(",",Table3[[#This Row],[Shipping Address]])+1,FIND(",",Table3[[#This Row],[Shipping Address]],FIND(",",Table3[[#This Row],[Shipping Address]])+1)-FIND(",",Table3[[#This Row],[Shipping Address]])-1))</f>
        <v>Paris</v>
      </c>
      <c r="R24" s="16" t="str">
        <f>TRIM(MID(Table3[[#This Row],[Shipping Address]],FIND(",",Table3[[#This Row],[Shipping Address]],FIND(",",Table3[[#This Row],[Shipping Address]])+1)+1,20))</f>
        <v>75005</v>
      </c>
      <c r="S24" s="16" t="s">
        <v>58</v>
      </c>
      <c r="T24" s="16" t="str">
        <f>_xlfn.IFNA(_xlfn.XLOOKUP(Table3[[#This Row],[Country Code]],Lookups!$A$2:$A$5,Lookups!$B$2:$B$5),"CHECK CODE")</f>
        <v>France</v>
      </c>
      <c r="U24" s="16" t="str">
        <f>_xlfn.IFNA(_xlfn.XLOOKUP(Table3[[#This Row],[Country Code]],Lookups!$A$2:$A$5,Lookups!$C$2:$C$5),"CHECK CODE")</f>
        <v>Europe</v>
      </c>
      <c r="V24" s="16" t="s">
        <v>62</v>
      </c>
      <c r="W24" s="16" t="str">
        <f>_xlfn.IFNA(_xlfn.XLOOKUP(Table3[[#This Row],[Country Code]],Lookups!$A$2:$A$5,Lookups!$D$2:$D$5),"CHECK CODE")</f>
        <v>EUR</v>
      </c>
      <c r="X24" s="16">
        <f>VALUE(MID(Table3[[#This Row],[Unit Price]],2,50))</f>
        <v>900</v>
      </c>
      <c r="Y24" s="19">
        <f>_xlfn.IFNA(_xlfn.XLOOKUP(Table3[[#This Row],[Country Code]],Lookups!$A$2:$A$5,Lookups!$E$2:$E$5),"")</f>
        <v>1</v>
      </c>
      <c r="Z24" s="87">
        <f>Table3[[#This Row],[Unit Price (local)]]/Table3[[#This Row],[FX Rate (per EUR)]]</f>
        <v>900</v>
      </c>
      <c r="AA24" s="16">
        <v>260</v>
      </c>
      <c r="AB24" s="20">
        <v>0</v>
      </c>
      <c r="AC24" s="21">
        <f>ROUND(Table3[[#This Row],[Unit Price (EUR)]]*Table3[[#This Row],[Units Sold]],0)</f>
        <v>234000</v>
      </c>
      <c r="AD24" s="22">
        <f>ROUND(Table3[[#This Row],[Gross Sales (EUR)]]*(1-Table3[[#This Row],[Discount (%)]]/100),0)</f>
        <v>234000</v>
      </c>
      <c r="AE24" s="22">
        <f>_xlfn.IFNA(_xlfn.XLOOKUP(Table3[[#This Row],[Month]],Lookups!$N$2:$N$13,Lookups!$O$2:$O$13),"CHECK MONTH")</f>
        <v>2</v>
      </c>
      <c r="AF24" s="22" t="str">
        <f>TEXT(Table3[[#This Row],[Month No]],"00")&amp;" - "&amp;Table3[[#This Row],[Month]]</f>
        <v>02 - February</v>
      </c>
      <c r="AG24" s="22" t="str">
        <f>_xlfn.IFNA(_xlfn.XLOOKUP(Table3[[#This Row],[Month]],Lookups!$N$2:$N$13,Lookups!$P$2:$P$13),"CHECK MONTH")</f>
        <v>Q1</v>
      </c>
      <c r="AH24" s="22">
        <f>Table3[[#This Row],[Gross Sales (EUR)]]-Table3[[#This Row],[Total Sales (EUR)]]</f>
        <v>0</v>
      </c>
      <c r="AI24" s="89">
        <f>DATE(Lookups!$O$15,Table3[[#This Row],[Month No]],1)</f>
        <v>45689</v>
      </c>
    </row>
    <row r="25" spans="1:35" x14ac:dyDescent="0.3">
      <c r="A25" s="15">
        <v>24</v>
      </c>
      <c r="B25" s="16" t="s">
        <v>55</v>
      </c>
      <c r="C25" s="16" t="s">
        <v>56</v>
      </c>
      <c r="D25" s="16" t="str">
        <f>TRIM(Table3[[#This Row],[Rep Last Name]])&amp;", "&amp;TRIM(Table3[[#This Row],[Rep First Name]])</f>
        <v>Bernard, Théo</v>
      </c>
      <c r="E25" s="16" t="s">
        <v>65</v>
      </c>
      <c r="F25" s="16" t="s">
        <v>29</v>
      </c>
      <c r="G25" s="16" t="s">
        <v>30</v>
      </c>
      <c r="H25" s="16" t="str">
        <f>IF(Table3[[#This Row],[Min Speed (original, incomplete)]]="",_xlfn.IFNA(_xlfn.XLOOKUP(Table3[[#This Row],[Product Type]],Lookups!$G$2:$G$4,Lookups!$H$2:$H$4),"CHECK PRODUCT"),Table3[[#This Row],[Min Speed (original, incomplete)]])</f>
        <v>18 mph</v>
      </c>
      <c r="I25" s="16" t="s">
        <v>31</v>
      </c>
      <c r="J25" s="16" t="s">
        <v>42</v>
      </c>
      <c r="K25" s="17">
        <f>ROUND(VALUE(SUBSTITUTE(Table3[[#This Row],[Min Speed (mph)]]," mph",""))*Lookups!$L$2,0)</f>
        <v>29</v>
      </c>
      <c r="L25" s="17">
        <f>ROUND(VALUE(SUBSTITUTE(Table3[[#This Row],[Speed]]," mph",""))*Lookups!$L$2,0)</f>
        <v>45</v>
      </c>
      <c r="M25" s="17" t="str">
        <f>Table3[[#This Row],[Min Speed (km/h)]]&amp;" – "&amp;Table3[[#This Row],[Max Speed (km/h)]]&amp;" km/h"</f>
        <v>29 – 45 km/h</v>
      </c>
      <c r="N25" s="18">
        <f>IF(ISNUMBER(SEARCH("mile",Table3[[#This Row],[Distance]])),ROUND(VALUE(SUBSTITUTE(Table3[[#This Row],[Distance]]," miles",""))*Lookups!$L$3,0),ROUND(VALUE(SUBSTITUTE(Table3[[#This Row],[Distance]]," meters",""))*Lookups!$L$4,0))</f>
        <v>40</v>
      </c>
      <c r="O25" s="16" t="s">
        <v>63</v>
      </c>
      <c r="P25" s="16" t="str">
        <f>TRIM(LEFT(Table3[[#This Row],[Shipping Address]],FIND(",",Table3[[#This Row],[Shipping Address]])-1))</f>
        <v>58 Boulevard Saint-Germain</v>
      </c>
      <c r="Q25" s="16" t="str">
        <f>TRIM(MID(Table3[[#This Row],[Shipping Address]],FIND(",",Table3[[#This Row],[Shipping Address]])+1,FIND(",",Table3[[#This Row],[Shipping Address]],FIND(",",Table3[[#This Row],[Shipping Address]])+1)-FIND(",",Table3[[#This Row],[Shipping Address]])-1))</f>
        <v>Paris</v>
      </c>
      <c r="R25" s="16" t="str">
        <f>TRIM(MID(Table3[[#This Row],[Shipping Address]],FIND(",",Table3[[#This Row],[Shipping Address]],FIND(",",Table3[[#This Row],[Shipping Address]])+1)+1,20))</f>
        <v>75005</v>
      </c>
      <c r="S25" s="16" t="s">
        <v>58</v>
      </c>
      <c r="T25" s="16" t="str">
        <f>_xlfn.IFNA(_xlfn.XLOOKUP(Table3[[#This Row],[Country Code]],Lookups!$A$2:$A$5,Lookups!$B$2:$B$5),"CHECK CODE")</f>
        <v>France</v>
      </c>
      <c r="U25" s="16" t="str">
        <f>_xlfn.IFNA(_xlfn.XLOOKUP(Table3[[#This Row],[Country Code]],Lookups!$A$2:$A$5,Lookups!$C$2:$C$5),"CHECK CODE")</f>
        <v>Europe</v>
      </c>
      <c r="V25" s="16" t="s">
        <v>64</v>
      </c>
      <c r="W25" s="16" t="str">
        <f>_xlfn.IFNA(_xlfn.XLOOKUP(Table3[[#This Row],[Country Code]],Lookups!$A$2:$A$5,Lookups!$D$2:$D$5),"CHECK CODE")</f>
        <v>EUR</v>
      </c>
      <c r="X25" s="16">
        <f>VALUE(MID(Table3[[#This Row],[Unit Price]],2,50))</f>
        <v>1050</v>
      </c>
      <c r="Y25" s="19">
        <f>_xlfn.IFNA(_xlfn.XLOOKUP(Table3[[#This Row],[Country Code]],Lookups!$A$2:$A$5,Lookups!$E$2:$E$5),"")</f>
        <v>1</v>
      </c>
      <c r="Z25" s="87">
        <f>Table3[[#This Row],[Unit Price (local)]]/Table3[[#This Row],[FX Rate (per EUR)]]</f>
        <v>1050</v>
      </c>
      <c r="AA25" s="16">
        <v>200</v>
      </c>
      <c r="AB25" s="20">
        <v>0</v>
      </c>
      <c r="AC25" s="21">
        <f>ROUND(Table3[[#This Row],[Unit Price (EUR)]]*Table3[[#This Row],[Units Sold]],0)</f>
        <v>210000</v>
      </c>
      <c r="AD25" s="22">
        <f>ROUND(Table3[[#This Row],[Gross Sales (EUR)]]*(1-Table3[[#This Row],[Discount (%)]]/100),0)</f>
        <v>210000</v>
      </c>
      <c r="AE25" s="22">
        <f>_xlfn.IFNA(_xlfn.XLOOKUP(Table3[[#This Row],[Month]],Lookups!$N$2:$N$13,Lookups!$O$2:$O$13),"CHECK MONTH")</f>
        <v>2</v>
      </c>
      <c r="AF25" s="22" t="str">
        <f>TEXT(Table3[[#This Row],[Month No]],"00")&amp;" - "&amp;Table3[[#This Row],[Month]]</f>
        <v>02 - February</v>
      </c>
      <c r="AG25" s="22" t="str">
        <f>_xlfn.IFNA(_xlfn.XLOOKUP(Table3[[#This Row],[Month]],Lookups!$N$2:$N$13,Lookups!$P$2:$P$13),"CHECK MONTH")</f>
        <v>Q1</v>
      </c>
      <c r="AH25" s="22">
        <f>Table3[[#This Row],[Gross Sales (EUR)]]-Table3[[#This Row],[Total Sales (EUR)]]</f>
        <v>0</v>
      </c>
      <c r="AI25" s="89">
        <f>DATE(Lookups!$O$15,Table3[[#This Row],[Month No]],1)</f>
        <v>45689</v>
      </c>
    </row>
    <row r="26" spans="1:35" x14ac:dyDescent="0.3">
      <c r="A26" s="15">
        <v>25</v>
      </c>
      <c r="B26" s="16" t="s">
        <v>13</v>
      </c>
      <c r="C26" s="16" t="s">
        <v>14</v>
      </c>
      <c r="D26" s="16" t="str">
        <f>TRIM(Table3[[#This Row],[Rep Last Name]])&amp;", "&amp;TRIM(Table3[[#This Row],[Rep First Name]])</f>
        <v>Joshi, Sanya</v>
      </c>
      <c r="E26" s="16" t="s">
        <v>66</v>
      </c>
      <c r="F26" s="16" t="s">
        <v>16</v>
      </c>
      <c r="G26" s="16" t="s">
        <v>17</v>
      </c>
      <c r="H26" s="16" t="str">
        <f>IF(Table3[[#This Row],[Min Speed (original, incomplete)]]="",_xlfn.IFNA(_xlfn.XLOOKUP(Table3[[#This Row],[Product Type]],Lookups!$G$2:$G$4,Lookups!$H$2:$H$4),"CHECK PRODUCT"),Table3[[#This Row],[Min Speed (original, incomplete)]])</f>
        <v>15 mph</v>
      </c>
      <c r="I26" s="16" t="s">
        <v>18</v>
      </c>
      <c r="J26" s="16" t="s">
        <v>19</v>
      </c>
      <c r="K26" s="17">
        <f>ROUND(VALUE(SUBSTITUTE(Table3[[#This Row],[Min Speed (mph)]]," mph",""))*Lookups!$L$2,0)</f>
        <v>24</v>
      </c>
      <c r="L26" s="17">
        <f>ROUND(VALUE(SUBSTITUTE(Table3[[#This Row],[Speed]]," mph",""))*Lookups!$L$2,0)</f>
        <v>48</v>
      </c>
      <c r="M26" s="17" t="str">
        <f>Table3[[#This Row],[Min Speed (km/h)]]&amp;" – "&amp;Table3[[#This Row],[Max Speed (km/h)]]&amp;" km/h"</f>
        <v>24 – 48 km/h</v>
      </c>
      <c r="N26" s="18">
        <f>IF(ISNUMBER(SEARCH("mile",Table3[[#This Row],[Distance]])),ROUND(VALUE(SUBSTITUTE(Table3[[#This Row],[Distance]]," miles",""))*Lookups!$L$3,0),ROUND(VALUE(SUBSTITUTE(Table3[[#This Row],[Distance]]," meters",""))*Lookups!$L$4,0))</f>
        <v>48</v>
      </c>
      <c r="O26" s="16" t="s">
        <v>20</v>
      </c>
      <c r="P26" s="16" t="str">
        <f>TRIM(LEFT(Table3[[#This Row],[Shipping Address]],FIND(",",Table3[[#This Row],[Shipping Address]])-1))</f>
        <v>456 Brigade Road</v>
      </c>
      <c r="Q26" s="16" t="str">
        <f>TRIM(MID(Table3[[#This Row],[Shipping Address]],FIND(",",Table3[[#This Row],[Shipping Address]])+1,FIND(",",Table3[[#This Row],[Shipping Address]],FIND(",",Table3[[#This Row],[Shipping Address]])+1)-FIND(",",Table3[[#This Row],[Shipping Address]])-1))</f>
        <v>Bengaluru</v>
      </c>
      <c r="R26" s="16" t="str">
        <f>TRIM(MID(Table3[[#This Row],[Shipping Address]],FIND(",",Table3[[#This Row],[Shipping Address]],FIND(",",Table3[[#This Row],[Shipping Address]])+1)+1,20))</f>
        <v>560001</v>
      </c>
      <c r="S26" s="16" t="s">
        <v>21</v>
      </c>
      <c r="T26" s="16" t="str">
        <f>_xlfn.IFNA(_xlfn.XLOOKUP(Table3[[#This Row],[Country Code]],Lookups!$A$2:$A$5,Lookups!$B$2:$B$5),"CHECK CODE")</f>
        <v>India</v>
      </c>
      <c r="U26" s="16" t="str">
        <f>_xlfn.IFNA(_xlfn.XLOOKUP(Table3[[#This Row],[Country Code]],Lookups!$A$2:$A$5,Lookups!$C$2:$C$5),"CHECK CODE")</f>
        <v>Asia</v>
      </c>
      <c r="V26" s="16" t="s">
        <v>22</v>
      </c>
      <c r="W26" s="16" t="str">
        <f>_xlfn.IFNA(_xlfn.XLOOKUP(Table3[[#This Row],[Country Code]],Lookups!$A$2:$A$5,Lookups!$D$2:$D$5),"CHECK CODE")</f>
        <v>INR</v>
      </c>
      <c r="X26" s="16">
        <f>VALUE(MID(Table3[[#This Row],[Unit Price]],2,50))</f>
        <v>30000</v>
      </c>
      <c r="Y26" s="19">
        <f>_xlfn.IFNA(_xlfn.XLOOKUP(Table3[[#This Row],[Country Code]],Lookups!$A$2:$A$5,Lookups!$E$2:$E$5),"")</f>
        <v>109.88200000000001</v>
      </c>
      <c r="Z26" s="87">
        <f>Table3[[#This Row],[Unit Price (local)]]/Table3[[#This Row],[FX Rate (per EUR)]]</f>
        <v>273.02014888698784</v>
      </c>
      <c r="AA26" s="16">
        <v>160</v>
      </c>
      <c r="AB26" s="20">
        <v>0</v>
      </c>
      <c r="AC26" s="21">
        <f>ROUND(Table3[[#This Row],[Unit Price (EUR)]]*Table3[[#This Row],[Units Sold]],0)</f>
        <v>43683</v>
      </c>
      <c r="AD26" s="22">
        <f>ROUND(Table3[[#This Row],[Gross Sales (EUR)]]*(1-Table3[[#This Row],[Discount (%)]]/100),0)</f>
        <v>43683</v>
      </c>
      <c r="AE26" s="22">
        <f>_xlfn.IFNA(_xlfn.XLOOKUP(Table3[[#This Row],[Month]],Lookups!$N$2:$N$13,Lookups!$O$2:$O$13),"CHECK MONTH")</f>
        <v>3</v>
      </c>
      <c r="AF26" s="22" t="str">
        <f>TEXT(Table3[[#This Row],[Month No]],"00")&amp;" - "&amp;Table3[[#This Row],[Month]]</f>
        <v>03 - March</v>
      </c>
      <c r="AG26" s="22" t="str">
        <f>_xlfn.IFNA(_xlfn.XLOOKUP(Table3[[#This Row],[Month]],Lookups!$N$2:$N$13,Lookups!$P$2:$P$13),"CHECK MONTH")</f>
        <v>Q1</v>
      </c>
      <c r="AH26" s="22">
        <f>Table3[[#This Row],[Gross Sales (EUR)]]-Table3[[#This Row],[Total Sales (EUR)]]</f>
        <v>0</v>
      </c>
      <c r="AI26" s="89">
        <f>DATE(Lookups!$O$15,Table3[[#This Row],[Month No]],1)</f>
        <v>45717</v>
      </c>
    </row>
    <row r="27" spans="1:35" x14ac:dyDescent="0.3">
      <c r="A27" s="15">
        <v>26</v>
      </c>
      <c r="B27" s="16" t="s">
        <v>13</v>
      </c>
      <c r="C27" s="16" t="s">
        <v>14</v>
      </c>
      <c r="D27" s="16" t="str">
        <f>TRIM(Table3[[#This Row],[Rep Last Name]])&amp;", "&amp;TRIM(Table3[[#This Row],[Rep First Name]])</f>
        <v>Joshi, Sanya</v>
      </c>
      <c r="E27" s="16" t="s">
        <v>66</v>
      </c>
      <c r="F27" s="16" t="s">
        <v>23</v>
      </c>
      <c r="G27" s="23"/>
      <c r="H27" s="16" t="str">
        <f>IF(Table3[[#This Row],[Min Speed (original, incomplete)]]="",_xlfn.IFNA(_xlfn.XLOOKUP(Table3[[#This Row],[Product Type]],Lookups!$G$2:$G$4,Lookups!$H$2:$H$4),"CHECK PRODUCT"),Table3[[#This Row],[Min Speed (original, incomplete)]])</f>
        <v>20 mph</v>
      </c>
      <c r="I27" s="16" t="s">
        <v>25</v>
      </c>
      <c r="J27" s="16" t="s">
        <v>26</v>
      </c>
      <c r="K27" s="17">
        <f>ROUND(VALUE(SUBSTITUTE(Table3[[#This Row],[Min Speed (mph)]]," mph",""))*Lookups!$L$2,0)</f>
        <v>32</v>
      </c>
      <c r="L27" s="17">
        <f>ROUND(VALUE(SUBSTITUTE(Table3[[#This Row],[Speed]]," mph",""))*Lookups!$L$2,0)</f>
        <v>56</v>
      </c>
      <c r="M27" s="17" t="str">
        <f>Table3[[#This Row],[Min Speed (km/h)]]&amp;" – "&amp;Table3[[#This Row],[Max Speed (km/h)]]&amp;" km/h"</f>
        <v>32 – 56 km/h</v>
      </c>
      <c r="N27" s="18">
        <f>IF(ISNUMBER(SEARCH("mile",Table3[[#This Row],[Distance]])),ROUND(VALUE(SUBSTITUTE(Table3[[#This Row],[Distance]]," miles",""))*Lookups!$L$3,0),ROUND(VALUE(SUBSTITUTE(Table3[[#This Row],[Distance]]," meters",""))*Lookups!$L$4,0))</f>
        <v>64</v>
      </c>
      <c r="O27" s="16" t="s">
        <v>27</v>
      </c>
      <c r="P27" s="16" t="str">
        <f>TRIM(LEFT(Table3[[#This Row],[Shipping Address]],FIND(",",Table3[[#This Row],[Shipping Address]])-1))</f>
        <v>457 Brigade Road</v>
      </c>
      <c r="Q27" s="16" t="str">
        <f>TRIM(MID(Table3[[#This Row],[Shipping Address]],FIND(",",Table3[[#This Row],[Shipping Address]])+1,FIND(",",Table3[[#This Row],[Shipping Address]],FIND(",",Table3[[#This Row],[Shipping Address]])+1)-FIND(",",Table3[[#This Row],[Shipping Address]])-1))</f>
        <v>Bengaluru</v>
      </c>
      <c r="R27" s="16" t="str">
        <f>TRIM(MID(Table3[[#This Row],[Shipping Address]],FIND(",",Table3[[#This Row],[Shipping Address]],FIND(",",Table3[[#This Row],[Shipping Address]])+1)+1,20))</f>
        <v>560001</v>
      </c>
      <c r="S27" s="16" t="s">
        <v>21</v>
      </c>
      <c r="T27" s="16" t="str">
        <f>_xlfn.IFNA(_xlfn.XLOOKUP(Table3[[#This Row],[Country Code]],Lookups!$A$2:$A$5,Lookups!$B$2:$B$5),"CHECK CODE")</f>
        <v>India</v>
      </c>
      <c r="U27" s="16" t="str">
        <f>_xlfn.IFNA(_xlfn.XLOOKUP(Table3[[#This Row],[Country Code]],Lookups!$A$2:$A$5,Lookups!$C$2:$C$5),"CHECK CODE")</f>
        <v>Asia</v>
      </c>
      <c r="V27" s="16" t="s">
        <v>28</v>
      </c>
      <c r="W27" s="16" t="str">
        <f>_xlfn.IFNA(_xlfn.XLOOKUP(Table3[[#This Row],[Country Code]],Lookups!$A$2:$A$5,Lookups!$D$2:$D$5),"CHECK CODE")</f>
        <v>INR</v>
      </c>
      <c r="X27" s="16">
        <f>VALUE(MID(Table3[[#This Row],[Unit Price]],2,50))</f>
        <v>25000</v>
      </c>
      <c r="Y27" s="19">
        <f>_xlfn.IFNA(_xlfn.XLOOKUP(Table3[[#This Row],[Country Code]],Lookups!$A$2:$A$5,Lookups!$E$2:$E$5),"")</f>
        <v>109.88200000000001</v>
      </c>
      <c r="Z27" s="87">
        <f>Table3[[#This Row],[Unit Price (local)]]/Table3[[#This Row],[FX Rate (per EUR)]]</f>
        <v>227.51679073915653</v>
      </c>
      <c r="AA27" s="16">
        <v>350</v>
      </c>
      <c r="AB27" s="20">
        <v>0</v>
      </c>
      <c r="AC27" s="21">
        <f>ROUND(Table3[[#This Row],[Unit Price (EUR)]]*Table3[[#This Row],[Units Sold]],0)</f>
        <v>79631</v>
      </c>
      <c r="AD27" s="22">
        <f>ROUND(Table3[[#This Row],[Gross Sales (EUR)]]*(1-Table3[[#This Row],[Discount (%)]]/100),0)</f>
        <v>79631</v>
      </c>
      <c r="AE27" s="22">
        <f>_xlfn.IFNA(_xlfn.XLOOKUP(Table3[[#This Row],[Month]],Lookups!$N$2:$N$13,Lookups!$O$2:$O$13),"CHECK MONTH")</f>
        <v>3</v>
      </c>
      <c r="AF27" s="22" t="str">
        <f>TEXT(Table3[[#This Row],[Month No]],"00")&amp;" - "&amp;Table3[[#This Row],[Month]]</f>
        <v>03 - March</v>
      </c>
      <c r="AG27" s="22" t="str">
        <f>_xlfn.IFNA(_xlfn.XLOOKUP(Table3[[#This Row],[Month]],Lookups!$N$2:$N$13,Lookups!$P$2:$P$13),"CHECK MONTH")</f>
        <v>Q1</v>
      </c>
      <c r="AH27" s="22">
        <f>Table3[[#This Row],[Gross Sales (EUR)]]-Table3[[#This Row],[Total Sales (EUR)]]</f>
        <v>0</v>
      </c>
      <c r="AI27" s="89">
        <f>DATE(Lookups!$O$15,Table3[[#This Row],[Month No]],1)</f>
        <v>45717</v>
      </c>
    </row>
    <row r="28" spans="1:35" x14ac:dyDescent="0.3">
      <c r="A28" s="15">
        <v>27</v>
      </c>
      <c r="B28" s="16" t="s">
        <v>13</v>
      </c>
      <c r="C28" s="16" t="s">
        <v>14</v>
      </c>
      <c r="D28" s="16" t="str">
        <f>TRIM(Table3[[#This Row],[Rep Last Name]])&amp;", "&amp;TRIM(Table3[[#This Row],[Rep First Name]])</f>
        <v>Joshi, Sanya</v>
      </c>
      <c r="E28" s="16" t="s">
        <v>66</v>
      </c>
      <c r="F28" s="16" t="s">
        <v>29</v>
      </c>
      <c r="G28" s="16" t="s">
        <v>30</v>
      </c>
      <c r="H28" s="16" t="str">
        <f>IF(Table3[[#This Row],[Min Speed (original, incomplete)]]="",_xlfn.IFNA(_xlfn.XLOOKUP(Table3[[#This Row],[Product Type]],Lookups!$G$2:$G$4,Lookups!$H$2:$H$4),"CHECK PRODUCT"),Table3[[#This Row],[Min Speed (original, incomplete)]])</f>
        <v>18 mph</v>
      </c>
      <c r="I28" s="16" t="s">
        <v>31</v>
      </c>
      <c r="J28" s="16" t="s">
        <v>32</v>
      </c>
      <c r="K28" s="17">
        <f>ROUND(VALUE(SUBSTITUTE(Table3[[#This Row],[Min Speed (mph)]]," mph",""))*Lookups!$L$2,0)</f>
        <v>29</v>
      </c>
      <c r="L28" s="17">
        <f>ROUND(VALUE(SUBSTITUTE(Table3[[#This Row],[Speed]]," mph",""))*Lookups!$L$2,0)</f>
        <v>45</v>
      </c>
      <c r="M28" s="17" t="str">
        <f>Table3[[#This Row],[Min Speed (km/h)]]&amp;" – "&amp;Table3[[#This Row],[Max Speed (km/h)]]&amp;" km/h"</f>
        <v>29 – 45 km/h</v>
      </c>
      <c r="N28" s="18">
        <f>IF(ISNUMBER(SEARCH("mile",Table3[[#This Row],[Distance]])),ROUND(VALUE(SUBSTITUTE(Table3[[#This Row],[Distance]]," miles",""))*Lookups!$L$3,0),ROUND(VALUE(SUBSTITUTE(Table3[[#This Row],[Distance]]," meters",""))*Lookups!$L$4,0))</f>
        <v>40</v>
      </c>
      <c r="O28" s="16" t="s">
        <v>33</v>
      </c>
      <c r="P28" s="16" t="str">
        <f>TRIM(LEFT(Table3[[#This Row],[Shipping Address]],FIND(",",Table3[[#This Row],[Shipping Address]])-1))</f>
        <v>458 Brigade Road</v>
      </c>
      <c r="Q28" s="16" t="str">
        <f>TRIM(MID(Table3[[#This Row],[Shipping Address]],FIND(",",Table3[[#This Row],[Shipping Address]])+1,FIND(",",Table3[[#This Row],[Shipping Address]],FIND(",",Table3[[#This Row],[Shipping Address]])+1)-FIND(",",Table3[[#This Row],[Shipping Address]])-1))</f>
        <v>Bengaluru</v>
      </c>
      <c r="R28" s="16" t="str">
        <f>TRIM(MID(Table3[[#This Row],[Shipping Address]],FIND(",",Table3[[#This Row],[Shipping Address]],FIND(",",Table3[[#This Row],[Shipping Address]])+1)+1,20))</f>
        <v>560001</v>
      </c>
      <c r="S28" s="16" t="s">
        <v>21</v>
      </c>
      <c r="T28" s="16" t="str">
        <f>_xlfn.IFNA(_xlfn.XLOOKUP(Table3[[#This Row],[Country Code]],Lookups!$A$2:$A$5,Lookups!$B$2:$B$5),"CHECK CODE")</f>
        <v>India</v>
      </c>
      <c r="U28" s="16" t="str">
        <f>_xlfn.IFNA(_xlfn.XLOOKUP(Table3[[#This Row],[Country Code]],Lookups!$A$2:$A$5,Lookups!$C$2:$C$5),"CHECK CODE")</f>
        <v>Asia</v>
      </c>
      <c r="V28" s="16" t="s">
        <v>34</v>
      </c>
      <c r="W28" s="16" t="str">
        <f>_xlfn.IFNA(_xlfn.XLOOKUP(Table3[[#This Row],[Country Code]],Lookups!$A$2:$A$5,Lookups!$D$2:$D$5),"CHECK CODE")</f>
        <v>INR</v>
      </c>
      <c r="X28" s="16">
        <f>VALUE(MID(Table3[[#This Row],[Unit Price]],2,50))</f>
        <v>22000</v>
      </c>
      <c r="Y28" s="19">
        <f>_xlfn.IFNA(_xlfn.XLOOKUP(Table3[[#This Row],[Country Code]],Lookups!$A$2:$A$5,Lookups!$E$2:$E$5),"")</f>
        <v>109.88200000000001</v>
      </c>
      <c r="Z28" s="87">
        <f>Table3[[#This Row],[Unit Price (local)]]/Table3[[#This Row],[FX Rate (per EUR)]]</f>
        <v>200.21477585045776</v>
      </c>
      <c r="AA28" s="16">
        <v>220</v>
      </c>
      <c r="AB28" s="20">
        <v>0</v>
      </c>
      <c r="AC28" s="21">
        <f>ROUND(Table3[[#This Row],[Unit Price (EUR)]]*Table3[[#This Row],[Units Sold]],0)</f>
        <v>44047</v>
      </c>
      <c r="AD28" s="22">
        <f>ROUND(Table3[[#This Row],[Gross Sales (EUR)]]*(1-Table3[[#This Row],[Discount (%)]]/100),0)</f>
        <v>44047</v>
      </c>
      <c r="AE28" s="22">
        <f>_xlfn.IFNA(_xlfn.XLOOKUP(Table3[[#This Row],[Month]],Lookups!$N$2:$N$13,Lookups!$O$2:$O$13),"CHECK MONTH")</f>
        <v>3</v>
      </c>
      <c r="AF28" s="22" t="str">
        <f>TEXT(Table3[[#This Row],[Month No]],"00")&amp;" - "&amp;Table3[[#This Row],[Month]]</f>
        <v>03 - March</v>
      </c>
      <c r="AG28" s="22" t="str">
        <f>_xlfn.IFNA(_xlfn.XLOOKUP(Table3[[#This Row],[Month]],Lookups!$N$2:$N$13,Lookups!$P$2:$P$13),"CHECK MONTH")</f>
        <v>Q1</v>
      </c>
      <c r="AH28" s="22">
        <f>Table3[[#This Row],[Gross Sales (EUR)]]-Table3[[#This Row],[Total Sales (EUR)]]</f>
        <v>0</v>
      </c>
      <c r="AI28" s="89">
        <f>DATE(Lookups!$O$15,Table3[[#This Row],[Month No]],1)</f>
        <v>45717</v>
      </c>
    </row>
    <row r="29" spans="1:35" x14ac:dyDescent="0.3">
      <c r="A29" s="15">
        <v>28</v>
      </c>
      <c r="B29" s="16" t="s">
        <v>35</v>
      </c>
      <c r="C29" s="16" t="s">
        <v>36</v>
      </c>
      <c r="D29" s="16" t="str">
        <f>TRIM(Table3[[#This Row],[Rep Last Name]])&amp;", "&amp;TRIM(Table3[[#This Row],[Rep First Name]])</f>
        <v>Liu, Fang</v>
      </c>
      <c r="E29" s="16" t="s">
        <v>66</v>
      </c>
      <c r="F29" s="16" t="s">
        <v>16</v>
      </c>
      <c r="G29" s="16" t="s">
        <v>17</v>
      </c>
      <c r="H29" s="16" t="str">
        <f>IF(Table3[[#This Row],[Min Speed (original, incomplete)]]="",_xlfn.IFNA(_xlfn.XLOOKUP(Table3[[#This Row],[Product Type]],Lookups!$G$2:$G$4,Lookups!$H$2:$H$4),"CHECK PRODUCT"),Table3[[#This Row],[Min Speed (original, incomplete)]])</f>
        <v>15 mph</v>
      </c>
      <c r="I29" s="16" t="s">
        <v>18</v>
      </c>
      <c r="J29" s="16" t="s">
        <v>19</v>
      </c>
      <c r="K29" s="17">
        <f>ROUND(VALUE(SUBSTITUTE(Table3[[#This Row],[Min Speed (mph)]]," mph",""))*Lookups!$L$2,0)</f>
        <v>24</v>
      </c>
      <c r="L29" s="17">
        <f>ROUND(VALUE(SUBSTITUTE(Table3[[#This Row],[Speed]]," mph",""))*Lookups!$L$2,0)</f>
        <v>48</v>
      </c>
      <c r="M29" s="17" t="str">
        <f>Table3[[#This Row],[Min Speed (km/h)]]&amp;" – "&amp;Table3[[#This Row],[Max Speed (km/h)]]&amp;" km/h"</f>
        <v>24 – 48 km/h</v>
      </c>
      <c r="N29" s="18">
        <f>IF(ISNUMBER(SEARCH("mile",Table3[[#This Row],[Distance]])),ROUND(VALUE(SUBSTITUTE(Table3[[#This Row],[Distance]]," miles",""))*Lookups!$L$3,0),ROUND(VALUE(SUBSTITUTE(Table3[[#This Row],[Distance]]," meters",""))*Lookups!$L$4,0))</f>
        <v>48</v>
      </c>
      <c r="O29" s="16" t="s">
        <v>37</v>
      </c>
      <c r="P29" s="16" t="str">
        <f>TRIM(LEFT(Table3[[#This Row],[Shipping Address]],FIND(",",Table3[[#This Row],[Shipping Address]])-1))</f>
        <v>99 Nanjing Road</v>
      </c>
      <c r="Q29" s="16" t="str">
        <f>TRIM(MID(Table3[[#This Row],[Shipping Address]],FIND(",",Table3[[#This Row],[Shipping Address]])+1,FIND(",",Table3[[#This Row],[Shipping Address]],FIND(",",Table3[[#This Row],[Shipping Address]])+1)-FIND(",",Table3[[#This Row],[Shipping Address]])-1))</f>
        <v>Shanghai</v>
      </c>
      <c r="R29" s="16" t="str">
        <f>TRIM(MID(Table3[[#This Row],[Shipping Address]],FIND(",",Table3[[#This Row],[Shipping Address]],FIND(",",Table3[[#This Row],[Shipping Address]])+1)+1,20))</f>
        <v>200001</v>
      </c>
      <c r="S29" s="16" t="s">
        <v>38</v>
      </c>
      <c r="T29" s="16" t="str">
        <f>_xlfn.IFNA(_xlfn.XLOOKUP(Table3[[#This Row],[Country Code]],Lookups!$A$2:$A$5,Lookups!$B$2:$B$5),"CHECK CODE")</f>
        <v>China</v>
      </c>
      <c r="U29" s="16" t="str">
        <f>_xlfn.IFNA(_xlfn.XLOOKUP(Table3[[#This Row],[Country Code]],Lookups!$A$2:$A$5,Lookups!$C$2:$C$5),"CHECK CODE")</f>
        <v>Asia</v>
      </c>
      <c r="V29" s="16" t="s">
        <v>39</v>
      </c>
      <c r="W29" s="16" t="str">
        <f>_xlfn.IFNA(_xlfn.XLOOKUP(Table3[[#This Row],[Country Code]],Lookups!$A$2:$A$5,Lookups!$D$2:$D$5),"CHECK CODE")</f>
        <v>CNY</v>
      </c>
      <c r="X29" s="16">
        <f>VALUE(MID(Table3[[#This Row],[Unit Price]],2,50))</f>
        <v>5000</v>
      </c>
      <c r="Y29" s="19">
        <f>_xlfn.IFNA(_xlfn.XLOOKUP(Table3[[#This Row],[Country Code]],Lookups!$A$2:$A$5,Lookups!$E$2:$E$5),"")</f>
        <v>7.7255000000000003</v>
      </c>
      <c r="Z29" s="87">
        <f>Table3[[#This Row],[Unit Price (local)]]/Table3[[#This Row],[FX Rate (per EUR)]]</f>
        <v>647.20730049834958</v>
      </c>
      <c r="AA29" s="16">
        <v>550</v>
      </c>
      <c r="AB29" s="20">
        <v>0</v>
      </c>
      <c r="AC29" s="21">
        <f>ROUND(Table3[[#This Row],[Unit Price (EUR)]]*Table3[[#This Row],[Units Sold]],0)</f>
        <v>355964</v>
      </c>
      <c r="AD29" s="22">
        <f>ROUND(Table3[[#This Row],[Gross Sales (EUR)]]*(1-Table3[[#This Row],[Discount (%)]]/100),0)</f>
        <v>355964</v>
      </c>
      <c r="AE29" s="22">
        <f>_xlfn.IFNA(_xlfn.XLOOKUP(Table3[[#This Row],[Month]],Lookups!$N$2:$N$13,Lookups!$O$2:$O$13),"CHECK MONTH")</f>
        <v>3</v>
      </c>
      <c r="AF29" s="22" t="str">
        <f>TEXT(Table3[[#This Row],[Month No]],"00")&amp;" - "&amp;Table3[[#This Row],[Month]]</f>
        <v>03 - March</v>
      </c>
      <c r="AG29" s="22" t="str">
        <f>_xlfn.IFNA(_xlfn.XLOOKUP(Table3[[#This Row],[Month]],Lookups!$N$2:$N$13,Lookups!$P$2:$P$13),"CHECK MONTH")</f>
        <v>Q1</v>
      </c>
      <c r="AH29" s="22">
        <f>Table3[[#This Row],[Gross Sales (EUR)]]-Table3[[#This Row],[Total Sales (EUR)]]</f>
        <v>0</v>
      </c>
      <c r="AI29" s="89">
        <f>DATE(Lookups!$O$15,Table3[[#This Row],[Month No]],1)</f>
        <v>45717</v>
      </c>
    </row>
    <row r="30" spans="1:35" x14ac:dyDescent="0.3">
      <c r="A30" s="15">
        <v>29</v>
      </c>
      <c r="B30" s="16" t="s">
        <v>35</v>
      </c>
      <c r="C30" s="16" t="s">
        <v>36</v>
      </c>
      <c r="D30" s="16" t="str">
        <f>TRIM(Table3[[#This Row],[Rep Last Name]])&amp;", "&amp;TRIM(Table3[[#This Row],[Rep First Name]])</f>
        <v>Liu, Fang</v>
      </c>
      <c r="E30" s="16" t="s">
        <v>66</v>
      </c>
      <c r="F30" s="16" t="s">
        <v>23</v>
      </c>
      <c r="G30" s="16" t="s">
        <v>24</v>
      </c>
      <c r="H30" s="16" t="str">
        <f>IF(Table3[[#This Row],[Min Speed (original, incomplete)]]="",_xlfn.IFNA(_xlfn.XLOOKUP(Table3[[#This Row],[Product Type]],Lookups!$G$2:$G$4,Lookups!$H$2:$H$4),"CHECK PRODUCT"),Table3[[#This Row],[Min Speed (original, incomplete)]])</f>
        <v>20 mph</v>
      </c>
      <c r="I30" s="16" t="s">
        <v>25</v>
      </c>
      <c r="J30" s="16" t="s">
        <v>60</v>
      </c>
      <c r="K30" s="17">
        <f>ROUND(VALUE(SUBSTITUTE(Table3[[#This Row],[Min Speed (mph)]]," mph",""))*Lookups!$L$2,0)</f>
        <v>32</v>
      </c>
      <c r="L30" s="17">
        <f>ROUND(VALUE(SUBSTITUTE(Table3[[#This Row],[Speed]]," mph",""))*Lookups!$L$2,0)</f>
        <v>56</v>
      </c>
      <c r="M30" s="17" t="str">
        <f>Table3[[#This Row],[Min Speed (km/h)]]&amp;" – "&amp;Table3[[#This Row],[Max Speed (km/h)]]&amp;" km/h"</f>
        <v>32 – 56 km/h</v>
      </c>
      <c r="N30" s="18">
        <f>IF(ISNUMBER(SEARCH("mile",Table3[[#This Row],[Distance]])),ROUND(VALUE(SUBSTITUTE(Table3[[#This Row],[Distance]]," miles",""))*Lookups!$L$3,0),ROUND(VALUE(SUBSTITUTE(Table3[[#This Row],[Distance]]," meters",""))*Lookups!$L$4,0))</f>
        <v>64</v>
      </c>
      <c r="O30" s="16" t="s">
        <v>40</v>
      </c>
      <c r="P30" s="16" t="str">
        <f>TRIM(LEFT(Table3[[#This Row],[Shipping Address]],FIND(",",Table3[[#This Row],[Shipping Address]])-1))</f>
        <v>100 Nanjing Road</v>
      </c>
      <c r="Q30" s="16" t="str">
        <f>TRIM(MID(Table3[[#This Row],[Shipping Address]],FIND(",",Table3[[#This Row],[Shipping Address]])+1,FIND(",",Table3[[#This Row],[Shipping Address]],FIND(",",Table3[[#This Row],[Shipping Address]])+1)-FIND(",",Table3[[#This Row],[Shipping Address]])-1))</f>
        <v>Shanghai</v>
      </c>
      <c r="R30" s="16" t="str">
        <f>TRIM(MID(Table3[[#This Row],[Shipping Address]],FIND(",",Table3[[#This Row],[Shipping Address]],FIND(",",Table3[[#This Row],[Shipping Address]])+1)+1,20))</f>
        <v>200001</v>
      </c>
      <c r="S30" s="16" t="s">
        <v>38</v>
      </c>
      <c r="T30" s="16" t="str">
        <f>_xlfn.IFNA(_xlfn.XLOOKUP(Table3[[#This Row],[Country Code]],Lookups!$A$2:$A$5,Lookups!$B$2:$B$5),"CHECK CODE")</f>
        <v>China</v>
      </c>
      <c r="U30" s="16" t="str">
        <f>_xlfn.IFNA(_xlfn.XLOOKUP(Table3[[#This Row],[Country Code]],Lookups!$A$2:$A$5,Lookups!$C$2:$C$5),"CHECK CODE")</f>
        <v>Asia</v>
      </c>
      <c r="V30" s="16" t="s">
        <v>41</v>
      </c>
      <c r="W30" s="16" t="str">
        <f>_xlfn.IFNA(_xlfn.XLOOKUP(Table3[[#This Row],[Country Code]],Lookups!$A$2:$A$5,Lookups!$D$2:$D$5),"CHECK CODE")</f>
        <v>CNY</v>
      </c>
      <c r="X30" s="16">
        <f>VALUE(MID(Table3[[#This Row],[Unit Price]],2,50))</f>
        <v>3500</v>
      </c>
      <c r="Y30" s="19">
        <f>_xlfn.IFNA(_xlfn.XLOOKUP(Table3[[#This Row],[Country Code]],Lookups!$A$2:$A$5,Lookups!$E$2:$E$5),"")</f>
        <v>7.7255000000000003</v>
      </c>
      <c r="Z30" s="87">
        <f>Table3[[#This Row],[Unit Price (local)]]/Table3[[#This Row],[FX Rate (per EUR)]]</f>
        <v>453.04511034884473</v>
      </c>
      <c r="AA30" s="16">
        <v>1200</v>
      </c>
      <c r="AB30" s="20">
        <v>0</v>
      </c>
      <c r="AC30" s="21">
        <f>ROUND(Table3[[#This Row],[Unit Price (EUR)]]*Table3[[#This Row],[Units Sold]],0)</f>
        <v>543654</v>
      </c>
      <c r="AD30" s="22">
        <f>ROUND(Table3[[#This Row],[Gross Sales (EUR)]]*(1-Table3[[#This Row],[Discount (%)]]/100),0)</f>
        <v>543654</v>
      </c>
      <c r="AE30" s="22">
        <f>_xlfn.IFNA(_xlfn.XLOOKUP(Table3[[#This Row],[Month]],Lookups!$N$2:$N$13,Lookups!$O$2:$O$13),"CHECK MONTH")</f>
        <v>3</v>
      </c>
      <c r="AF30" s="22" t="str">
        <f>TEXT(Table3[[#This Row],[Month No]],"00")&amp;" - "&amp;Table3[[#This Row],[Month]]</f>
        <v>03 - March</v>
      </c>
      <c r="AG30" s="22" t="str">
        <f>_xlfn.IFNA(_xlfn.XLOOKUP(Table3[[#This Row],[Month]],Lookups!$N$2:$N$13,Lookups!$P$2:$P$13),"CHECK MONTH")</f>
        <v>Q1</v>
      </c>
      <c r="AH30" s="22">
        <f>Table3[[#This Row],[Gross Sales (EUR)]]-Table3[[#This Row],[Total Sales (EUR)]]</f>
        <v>0</v>
      </c>
      <c r="AI30" s="89">
        <f>DATE(Lookups!$O$15,Table3[[#This Row],[Month No]],1)</f>
        <v>45717</v>
      </c>
    </row>
    <row r="31" spans="1:35" x14ac:dyDescent="0.3">
      <c r="A31" s="15">
        <v>30</v>
      </c>
      <c r="B31" s="16" t="s">
        <v>35</v>
      </c>
      <c r="C31" s="16" t="s">
        <v>36</v>
      </c>
      <c r="D31" s="16" t="str">
        <f>TRIM(Table3[[#This Row],[Rep Last Name]])&amp;", "&amp;TRIM(Table3[[#This Row],[Rep First Name]])</f>
        <v>Liu, Fang</v>
      </c>
      <c r="E31" s="16" t="s">
        <v>66</v>
      </c>
      <c r="F31" s="16" t="s">
        <v>29</v>
      </c>
      <c r="G31" s="16" t="s">
        <v>30</v>
      </c>
      <c r="H31" s="16" t="str">
        <f>IF(Table3[[#This Row],[Min Speed (original, incomplete)]]="",_xlfn.IFNA(_xlfn.XLOOKUP(Table3[[#This Row],[Product Type]],Lookups!$G$2:$G$4,Lookups!$H$2:$H$4),"CHECK PRODUCT"),Table3[[#This Row],[Min Speed (original, incomplete)]])</f>
        <v>18 mph</v>
      </c>
      <c r="I31" s="16" t="s">
        <v>31</v>
      </c>
      <c r="J31" s="16" t="s">
        <v>32</v>
      </c>
      <c r="K31" s="17">
        <f>ROUND(VALUE(SUBSTITUTE(Table3[[#This Row],[Min Speed (mph)]]," mph",""))*Lookups!$L$2,0)</f>
        <v>29</v>
      </c>
      <c r="L31" s="17">
        <f>ROUND(VALUE(SUBSTITUTE(Table3[[#This Row],[Speed]]," mph",""))*Lookups!$L$2,0)</f>
        <v>45</v>
      </c>
      <c r="M31" s="17" t="str">
        <f>Table3[[#This Row],[Min Speed (km/h)]]&amp;" – "&amp;Table3[[#This Row],[Max Speed (km/h)]]&amp;" km/h"</f>
        <v>29 – 45 km/h</v>
      </c>
      <c r="N31" s="18">
        <f>IF(ISNUMBER(SEARCH("mile",Table3[[#This Row],[Distance]])),ROUND(VALUE(SUBSTITUTE(Table3[[#This Row],[Distance]]," miles",""))*Lookups!$L$3,0),ROUND(VALUE(SUBSTITUTE(Table3[[#This Row],[Distance]]," meters",""))*Lookups!$L$4,0))</f>
        <v>40</v>
      </c>
      <c r="O31" s="16" t="s">
        <v>43</v>
      </c>
      <c r="P31" s="16" t="str">
        <f>TRIM(LEFT(Table3[[#This Row],[Shipping Address]],FIND(",",Table3[[#This Row],[Shipping Address]])-1))</f>
        <v>101 Nanjing Road</v>
      </c>
      <c r="Q31" s="16" t="str">
        <f>TRIM(MID(Table3[[#This Row],[Shipping Address]],FIND(",",Table3[[#This Row],[Shipping Address]])+1,FIND(",",Table3[[#This Row],[Shipping Address]],FIND(",",Table3[[#This Row],[Shipping Address]])+1)-FIND(",",Table3[[#This Row],[Shipping Address]])-1))</f>
        <v>Shanghai</v>
      </c>
      <c r="R31" s="16" t="str">
        <f>TRIM(MID(Table3[[#This Row],[Shipping Address]],FIND(",",Table3[[#This Row],[Shipping Address]],FIND(",",Table3[[#This Row],[Shipping Address]])+1)+1,20))</f>
        <v>200001</v>
      </c>
      <c r="S31" s="16" t="s">
        <v>38</v>
      </c>
      <c r="T31" s="16" t="str">
        <f>_xlfn.IFNA(_xlfn.XLOOKUP(Table3[[#This Row],[Country Code]],Lookups!$A$2:$A$5,Lookups!$B$2:$B$5),"CHECK CODE")</f>
        <v>China</v>
      </c>
      <c r="U31" s="16" t="str">
        <f>_xlfn.IFNA(_xlfn.XLOOKUP(Table3[[#This Row],[Country Code]],Lookups!$A$2:$A$5,Lookups!$C$2:$C$5),"CHECK CODE")</f>
        <v>Asia</v>
      </c>
      <c r="V31" s="16" t="s">
        <v>44</v>
      </c>
      <c r="W31" s="16" t="str">
        <f>_xlfn.IFNA(_xlfn.XLOOKUP(Table3[[#This Row],[Country Code]],Lookups!$A$2:$A$5,Lookups!$D$2:$D$5),"CHECK CODE")</f>
        <v>CNY</v>
      </c>
      <c r="X31" s="16">
        <f>VALUE(MID(Table3[[#This Row],[Unit Price]],2,50))</f>
        <v>4200</v>
      </c>
      <c r="Y31" s="19">
        <f>_xlfn.IFNA(_xlfn.XLOOKUP(Table3[[#This Row],[Country Code]],Lookups!$A$2:$A$5,Lookups!$E$2:$E$5),"")</f>
        <v>7.7255000000000003</v>
      </c>
      <c r="Z31" s="87">
        <f>Table3[[#This Row],[Unit Price (local)]]/Table3[[#This Row],[FX Rate (per EUR)]]</f>
        <v>543.6541324186137</v>
      </c>
      <c r="AA31" s="16">
        <v>850</v>
      </c>
      <c r="AB31" s="20">
        <v>0</v>
      </c>
      <c r="AC31" s="21">
        <f>ROUND(Table3[[#This Row],[Unit Price (EUR)]]*Table3[[#This Row],[Units Sold]],0)</f>
        <v>462106</v>
      </c>
      <c r="AD31" s="22">
        <f>ROUND(Table3[[#This Row],[Gross Sales (EUR)]]*(1-Table3[[#This Row],[Discount (%)]]/100),0)</f>
        <v>462106</v>
      </c>
      <c r="AE31" s="22">
        <f>_xlfn.IFNA(_xlfn.XLOOKUP(Table3[[#This Row],[Month]],Lookups!$N$2:$N$13,Lookups!$O$2:$O$13),"CHECK MONTH")</f>
        <v>3</v>
      </c>
      <c r="AF31" s="22" t="str">
        <f>TEXT(Table3[[#This Row],[Month No]],"00")&amp;" - "&amp;Table3[[#This Row],[Month]]</f>
        <v>03 - March</v>
      </c>
      <c r="AG31" s="22" t="str">
        <f>_xlfn.IFNA(_xlfn.XLOOKUP(Table3[[#This Row],[Month]],Lookups!$N$2:$N$13,Lookups!$P$2:$P$13),"CHECK MONTH")</f>
        <v>Q1</v>
      </c>
      <c r="AH31" s="22">
        <f>Table3[[#This Row],[Gross Sales (EUR)]]-Table3[[#This Row],[Total Sales (EUR)]]</f>
        <v>0</v>
      </c>
      <c r="AI31" s="89">
        <f>DATE(Lookups!$O$15,Table3[[#This Row],[Month No]],1)</f>
        <v>45717</v>
      </c>
    </row>
    <row r="32" spans="1:35" x14ac:dyDescent="0.3">
      <c r="A32" s="15">
        <v>31</v>
      </c>
      <c r="B32" s="16" t="s">
        <v>45</v>
      </c>
      <c r="C32" s="16" t="s">
        <v>46</v>
      </c>
      <c r="D32" s="16" t="str">
        <f>TRIM(Table3[[#This Row],[Rep Last Name]])&amp;", "&amp;TRIM(Table3[[#This Row],[Rep First Name]])</f>
        <v>Fischer, Jonas</v>
      </c>
      <c r="E32" s="16" t="s">
        <v>66</v>
      </c>
      <c r="F32" s="16" t="s">
        <v>16</v>
      </c>
      <c r="G32" s="16" t="s">
        <v>17</v>
      </c>
      <c r="H32" s="16" t="str">
        <f>IF(Table3[[#This Row],[Min Speed (original, incomplete)]]="",_xlfn.IFNA(_xlfn.XLOOKUP(Table3[[#This Row],[Product Type]],Lookups!$G$2:$G$4,Lookups!$H$2:$H$4),"CHECK PRODUCT"),Table3[[#This Row],[Min Speed (original, incomplete)]])</f>
        <v>15 mph</v>
      </c>
      <c r="I32" s="16" t="s">
        <v>18</v>
      </c>
      <c r="J32" s="16" t="s">
        <v>19</v>
      </c>
      <c r="K32" s="17">
        <f>ROUND(VALUE(SUBSTITUTE(Table3[[#This Row],[Min Speed (mph)]]," mph",""))*Lookups!$L$2,0)</f>
        <v>24</v>
      </c>
      <c r="L32" s="17">
        <f>ROUND(VALUE(SUBSTITUTE(Table3[[#This Row],[Speed]]," mph",""))*Lookups!$L$2,0)</f>
        <v>48</v>
      </c>
      <c r="M32" s="17" t="str">
        <f>Table3[[#This Row],[Min Speed (km/h)]]&amp;" – "&amp;Table3[[#This Row],[Max Speed (km/h)]]&amp;" km/h"</f>
        <v>24 – 48 km/h</v>
      </c>
      <c r="N32" s="18">
        <f>IF(ISNUMBER(SEARCH("mile",Table3[[#This Row],[Distance]])),ROUND(VALUE(SUBSTITUTE(Table3[[#This Row],[Distance]]," miles",""))*Lookups!$L$3,0),ROUND(VALUE(SUBSTITUTE(Table3[[#This Row],[Distance]]," meters",""))*Lookups!$L$4,0))</f>
        <v>48</v>
      </c>
      <c r="O32" s="16" t="s">
        <v>48</v>
      </c>
      <c r="P32" s="16" t="str">
        <f>TRIM(LEFT(Table3[[#This Row],[Shipping Address]],FIND(",",Table3[[#This Row],[Shipping Address]])-1))</f>
        <v>303 Ringstraße</v>
      </c>
      <c r="Q32" s="16" t="str">
        <f>TRIM(MID(Table3[[#This Row],[Shipping Address]],FIND(",",Table3[[#This Row],[Shipping Address]])+1,FIND(",",Table3[[#This Row],[Shipping Address]],FIND(",",Table3[[#This Row],[Shipping Address]])+1)-FIND(",",Table3[[#This Row],[Shipping Address]])-1))</f>
        <v>Hamburg</v>
      </c>
      <c r="R32" s="16" t="str">
        <f>TRIM(MID(Table3[[#This Row],[Shipping Address]],FIND(",",Table3[[#This Row],[Shipping Address]],FIND(",",Table3[[#This Row],[Shipping Address]])+1)+1,20))</f>
        <v>20095</v>
      </c>
      <c r="S32" s="16" t="s">
        <v>49</v>
      </c>
      <c r="T32" s="16" t="str">
        <f>_xlfn.IFNA(_xlfn.XLOOKUP(Table3[[#This Row],[Country Code]],Lookups!$A$2:$A$5,Lookups!$B$2:$B$5),"CHECK CODE")</f>
        <v>Germany</v>
      </c>
      <c r="U32" s="16" t="str">
        <f>_xlfn.IFNA(_xlfn.XLOOKUP(Table3[[#This Row],[Country Code]],Lookups!$A$2:$A$5,Lookups!$C$2:$C$5),"CHECK CODE")</f>
        <v>Europe</v>
      </c>
      <c r="V32" s="16" t="s">
        <v>50</v>
      </c>
      <c r="W32" s="16" t="str">
        <f>_xlfn.IFNA(_xlfn.XLOOKUP(Table3[[#This Row],[Country Code]],Lookups!$A$2:$A$5,Lookups!$D$2:$D$5),"CHECK CODE")</f>
        <v>EUR</v>
      </c>
      <c r="X32" s="16">
        <f>VALUE(MID(Table3[[#This Row],[Unit Price]],2,50))</f>
        <v>1000</v>
      </c>
      <c r="Y32" s="19">
        <f>_xlfn.IFNA(_xlfn.XLOOKUP(Table3[[#This Row],[Country Code]],Lookups!$A$2:$A$5,Lookups!$E$2:$E$5),"")</f>
        <v>1</v>
      </c>
      <c r="Z32" s="87">
        <f>Table3[[#This Row],[Unit Price (local)]]/Table3[[#This Row],[FX Rate (per EUR)]]</f>
        <v>1000</v>
      </c>
      <c r="AA32" s="16">
        <v>130</v>
      </c>
      <c r="AB32" s="20">
        <v>0</v>
      </c>
      <c r="AC32" s="21">
        <f>ROUND(Table3[[#This Row],[Unit Price (EUR)]]*Table3[[#This Row],[Units Sold]],0)</f>
        <v>130000</v>
      </c>
      <c r="AD32" s="22">
        <f>ROUND(Table3[[#This Row],[Gross Sales (EUR)]]*(1-Table3[[#This Row],[Discount (%)]]/100),0)</f>
        <v>130000</v>
      </c>
      <c r="AE32" s="22">
        <f>_xlfn.IFNA(_xlfn.XLOOKUP(Table3[[#This Row],[Month]],Lookups!$N$2:$N$13,Lookups!$O$2:$O$13),"CHECK MONTH")</f>
        <v>3</v>
      </c>
      <c r="AF32" s="22" t="str">
        <f>TEXT(Table3[[#This Row],[Month No]],"00")&amp;" - "&amp;Table3[[#This Row],[Month]]</f>
        <v>03 - March</v>
      </c>
      <c r="AG32" s="22" t="str">
        <f>_xlfn.IFNA(_xlfn.XLOOKUP(Table3[[#This Row],[Month]],Lookups!$N$2:$N$13,Lookups!$P$2:$P$13),"CHECK MONTH")</f>
        <v>Q1</v>
      </c>
      <c r="AH32" s="22">
        <f>Table3[[#This Row],[Gross Sales (EUR)]]-Table3[[#This Row],[Total Sales (EUR)]]</f>
        <v>0</v>
      </c>
      <c r="AI32" s="89">
        <f>DATE(Lookups!$O$15,Table3[[#This Row],[Month No]],1)</f>
        <v>45717</v>
      </c>
    </row>
    <row r="33" spans="1:35" x14ac:dyDescent="0.3">
      <c r="A33" s="15">
        <v>32</v>
      </c>
      <c r="B33" s="16" t="s">
        <v>45</v>
      </c>
      <c r="C33" s="16" t="s">
        <v>46</v>
      </c>
      <c r="D33" s="16" t="str">
        <f>TRIM(Table3[[#This Row],[Rep Last Name]])&amp;", "&amp;TRIM(Table3[[#This Row],[Rep First Name]])</f>
        <v>Fischer, Jonas</v>
      </c>
      <c r="E33" s="16" t="s">
        <v>66</v>
      </c>
      <c r="F33" s="16" t="s">
        <v>23</v>
      </c>
      <c r="G33" s="16" t="s">
        <v>24</v>
      </c>
      <c r="H33" s="16" t="str">
        <f>IF(Table3[[#This Row],[Min Speed (original, incomplete)]]="",_xlfn.IFNA(_xlfn.XLOOKUP(Table3[[#This Row],[Product Type]],Lookups!$G$2:$G$4,Lookups!$H$2:$H$4),"CHECK PRODUCT"),Table3[[#This Row],[Min Speed (original, incomplete)]])</f>
        <v>20 mph</v>
      </c>
      <c r="I33" s="16" t="s">
        <v>25</v>
      </c>
      <c r="J33" s="16" t="s">
        <v>26</v>
      </c>
      <c r="K33" s="17">
        <f>ROUND(VALUE(SUBSTITUTE(Table3[[#This Row],[Min Speed (mph)]]," mph",""))*Lookups!$L$2,0)</f>
        <v>32</v>
      </c>
      <c r="L33" s="17">
        <f>ROUND(VALUE(SUBSTITUTE(Table3[[#This Row],[Speed]]," mph",""))*Lookups!$L$2,0)</f>
        <v>56</v>
      </c>
      <c r="M33" s="17" t="str">
        <f>Table3[[#This Row],[Min Speed (km/h)]]&amp;" – "&amp;Table3[[#This Row],[Max Speed (km/h)]]&amp;" km/h"</f>
        <v>32 – 56 km/h</v>
      </c>
      <c r="N33" s="18">
        <f>IF(ISNUMBER(SEARCH("mile",Table3[[#This Row],[Distance]])),ROUND(VALUE(SUBSTITUTE(Table3[[#This Row],[Distance]]," miles",""))*Lookups!$L$3,0),ROUND(VALUE(SUBSTITUTE(Table3[[#This Row],[Distance]]," meters",""))*Lookups!$L$4,0))</f>
        <v>64</v>
      </c>
      <c r="O33" s="16" t="s">
        <v>51</v>
      </c>
      <c r="P33" s="16" t="str">
        <f>TRIM(LEFT(Table3[[#This Row],[Shipping Address]],FIND(",",Table3[[#This Row],[Shipping Address]])-1))</f>
        <v>304 Ringstraße</v>
      </c>
      <c r="Q33" s="16" t="str">
        <f>TRIM(MID(Table3[[#This Row],[Shipping Address]],FIND(",",Table3[[#This Row],[Shipping Address]])+1,FIND(",",Table3[[#This Row],[Shipping Address]],FIND(",",Table3[[#This Row],[Shipping Address]])+1)-FIND(",",Table3[[#This Row],[Shipping Address]])-1))</f>
        <v>Hamburg</v>
      </c>
      <c r="R33" s="16" t="str">
        <f>TRIM(MID(Table3[[#This Row],[Shipping Address]],FIND(",",Table3[[#This Row],[Shipping Address]],FIND(",",Table3[[#This Row],[Shipping Address]])+1)+1,20))</f>
        <v>20095</v>
      </c>
      <c r="S33" s="16" t="s">
        <v>49</v>
      </c>
      <c r="T33" s="16" t="str">
        <f>_xlfn.IFNA(_xlfn.XLOOKUP(Table3[[#This Row],[Country Code]],Lookups!$A$2:$A$5,Lookups!$B$2:$B$5),"CHECK CODE")</f>
        <v>Germany</v>
      </c>
      <c r="U33" s="16" t="str">
        <f>_xlfn.IFNA(_xlfn.XLOOKUP(Table3[[#This Row],[Country Code]],Lookups!$A$2:$A$5,Lookups!$C$2:$C$5),"CHECK CODE")</f>
        <v>Europe</v>
      </c>
      <c r="V33" s="16" t="s">
        <v>52</v>
      </c>
      <c r="W33" s="16" t="str">
        <f>_xlfn.IFNA(_xlfn.XLOOKUP(Table3[[#This Row],[Country Code]],Lookups!$A$2:$A$5,Lookups!$D$2:$D$5),"CHECK CODE")</f>
        <v>EUR</v>
      </c>
      <c r="X33" s="16">
        <f>VALUE(MID(Table3[[#This Row],[Unit Price]],2,50))</f>
        <v>800</v>
      </c>
      <c r="Y33" s="19">
        <f>_xlfn.IFNA(_xlfn.XLOOKUP(Table3[[#This Row],[Country Code]],Lookups!$A$2:$A$5,Lookups!$E$2:$E$5),"")</f>
        <v>1</v>
      </c>
      <c r="Z33" s="87">
        <f>Table3[[#This Row],[Unit Price (local)]]/Table3[[#This Row],[FX Rate (per EUR)]]</f>
        <v>800</v>
      </c>
      <c r="AA33" s="16">
        <v>220</v>
      </c>
      <c r="AB33" s="20">
        <v>0</v>
      </c>
      <c r="AC33" s="21">
        <f>ROUND(Table3[[#This Row],[Unit Price (EUR)]]*Table3[[#This Row],[Units Sold]],0)</f>
        <v>176000</v>
      </c>
      <c r="AD33" s="22">
        <f>ROUND(Table3[[#This Row],[Gross Sales (EUR)]]*(1-Table3[[#This Row],[Discount (%)]]/100),0)</f>
        <v>176000</v>
      </c>
      <c r="AE33" s="22">
        <f>_xlfn.IFNA(_xlfn.XLOOKUP(Table3[[#This Row],[Month]],Lookups!$N$2:$N$13,Lookups!$O$2:$O$13),"CHECK MONTH")</f>
        <v>3</v>
      </c>
      <c r="AF33" s="22" t="str">
        <f>TEXT(Table3[[#This Row],[Month No]],"00")&amp;" - "&amp;Table3[[#This Row],[Month]]</f>
        <v>03 - March</v>
      </c>
      <c r="AG33" s="22" t="str">
        <f>_xlfn.IFNA(_xlfn.XLOOKUP(Table3[[#This Row],[Month]],Lookups!$N$2:$N$13,Lookups!$P$2:$P$13),"CHECK MONTH")</f>
        <v>Q1</v>
      </c>
      <c r="AH33" s="22">
        <f>Table3[[#This Row],[Gross Sales (EUR)]]-Table3[[#This Row],[Total Sales (EUR)]]</f>
        <v>0</v>
      </c>
      <c r="AI33" s="89">
        <f>DATE(Lookups!$O$15,Table3[[#This Row],[Month No]],1)</f>
        <v>45717</v>
      </c>
    </row>
    <row r="34" spans="1:35" x14ac:dyDescent="0.3">
      <c r="A34" s="15">
        <v>33</v>
      </c>
      <c r="B34" s="16" t="s">
        <v>45</v>
      </c>
      <c r="C34" s="16" t="s">
        <v>46</v>
      </c>
      <c r="D34" s="16" t="str">
        <f>TRIM(Table3[[#This Row],[Rep Last Name]])&amp;", "&amp;TRIM(Table3[[#This Row],[Rep First Name]])</f>
        <v>Fischer, Jonas</v>
      </c>
      <c r="E34" s="16" t="s">
        <v>66</v>
      </c>
      <c r="F34" s="16" t="s">
        <v>29</v>
      </c>
      <c r="G34" s="16" t="s">
        <v>30</v>
      </c>
      <c r="H34" s="16" t="str">
        <f>IF(Table3[[#This Row],[Min Speed (original, incomplete)]]="",_xlfn.IFNA(_xlfn.XLOOKUP(Table3[[#This Row],[Product Type]],Lookups!$G$2:$G$4,Lookups!$H$2:$H$4),"CHECK PRODUCT"),Table3[[#This Row],[Min Speed (original, incomplete)]])</f>
        <v>18 mph</v>
      </c>
      <c r="I34" s="16" t="s">
        <v>31</v>
      </c>
      <c r="J34" s="16" t="s">
        <v>32</v>
      </c>
      <c r="K34" s="17">
        <f>ROUND(VALUE(SUBSTITUTE(Table3[[#This Row],[Min Speed (mph)]]," mph",""))*Lookups!$L$2,0)</f>
        <v>29</v>
      </c>
      <c r="L34" s="17">
        <f>ROUND(VALUE(SUBSTITUTE(Table3[[#This Row],[Speed]]," mph",""))*Lookups!$L$2,0)</f>
        <v>45</v>
      </c>
      <c r="M34" s="17" t="str">
        <f>Table3[[#This Row],[Min Speed (km/h)]]&amp;" – "&amp;Table3[[#This Row],[Max Speed (km/h)]]&amp;" km/h"</f>
        <v>29 – 45 km/h</v>
      </c>
      <c r="N34" s="18">
        <f>IF(ISNUMBER(SEARCH("mile",Table3[[#This Row],[Distance]])),ROUND(VALUE(SUBSTITUTE(Table3[[#This Row],[Distance]]," miles",""))*Lookups!$L$3,0),ROUND(VALUE(SUBSTITUTE(Table3[[#This Row],[Distance]]," meters",""))*Lookups!$L$4,0))</f>
        <v>40</v>
      </c>
      <c r="O34" s="16" t="s">
        <v>53</v>
      </c>
      <c r="P34" s="16" t="str">
        <f>TRIM(LEFT(Table3[[#This Row],[Shipping Address]],FIND(",",Table3[[#This Row],[Shipping Address]])-1))</f>
        <v>305 Ringstraße</v>
      </c>
      <c r="Q34" s="16" t="str">
        <f>TRIM(MID(Table3[[#This Row],[Shipping Address]],FIND(",",Table3[[#This Row],[Shipping Address]])+1,FIND(",",Table3[[#This Row],[Shipping Address]],FIND(",",Table3[[#This Row],[Shipping Address]])+1)-FIND(",",Table3[[#This Row],[Shipping Address]])-1))</f>
        <v>Hamburg</v>
      </c>
      <c r="R34" s="16" t="str">
        <f>TRIM(MID(Table3[[#This Row],[Shipping Address]],FIND(",",Table3[[#This Row],[Shipping Address]],FIND(",",Table3[[#This Row],[Shipping Address]])+1)+1,20))</f>
        <v>20095</v>
      </c>
      <c r="S34" s="16" t="s">
        <v>49</v>
      </c>
      <c r="T34" s="16" t="str">
        <f>_xlfn.IFNA(_xlfn.XLOOKUP(Table3[[#This Row],[Country Code]],Lookups!$A$2:$A$5,Lookups!$B$2:$B$5),"CHECK CODE")</f>
        <v>Germany</v>
      </c>
      <c r="U34" s="16" t="str">
        <f>_xlfn.IFNA(_xlfn.XLOOKUP(Table3[[#This Row],[Country Code]],Lookups!$A$2:$A$5,Lookups!$C$2:$C$5),"CHECK CODE")</f>
        <v>Europe</v>
      </c>
      <c r="V34" s="16" t="s">
        <v>54</v>
      </c>
      <c r="W34" s="16" t="str">
        <f>_xlfn.IFNA(_xlfn.XLOOKUP(Table3[[#This Row],[Country Code]],Lookups!$A$2:$A$5,Lookups!$D$2:$D$5),"CHECK CODE")</f>
        <v>EUR</v>
      </c>
      <c r="X34" s="16">
        <f>VALUE(MID(Table3[[#This Row],[Unit Price]],2,50))</f>
        <v>950</v>
      </c>
      <c r="Y34" s="19">
        <f>_xlfn.IFNA(_xlfn.XLOOKUP(Table3[[#This Row],[Country Code]],Lookups!$A$2:$A$5,Lookups!$E$2:$E$5),"")</f>
        <v>1</v>
      </c>
      <c r="Z34" s="87">
        <f>Table3[[#This Row],[Unit Price (local)]]/Table3[[#This Row],[FX Rate (per EUR)]]</f>
        <v>950</v>
      </c>
      <c r="AA34" s="16">
        <v>160</v>
      </c>
      <c r="AB34" s="20">
        <v>0</v>
      </c>
      <c r="AC34" s="21">
        <f>ROUND(Table3[[#This Row],[Unit Price (EUR)]]*Table3[[#This Row],[Units Sold]],0)</f>
        <v>152000</v>
      </c>
      <c r="AD34" s="22">
        <f>ROUND(Table3[[#This Row],[Gross Sales (EUR)]]*(1-Table3[[#This Row],[Discount (%)]]/100),0)</f>
        <v>152000</v>
      </c>
      <c r="AE34" s="22">
        <f>_xlfn.IFNA(_xlfn.XLOOKUP(Table3[[#This Row],[Month]],Lookups!$N$2:$N$13,Lookups!$O$2:$O$13),"CHECK MONTH")</f>
        <v>3</v>
      </c>
      <c r="AF34" s="22" t="str">
        <f>TEXT(Table3[[#This Row],[Month No]],"00")&amp;" - "&amp;Table3[[#This Row],[Month]]</f>
        <v>03 - March</v>
      </c>
      <c r="AG34" s="22" t="str">
        <f>_xlfn.IFNA(_xlfn.XLOOKUP(Table3[[#This Row],[Month]],Lookups!$N$2:$N$13,Lookups!$P$2:$P$13),"CHECK MONTH")</f>
        <v>Q1</v>
      </c>
      <c r="AH34" s="22">
        <f>Table3[[#This Row],[Gross Sales (EUR)]]-Table3[[#This Row],[Total Sales (EUR)]]</f>
        <v>0</v>
      </c>
      <c r="AI34" s="89">
        <f>DATE(Lookups!$O$15,Table3[[#This Row],[Month No]],1)</f>
        <v>45717</v>
      </c>
    </row>
    <row r="35" spans="1:35" x14ac:dyDescent="0.3">
      <c r="A35" s="15">
        <v>34</v>
      </c>
      <c r="B35" s="16" t="s">
        <v>55</v>
      </c>
      <c r="C35" s="16" t="s">
        <v>56</v>
      </c>
      <c r="D35" s="16" t="str">
        <f>TRIM(Table3[[#This Row],[Rep Last Name]])&amp;", "&amp;TRIM(Table3[[#This Row],[Rep First Name]])</f>
        <v>Bernard, Théo</v>
      </c>
      <c r="E35" s="16" t="s">
        <v>66</v>
      </c>
      <c r="F35" s="16" t="s">
        <v>16</v>
      </c>
      <c r="G35" s="16" t="s">
        <v>17</v>
      </c>
      <c r="H35" s="16" t="str">
        <f>IF(Table3[[#This Row],[Min Speed (original, incomplete)]]="",_xlfn.IFNA(_xlfn.XLOOKUP(Table3[[#This Row],[Product Type]],Lookups!$G$2:$G$4,Lookups!$H$2:$H$4),"CHECK PRODUCT"),Table3[[#This Row],[Min Speed (original, incomplete)]])</f>
        <v>15 mph</v>
      </c>
      <c r="I35" s="16" t="s">
        <v>18</v>
      </c>
      <c r="J35" s="16" t="s">
        <v>47</v>
      </c>
      <c r="K35" s="17">
        <f>ROUND(VALUE(SUBSTITUTE(Table3[[#This Row],[Min Speed (mph)]]," mph",""))*Lookups!$L$2,0)</f>
        <v>24</v>
      </c>
      <c r="L35" s="17">
        <f>ROUND(VALUE(SUBSTITUTE(Table3[[#This Row],[Speed]]," mph",""))*Lookups!$L$2,0)</f>
        <v>48</v>
      </c>
      <c r="M35" s="17" t="str">
        <f>Table3[[#This Row],[Min Speed (km/h)]]&amp;" – "&amp;Table3[[#This Row],[Max Speed (km/h)]]&amp;" km/h"</f>
        <v>24 – 48 km/h</v>
      </c>
      <c r="N35" s="18">
        <f>IF(ISNUMBER(SEARCH("mile",Table3[[#This Row],[Distance]])),ROUND(VALUE(SUBSTITUTE(Table3[[#This Row],[Distance]]," miles",""))*Lookups!$L$3,0),ROUND(VALUE(SUBSTITUTE(Table3[[#This Row],[Distance]]," meters",""))*Lookups!$L$4,0))</f>
        <v>48</v>
      </c>
      <c r="O35" s="16" t="s">
        <v>57</v>
      </c>
      <c r="P35" s="16" t="str">
        <f>TRIM(LEFT(Table3[[#This Row],[Shipping Address]],FIND(",",Table3[[#This Row],[Shipping Address]])-1))</f>
        <v>56 Boulevard Saint-Germain</v>
      </c>
      <c r="Q35" s="16" t="str">
        <f>TRIM(MID(Table3[[#This Row],[Shipping Address]],FIND(",",Table3[[#This Row],[Shipping Address]])+1,FIND(",",Table3[[#This Row],[Shipping Address]],FIND(",",Table3[[#This Row],[Shipping Address]])+1)-FIND(",",Table3[[#This Row],[Shipping Address]])-1))</f>
        <v>Paris</v>
      </c>
      <c r="R35" s="16" t="str">
        <f>TRIM(MID(Table3[[#This Row],[Shipping Address]],FIND(",",Table3[[#This Row],[Shipping Address]],FIND(",",Table3[[#This Row],[Shipping Address]])+1)+1,20))</f>
        <v>75005</v>
      </c>
      <c r="S35" s="16" t="s">
        <v>58</v>
      </c>
      <c r="T35" s="16" t="str">
        <f>_xlfn.IFNA(_xlfn.XLOOKUP(Table3[[#This Row],[Country Code]],Lookups!$A$2:$A$5,Lookups!$B$2:$B$5),"CHECK CODE")</f>
        <v>France</v>
      </c>
      <c r="U35" s="16" t="str">
        <f>_xlfn.IFNA(_xlfn.XLOOKUP(Table3[[#This Row],[Country Code]],Lookups!$A$2:$A$5,Lookups!$C$2:$C$5),"CHECK CODE")</f>
        <v>Europe</v>
      </c>
      <c r="V35" s="16" t="s">
        <v>59</v>
      </c>
      <c r="W35" s="16" t="str">
        <f>_xlfn.IFNA(_xlfn.XLOOKUP(Table3[[#This Row],[Country Code]],Lookups!$A$2:$A$5,Lookups!$D$2:$D$5),"CHECK CODE")</f>
        <v>EUR</v>
      </c>
      <c r="X35" s="16">
        <f>VALUE(MID(Table3[[#This Row],[Unit Price]],2,50))</f>
        <v>1100</v>
      </c>
      <c r="Y35" s="19">
        <f>_xlfn.IFNA(_xlfn.XLOOKUP(Table3[[#This Row],[Country Code]],Lookups!$A$2:$A$5,Lookups!$E$2:$E$5),"")</f>
        <v>1</v>
      </c>
      <c r="Z35" s="87">
        <f>Table3[[#This Row],[Unit Price (local)]]/Table3[[#This Row],[FX Rate (per EUR)]]</f>
        <v>1100</v>
      </c>
      <c r="AA35" s="16">
        <v>110</v>
      </c>
      <c r="AB35" s="20">
        <v>0</v>
      </c>
      <c r="AC35" s="21">
        <f>ROUND(Table3[[#This Row],[Unit Price (EUR)]]*Table3[[#This Row],[Units Sold]],0)</f>
        <v>121000</v>
      </c>
      <c r="AD35" s="22">
        <f>ROUND(Table3[[#This Row],[Gross Sales (EUR)]]*(1-Table3[[#This Row],[Discount (%)]]/100),0)</f>
        <v>121000</v>
      </c>
      <c r="AE35" s="22">
        <f>_xlfn.IFNA(_xlfn.XLOOKUP(Table3[[#This Row],[Month]],Lookups!$N$2:$N$13,Lookups!$O$2:$O$13),"CHECK MONTH")</f>
        <v>3</v>
      </c>
      <c r="AF35" s="22" t="str">
        <f>TEXT(Table3[[#This Row],[Month No]],"00")&amp;" - "&amp;Table3[[#This Row],[Month]]</f>
        <v>03 - March</v>
      </c>
      <c r="AG35" s="22" t="str">
        <f>_xlfn.IFNA(_xlfn.XLOOKUP(Table3[[#This Row],[Month]],Lookups!$N$2:$N$13,Lookups!$P$2:$P$13),"CHECK MONTH")</f>
        <v>Q1</v>
      </c>
      <c r="AH35" s="22">
        <f>Table3[[#This Row],[Gross Sales (EUR)]]-Table3[[#This Row],[Total Sales (EUR)]]</f>
        <v>0</v>
      </c>
      <c r="AI35" s="89">
        <f>DATE(Lookups!$O$15,Table3[[#This Row],[Month No]],1)</f>
        <v>45717</v>
      </c>
    </row>
    <row r="36" spans="1:35" x14ac:dyDescent="0.3">
      <c r="A36" s="15">
        <v>35</v>
      </c>
      <c r="B36" s="16" t="s">
        <v>55</v>
      </c>
      <c r="C36" s="16" t="s">
        <v>56</v>
      </c>
      <c r="D36" s="16" t="str">
        <f>TRIM(Table3[[#This Row],[Rep Last Name]])&amp;", "&amp;TRIM(Table3[[#This Row],[Rep First Name]])</f>
        <v>Bernard, Théo</v>
      </c>
      <c r="E36" s="16" t="s">
        <v>66</v>
      </c>
      <c r="F36" s="16" t="s">
        <v>23</v>
      </c>
      <c r="G36" s="16" t="s">
        <v>24</v>
      </c>
      <c r="H36" s="16" t="str">
        <f>IF(Table3[[#This Row],[Min Speed (original, incomplete)]]="",_xlfn.IFNA(_xlfn.XLOOKUP(Table3[[#This Row],[Product Type]],Lookups!$G$2:$G$4,Lookups!$H$2:$H$4),"CHECK PRODUCT"),Table3[[#This Row],[Min Speed (original, incomplete)]])</f>
        <v>20 mph</v>
      </c>
      <c r="I36" s="16" t="s">
        <v>25</v>
      </c>
      <c r="J36" s="16" t="s">
        <v>26</v>
      </c>
      <c r="K36" s="17">
        <f>ROUND(VALUE(SUBSTITUTE(Table3[[#This Row],[Min Speed (mph)]]," mph",""))*Lookups!$L$2,0)</f>
        <v>32</v>
      </c>
      <c r="L36" s="17">
        <f>ROUND(VALUE(SUBSTITUTE(Table3[[#This Row],[Speed]]," mph",""))*Lookups!$L$2,0)</f>
        <v>56</v>
      </c>
      <c r="M36" s="17" t="str">
        <f>Table3[[#This Row],[Min Speed (km/h)]]&amp;" – "&amp;Table3[[#This Row],[Max Speed (km/h)]]&amp;" km/h"</f>
        <v>32 – 56 km/h</v>
      </c>
      <c r="N36" s="18">
        <f>IF(ISNUMBER(SEARCH("mile",Table3[[#This Row],[Distance]])),ROUND(VALUE(SUBSTITUTE(Table3[[#This Row],[Distance]]," miles",""))*Lookups!$L$3,0),ROUND(VALUE(SUBSTITUTE(Table3[[#This Row],[Distance]]," meters",""))*Lookups!$L$4,0))</f>
        <v>64</v>
      </c>
      <c r="O36" s="16" t="s">
        <v>61</v>
      </c>
      <c r="P36" s="16" t="str">
        <f>TRIM(LEFT(Table3[[#This Row],[Shipping Address]],FIND(",",Table3[[#This Row],[Shipping Address]])-1))</f>
        <v>57 Boulevard Saint-Germain</v>
      </c>
      <c r="Q36" s="16" t="str">
        <f>TRIM(MID(Table3[[#This Row],[Shipping Address]],FIND(",",Table3[[#This Row],[Shipping Address]])+1,FIND(",",Table3[[#This Row],[Shipping Address]],FIND(",",Table3[[#This Row],[Shipping Address]])+1)-FIND(",",Table3[[#This Row],[Shipping Address]])-1))</f>
        <v>Paris</v>
      </c>
      <c r="R36" s="16" t="str">
        <f>TRIM(MID(Table3[[#This Row],[Shipping Address]],FIND(",",Table3[[#This Row],[Shipping Address]],FIND(",",Table3[[#This Row],[Shipping Address]])+1)+1,20))</f>
        <v>75005</v>
      </c>
      <c r="S36" s="16" t="s">
        <v>58</v>
      </c>
      <c r="T36" s="16" t="str">
        <f>_xlfn.IFNA(_xlfn.XLOOKUP(Table3[[#This Row],[Country Code]],Lookups!$A$2:$A$5,Lookups!$B$2:$B$5),"CHECK CODE")</f>
        <v>France</v>
      </c>
      <c r="U36" s="16" t="str">
        <f>_xlfn.IFNA(_xlfn.XLOOKUP(Table3[[#This Row],[Country Code]],Lookups!$A$2:$A$5,Lookups!$C$2:$C$5),"CHECK CODE")</f>
        <v>Europe</v>
      </c>
      <c r="V36" s="16" t="s">
        <v>62</v>
      </c>
      <c r="W36" s="16" t="str">
        <f>_xlfn.IFNA(_xlfn.XLOOKUP(Table3[[#This Row],[Country Code]],Lookups!$A$2:$A$5,Lookups!$D$2:$D$5),"CHECK CODE")</f>
        <v>EUR</v>
      </c>
      <c r="X36" s="16">
        <f>VALUE(MID(Table3[[#This Row],[Unit Price]],2,50))</f>
        <v>900</v>
      </c>
      <c r="Y36" s="19">
        <f>_xlfn.IFNA(_xlfn.XLOOKUP(Table3[[#This Row],[Country Code]],Lookups!$A$2:$A$5,Lookups!$E$2:$E$5),"")</f>
        <v>1</v>
      </c>
      <c r="Z36" s="87">
        <f>Table3[[#This Row],[Unit Price (local)]]/Table3[[#This Row],[FX Rate (per EUR)]]</f>
        <v>900</v>
      </c>
      <c r="AA36" s="16">
        <v>260</v>
      </c>
      <c r="AB36" s="20">
        <v>0</v>
      </c>
      <c r="AC36" s="21">
        <f>ROUND(Table3[[#This Row],[Unit Price (EUR)]]*Table3[[#This Row],[Units Sold]],0)</f>
        <v>234000</v>
      </c>
      <c r="AD36" s="22">
        <f>ROUND(Table3[[#This Row],[Gross Sales (EUR)]]*(1-Table3[[#This Row],[Discount (%)]]/100),0)</f>
        <v>234000</v>
      </c>
      <c r="AE36" s="22">
        <f>_xlfn.IFNA(_xlfn.XLOOKUP(Table3[[#This Row],[Month]],Lookups!$N$2:$N$13,Lookups!$O$2:$O$13),"CHECK MONTH")</f>
        <v>3</v>
      </c>
      <c r="AF36" s="22" t="str">
        <f>TEXT(Table3[[#This Row],[Month No]],"00")&amp;" - "&amp;Table3[[#This Row],[Month]]</f>
        <v>03 - March</v>
      </c>
      <c r="AG36" s="22" t="str">
        <f>_xlfn.IFNA(_xlfn.XLOOKUP(Table3[[#This Row],[Month]],Lookups!$N$2:$N$13,Lookups!$P$2:$P$13),"CHECK MONTH")</f>
        <v>Q1</v>
      </c>
      <c r="AH36" s="22">
        <f>Table3[[#This Row],[Gross Sales (EUR)]]-Table3[[#This Row],[Total Sales (EUR)]]</f>
        <v>0</v>
      </c>
      <c r="AI36" s="89">
        <f>DATE(Lookups!$O$15,Table3[[#This Row],[Month No]],1)</f>
        <v>45717</v>
      </c>
    </row>
    <row r="37" spans="1:35" x14ac:dyDescent="0.3">
      <c r="A37" s="15">
        <v>36</v>
      </c>
      <c r="B37" s="16" t="s">
        <v>55</v>
      </c>
      <c r="C37" s="16" t="s">
        <v>56</v>
      </c>
      <c r="D37" s="16" t="str">
        <f>TRIM(Table3[[#This Row],[Rep Last Name]])&amp;", "&amp;TRIM(Table3[[#This Row],[Rep First Name]])</f>
        <v>Bernard, Théo</v>
      </c>
      <c r="E37" s="16" t="s">
        <v>66</v>
      </c>
      <c r="F37" s="16" t="s">
        <v>29</v>
      </c>
      <c r="G37" s="16" t="s">
        <v>30</v>
      </c>
      <c r="H37" s="16" t="str">
        <f>IF(Table3[[#This Row],[Min Speed (original, incomplete)]]="",_xlfn.IFNA(_xlfn.XLOOKUP(Table3[[#This Row],[Product Type]],Lookups!$G$2:$G$4,Lookups!$H$2:$H$4),"CHECK PRODUCT"),Table3[[#This Row],[Min Speed (original, incomplete)]])</f>
        <v>18 mph</v>
      </c>
      <c r="I37" s="16" t="s">
        <v>31</v>
      </c>
      <c r="J37" s="16" t="s">
        <v>32</v>
      </c>
      <c r="K37" s="17">
        <f>ROUND(VALUE(SUBSTITUTE(Table3[[#This Row],[Min Speed (mph)]]," mph",""))*Lookups!$L$2,0)</f>
        <v>29</v>
      </c>
      <c r="L37" s="17">
        <f>ROUND(VALUE(SUBSTITUTE(Table3[[#This Row],[Speed]]," mph",""))*Lookups!$L$2,0)</f>
        <v>45</v>
      </c>
      <c r="M37" s="17" t="str">
        <f>Table3[[#This Row],[Min Speed (km/h)]]&amp;" – "&amp;Table3[[#This Row],[Max Speed (km/h)]]&amp;" km/h"</f>
        <v>29 – 45 km/h</v>
      </c>
      <c r="N37" s="18">
        <f>IF(ISNUMBER(SEARCH("mile",Table3[[#This Row],[Distance]])),ROUND(VALUE(SUBSTITUTE(Table3[[#This Row],[Distance]]," miles",""))*Lookups!$L$3,0),ROUND(VALUE(SUBSTITUTE(Table3[[#This Row],[Distance]]," meters",""))*Lookups!$L$4,0))</f>
        <v>40</v>
      </c>
      <c r="O37" s="16" t="s">
        <v>63</v>
      </c>
      <c r="P37" s="16" t="str">
        <f>TRIM(LEFT(Table3[[#This Row],[Shipping Address]],FIND(",",Table3[[#This Row],[Shipping Address]])-1))</f>
        <v>58 Boulevard Saint-Germain</v>
      </c>
      <c r="Q37" s="16" t="str">
        <f>TRIM(MID(Table3[[#This Row],[Shipping Address]],FIND(",",Table3[[#This Row],[Shipping Address]])+1,FIND(",",Table3[[#This Row],[Shipping Address]],FIND(",",Table3[[#This Row],[Shipping Address]])+1)-FIND(",",Table3[[#This Row],[Shipping Address]])-1))</f>
        <v>Paris</v>
      </c>
      <c r="R37" s="16" t="str">
        <f>TRIM(MID(Table3[[#This Row],[Shipping Address]],FIND(",",Table3[[#This Row],[Shipping Address]],FIND(",",Table3[[#This Row],[Shipping Address]])+1)+1,20))</f>
        <v>75005</v>
      </c>
      <c r="S37" s="16" t="s">
        <v>58</v>
      </c>
      <c r="T37" s="16" t="str">
        <f>_xlfn.IFNA(_xlfn.XLOOKUP(Table3[[#This Row],[Country Code]],Lookups!$A$2:$A$5,Lookups!$B$2:$B$5),"CHECK CODE")</f>
        <v>France</v>
      </c>
      <c r="U37" s="16" t="str">
        <f>_xlfn.IFNA(_xlfn.XLOOKUP(Table3[[#This Row],[Country Code]],Lookups!$A$2:$A$5,Lookups!$C$2:$C$5),"CHECK CODE")</f>
        <v>Europe</v>
      </c>
      <c r="V37" s="16" t="s">
        <v>64</v>
      </c>
      <c r="W37" s="16" t="str">
        <f>_xlfn.IFNA(_xlfn.XLOOKUP(Table3[[#This Row],[Country Code]],Lookups!$A$2:$A$5,Lookups!$D$2:$D$5),"CHECK CODE")</f>
        <v>EUR</v>
      </c>
      <c r="X37" s="16">
        <f>VALUE(MID(Table3[[#This Row],[Unit Price]],2,50))</f>
        <v>1050</v>
      </c>
      <c r="Y37" s="19">
        <f>_xlfn.IFNA(_xlfn.XLOOKUP(Table3[[#This Row],[Country Code]],Lookups!$A$2:$A$5,Lookups!$E$2:$E$5),"")</f>
        <v>1</v>
      </c>
      <c r="Z37" s="87">
        <f>Table3[[#This Row],[Unit Price (local)]]/Table3[[#This Row],[FX Rate (per EUR)]]</f>
        <v>1050</v>
      </c>
      <c r="AA37" s="16">
        <v>200</v>
      </c>
      <c r="AB37" s="20">
        <v>0</v>
      </c>
      <c r="AC37" s="21">
        <f>ROUND(Table3[[#This Row],[Unit Price (EUR)]]*Table3[[#This Row],[Units Sold]],0)</f>
        <v>210000</v>
      </c>
      <c r="AD37" s="22">
        <f>ROUND(Table3[[#This Row],[Gross Sales (EUR)]]*(1-Table3[[#This Row],[Discount (%)]]/100),0)</f>
        <v>210000</v>
      </c>
      <c r="AE37" s="22">
        <f>_xlfn.IFNA(_xlfn.XLOOKUP(Table3[[#This Row],[Month]],Lookups!$N$2:$N$13,Lookups!$O$2:$O$13),"CHECK MONTH")</f>
        <v>3</v>
      </c>
      <c r="AF37" s="22" t="str">
        <f>TEXT(Table3[[#This Row],[Month No]],"00")&amp;" - "&amp;Table3[[#This Row],[Month]]</f>
        <v>03 - March</v>
      </c>
      <c r="AG37" s="22" t="str">
        <f>_xlfn.IFNA(_xlfn.XLOOKUP(Table3[[#This Row],[Month]],Lookups!$N$2:$N$13,Lookups!$P$2:$P$13),"CHECK MONTH")</f>
        <v>Q1</v>
      </c>
      <c r="AH37" s="22">
        <f>Table3[[#This Row],[Gross Sales (EUR)]]-Table3[[#This Row],[Total Sales (EUR)]]</f>
        <v>0</v>
      </c>
      <c r="AI37" s="89">
        <f>DATE(Lookups!$O$15,Table3[[#This Row],[Month No]],1)</f>
        <v>45717</v>
      </c>
    </row>
    <row r="38" spans="1:35" x14ac:dyDescent="0.3">
      <c r="A38" s="15">
        <v>37</v>
      </c>
      <c r="B38" s="16" t="s">
        <v>13</v>
      </c>
      <c r="C38" s="16" t="s">
        <v>14</v>
      </c>
      <c r="D38" s="16" t="str">
        <f>TRIM(Table3[[#This Row],[Rep Last Name]])&amp;", "&amp;TRIM(Table3[[#This Row],[Rep First Name]])</f>
        <v>Joshi, Sanya</v>
      </c>
      <c r="E38" s="16" t="s">
        <v>67</v>
      </c>
      <c r="F38" s="16" t="s">
        <v>16</v>
      </c>
      <c r="G38" s="16" t="s">
        <v>17</v>
      </c>
      <c r="H38" s="16" t="str">
        <f>IF(Table3[[#This Row],[Min Speed (original, incomplete)]]="",_xlfn.IFNA(_xlfn.XLOOKUP(Table3[[#This Row],[Product Type]],Lookups!$G$2:$G$4,Lookups!$H$2:$H$4),"CHECK PRODUCT"),Table3[[#This Row],[Min Speed (original, incomplete)]])</f>
        <v>15 mph</v>
      </c>
      <c r="I38" s="16" t="s">
        <v>18</v>
      </c>
      <c r="J38" s="16" t="s">
        <v>19</v>
      </c>
      <c r="K38" s="17">
        <f>ROUND(VALUE(SUBSTITUTE(Table3[[#This Row],[Min Speed (mph)]]," mph",""))*Lookups!$L$2,0)</f>
        <v>24</v>
      </c>
      <c r="L38" s="17">
        <f>ROUND(VALUE(SUBSTITUTE(Table3[[#This Row],[Speed]]," mph",""))*Lookups!$L$2,0)</f>
        <v>48</v>
      </c>
      <c r="M38" s="17" t="str">
        <f>Table3[[#This Row],[Min Speed (km/h)]]&amp;" – "&amp;Table3[[#This Row],[Max Speed (km/h)]]&amp;" km/h"</f>
        <v>24 – 48 km/h</v>
      </c>
      <c r="N38" s="18">
        <f>IF(ISNUMBER(SEARCH("mile",Table3[[#This Row],[Distance]])),ROUND(VALUE(SUBSTITUTE(Table3[[#This Row],[Distance]]," miles",""))*Lookups!$L$3,0),ROUND(VALUE(SUBSTITUTE(Table3[[#This Row],[Distance]]," meters",""))*Lookups!$L$4,0))</f>
        <v>48</v>
      </c>
      <c r="O38" s="16" t="s">
        <v>20</v>
      </c>
      <c r="P38" s="16" t="str">
        <f>TRIM(LEFT(Table3[[#This Row],[Shipping Address]],FIND(",",Table3[[#This Row],[Shipping Address]])-1))</f>
        <v>456 Brigade Road</v>
      </c>
      <c r="Q38" s="16" t="str">
        <f>TRIM(MID(Table3[[#This Row],[Shipping Address]],FIND(",",Table3[[#This Row],[Shipping Address]])+1,FIND(",",Table3[[#This Row],[Shipping Address]],FIND(",",Table3[[#This Row],[Shipping Address]])+1)-FIND(",",Table3[[#This Row],[Shipping Address]])-1))</f>
        <v>Bengaluru</v>
      </c>
      <c r="R38" s="16" t="str">
        <f>TRIM(MID(Table3[[#This Row],[Shipping Address]],FIND(",",Table3[[#This Row],[Shipping Address]],FIND(",",Table3[[#This Row],[Shipping Address]])+1)+1,20))</f>
        <v>560001</v>
      </c>
      <c r="S38" s="16" t="s">
        <v>21</v>
      </c>
      <c r="T38" s="16" t="str">
        <f>_xlfn.IFNA(_xlfn.XLOOKUP(Table3[[#This Row],[Country Code]],Lookups!$A$2:$A$5,Lookups!$B$2:$B$5),"CHECK CODE")</f>
        <v>India</v>
      </c>
      <c r="U38" s="16" t="str">
        <f>_xlfn.IFNA(_xlfn.XLOOKUP(Table3[[#This Row],[Country Code]],Lookups!$A$2:$A$5,Lookups!$C$2:$C$5),"CHECK CODE")</f>
        <v>Asia</v>
      </c>
      <c r="V38" s="16" t="s">
        <v>22</v>
      </c>
      <c r="W38" s="16" t="str">
        <f>_xlfn.IFNA(_xlfn.XLOOKUP(Table3[[#This Row],[Country Code]],Lookups!$A$2:$A$5,Lookups!$D$2:$D$5),"CHECK CODE")</f>
        <v>INR</v>
      </c>
      <c r="X38" s="16">
        <f>VALUE(MID(Table3[[#This Row],[Unit Price]],2,50))</f>
        <v>30000</v>
      </c>
      <c r="Y38" s="19">
        <f>_xlfn.IFNA(_xlfn.XLOOKUP(Table3[[#This Row],[Country Code]],Lookups!$A$2:$A$5,Lookups!$E$2:$E$5),"")</f>
        <v>109.88200000000001</v>
      </c>
      <c r="Z38" s="87">
        <f>Table3[[#This Row],[Unit Price (local)]]/Table3[[#This Row],[FX Rate (per EUR)]]</f>
        <v>273.02014888698784</v>
      </c>
      <c r="AA38" s="16">
        <v>200</v>
      </c>
      <c r="AB38" s="20">
        <v>0</v>
      </c>
      <c r="AC38" s="21">
        <f>ROUND(Table3[[#This Row],[Unit Price (EUR)]]*Table3[[#This Row],[Units Sold]],0)</f>
        <v>54604</v>
      </c>
      <c r="AD38" s="22">
        <f>ROUND(Table3[[#This Row],[Gross Sales (EUR)]]*(1-Table3[[#This Row],[Discount (%)]]/100),0)</f>
        <v>54604</v>
      </c>
      <c r="AE38" s="22">
        <f>_xlfn.IFNA(_xlfn.XLOOKUP(Table3[[#This Row],[Month]],Lookups!$N$2:$N$13,Lookups!$O$2:$O$13),"CHECK MONTH")</f>
        <v>4</v>
      </c>
      <c r="AF38" s="22" t="str">
        <f>TEXT(Table3[[#This Row],[Month No]],"00")&amp;" - "&amp;Table3[[#This Row],[Month]]</f>
        <v>04 - April</v>
      </c>
      <c r="AG38" s="22" t="str">
        <f>_xlfn.IFNA(_xlfn.XLOOKUP(Table3[[#This Row],[Month]],Lookups!$N$2:$N$13,Lookups!$P$2:$P$13),"CHECK MONTH")</f>
        <v>Q2</v>
      </c>
      <c r="AH38" s="22">
        <f>Table3[[#This Row],[Gross Sales (EUR)]]-Table3[[#This Row],[Total Sales (EUR)]]</f>
        <v>0</v>
      </c>
      <c r="AI38" s="89">
        <f>DATE(Lookups!$O$15,Table3[[#This Row],[Month No]],1)</f>
        <v>45748</v>
      </c>
    </row>
    <row r="39" spans="1:35" x14ac:dyDescent="0.3">
      <c r="A39" s="15">
        <v>38</v>
      </c>
      <c r="B39" s="16" t="s">
        <v>13</v>
      </c>
      <c r="C39" s="16" t="s">
        <v>14</v>
      </c>
      <c r="D39" s="16" t="str">
        <f>TRIM(Table3[[#This Row],[Rep Last Name]])&amp;", "&amp;TRIM(Table3[[#This Row],[Rep First Name]])</f>
        <v>Joshi, Sanya</v>
      </c>
      <c r="E39" s="16" t="s">
        <v>67</v>
      </c>
      <c r="F39" s="16" t="s">
        <v>23</v>
      </c>
      <c r="G39" s="16" t="s">
        <v>24</v>
      </c>
      <c r="H39" s="16" t="str">
        <f>IF(Table3[[#This Row],[Min Speed (original, incomplete)]]="",_xlfn.IFNA(_xlfn.XLOOKUP(Table3[[#This Row],[Product Type]],Lookups!$G$2:$G$4,Lookups!$H$2:$H$4),"CHECK PRODUCT"),Table3[[#This Row],[Min Speed (original, incomplete)]])</f>
        <v>20 mph</v>
      </c>
      <c r="I39" s="16" t="s">
        <v>25</v>
      </c>
      <c r="J39" s="16" t="s">
        <v>26</v>
      </c>
      <c r="K39" s="17">
        <f>ROUND(VALUE(SUBSTITUTE(Table3[[#This Row],[Min Speed (mph)]]," mph",""))*Lookups!$L$2,0)</f>
        <v>32</v>
      </c>
      <c r="L39" s="17">
        <f>ROUND(VALUE(SUBSTITUTE(Table3[[#This Row],[Speed]]," mph",""))*Lookups!$L$2,0)</f>
        <v>56</v>
      </c>
      <c r="M39" s="17" t="str">
        <f>Table3[[#This Row],[Min Speed (km/h)]]&amp;" – "&amp;Table3[[#This Row],[Max Speed (km/h)]]&amp;" km/h"</f>
        <v>32 – 56 km/h</v>
      </c>
      <c r="N39" s="18">
        <f>IF(ISNUMBER(SEARCH("mile",Table3[[#This Row],[Distance]])),ROUND(VALUE(SUBSTITUTE(Table3[[#This Row],[Distance]]," miles",""))*Lookups!$L$3,0),ROUND(VALUE(SUBSTITUTE(Table3[[#This Row],[Distance]]," meters",""))*Lookups!$L$4,0))</f>
        <v>64</v>
      </c>
      <c r="O39" s="16" t="s">
        <v>27</v>
      </c>
      <c r="P39" s="16" t="str">
        <f>TRIM(LEFT(Table3[[#This Row],[Shipping Address]],FIND(",",Table3[[#This Row],[Shipping Address]])-1))</f>
        <v>457 Brigade Road</v>
      </c>
      <c r="Q39" s="16" t="str">
        <f>TRIM(MID(Table3[[#This Row],[Shipping Address]],FIND(",",Table3[[#This Row],[Shipping Address]])+1,FIND(",",Table3[[#This Row],[Shipping Address]],FIND(",",Table3[[#This Row],[Shipping Address]])+1)-FIND(",",Table3[[#This Row],[Shipping Address]])-1))</f>
        <v>Bengaluru</v>
      </c>
      <c r="R39" s="16" t="str">
        <f>TRIM(MID(Table3[[#This Row],[Shipping Address]],FIND(",",Table3[[#This Row],[Shipping Address]],FIND(",",Table3[[#This Row],[Shipping Address]])+1)+1,20))</f>
        <v>560001</v>
      </c>
      <c r="S39" s="16" t="s">
        <v>21</v>
      </c>
      <c r="T39" s="16" t="str">
        <f>_xlfn.IFNA(_xlfn.XLOOKUP(Table3[[#This Row],[Country Code]],Lookups!$A$2:$A$5,Lookups!$B$2:$B$5),"CHECK CODE")</f>
        <v>India</v>
      </c>
      <c r="U39" s="16" t="str">
        <f>_xlfn.IFNA(_xlfn.XLOOKUP(Table3[[#This Row],[Country Code]],Lookups!$A$2:$A$5,Lookups!$C$2:$C$5),"CHECK CODE")</f>
        <v>Asia</v>
      </c>
      <c r="V39" s="16" t="s">
        <v>28</v>
      </c>
      <c r="W39" s="16" t="str">
        <f>_xlfn.IFNA(_xlfn.XLOOKUP(Table3[[#This Row],[Country Code]],Lookups!$A$2:$A$5,Lookups!$D$2:$D$5),"CHECK CODE")</f>
        <v>INR</v>
      </c>
      <c r="X39" s="16">
        <f>VALUE(MID(Table3[[#This Row],[Unit Price]],2,50))</f>
        <v>25000</v>
      </c>
      <c r="Y39" s="19">
        <f>_xlfn.IFNA(_xlfn.XLOOKUP(Table3[[#This Row],[Country Code]],Lookups!$A$2:$A$5,Lookups!$E$2:$E$5),"")</f>
        <v>109.88200000000001</v>
      </c>
      <c r="Z39" s="87">
        <f>Table3[[#This Row],[Unit Price (local)]]/Table3[[#This Row],[FX Rate (per EUR)]]</f>
        <v>227.51679073915653</v>
      </c>
      <c r="AA39" s="16">
        <v>450</v>
      </c>
      <c r="AB39" s="20">
        <v>0</v>
      </c>
      <c r="AC39" s="21">
        <f>ROUND(Table3[[#This Row],[Unit Price (EUR)]]*Table3[[#This Row],[Units Sold]],0)</f>
        <v>102383</v>
      </c>
      <c r="AD39" s="22">
        <f>ROUND(Table3[[#This Row],[Gross Sales (EUR)]]*(1-Table3[[#This Row],[Discount (%)]]/100),0)</f>
        <v>102383</v>
      </c>
      <c r="AE39" s="22">
        <f>_xlfn.IFNA(_xlfn.XLOOKUP(Table3[[#This Row],[Month]],Lookups!$N$2:$N$13,Lookups!$O$2:$O$13),"CHECK MONTH")</f>
        <v>4</v>
      </c>
      <c r="AF39" s="22" t="str">
        <f>TEXT(Table3[[#This Row],[Month No]],"00")&amp;" - "&amp;Table3[[#This Row],[Month]]</f>
        <v>04 - April</v>
      </c>
      <c r="AG39" s="22" t="str">
        <f>_xlfn.IFNA(_xlfn.XLOOKUP(Table3[[#This Row],[Month]],Lookups!$N$2:$N$13,Lookups!$P$2:$P$13),"CHECK MONTH")</f>
        <v>Q2</v>
      </c>
      <c r="AH39" s="22">
        <f>Table3[[#This Row],[Gross Sales (EUR)]]-Table3[[#This Row],[Total Sales (EUR)]]</f>
        <v>0</v>
      </c>
      <c r="AI39" s="89">
        <f>DATE(Lookups!$O$15,Table3[[#This Row],[Month No]],1)</f>
        <v>45748</v>
      </c>
    </row>
    <row r="40" spans="1:35" x14ac:dyDescent="0.3">
      <c r="A40" s="15">
        <v>39</v>
      </c>
      <c r="B40" s="16" t="s">
        <v>13</v>
      </c>
      <c r="C40" s="16" t="s">
        <v>14</v>
      </c>
      <c r="D40" s="16" t="str">
        <f>TRIM(Table3[[#This Row],[Rep Last Name]])&amp;", "&amp;TRIM(Table3[[#This Row],[Rep First Name]])</f>
        <v>Joshi, Sanya</v>
      </c>
      <c r="E40" s="16" t="s">
        <v>67</v>
      </c>
      <c r="F40" s="16" t="s">
        <v>29</v>
      </c>
      <c r="G40" s="16" t="s">
        <v>30</v>
      </c>
      <c r="H40" s="16" t="str">
        <f>IF(Table3[[#This Row],[Min Speed (original, incomplete)]]="",_xlfn.IFNA(_xlfn.XLOOKUP(Table3[[#This Row],[Product Type]],Lookups!$G$2:$G$4,Lookups!$H$2:$H$4),"CHECK PRODUCT"),Table3[[#This Row],[Min Speed (original, incomplete)]])</f>
        <v>18 mph</v>
      </c>
      <c r="I40" s="16" t="s">
        <v>31</v>
      </c>
      <c r="J40" s="16" t="s">
        <v>32</v>
      </c>
      <c r="K40" s="17">
        <f>ROUND(VALUE(SUBSTITUTE(Table3[[#This Row],[Min Speed (mph)]]," mph",""))*Lookups!$L$2,0)</f>
        <v>29</v>
      </c>
      <c r="L40" s="17">
        <f>ROUND(VALUE(SUBSTITUTE(Table3[[#This Row],[Speed]]," mph",""))*Lookups!$L$2,0)</f>
        <v>45</v>
      </c>
      <c r="M40" s="17" t="str">
        <f>Table3[[#This Row],[Min Speed (km/h)]]&amp;" – "&amp;Table3[[#This Row],[Max Speed (km/h)]]&amp;" km/h"</f>
        <v>29 – 45 km/h</v>
      </c>
      <c r="N40" s="18">
        <f>IF(ISNUMBER(SEARCH("mile",Table3[[#This Row],[Distance]])),ROUND(VALUE(SUBSTITUTE(Table3[[#This Row],[Distance]]," miles",""))*Lookups!$L$3,0),ROUND(VALUE(SUBSTITUTE(Table3[[#This Row],[Distance]]," meters",""))*Lookups!$L$4,0))</f>
        <v>40</v>
      </c>
      <c r="O40" s="16" t="s">
        <v>33</v>
      </c>
      <c r="P40" s="16" t="str">
        <f>TRIM(LEFT(Table3[[#This Row],[Shipping Address]],FIND(",",Table3[[#This Row],[Shipping Address]])-1))</f>
        <v>458 Brigade Road</v>
      </c>
      <c r="Q40" s="16" t="str">
        <f>TRIM(MID(Table3[[#This Row],[Shipping Address]],FIND(",",Table3[[#This Row],[Shipping Address]])+1,FIND(",",Table3[[#This Row],[Shipping Address]],FIND(",",Table3[[#This Row],[Shipping Address]])+1)-FIND(",",Table3[[#This Row],[Shipping Address]])-1))</f>
        <v>Bengaluru</v>
      </c>
      <c r="R40" s="16" t="str">
        <f>TRIM(MID(Table3[[#This Row],[Shipping Address]],FIND(",",Table3[[#This Row],[Shipping Address]],FIND(",",Table3[[#This Row],[Shipping Address]])+1)+1,20))</f>
        <v>560001</v>
      </c>
      <c r="S40" s="16" t="s">
        <v>21</v>
      </c>
      <c r="T40" s="16" t="str">
        <f>_xlfn.IFNA(_xlfn.XLOOKUP(Table3[[#This Row],[Country Code]],Lookups!$A$2:$A$5,Lookups!$B$2:$B$5),"CHECK CODE")</f>
        <v>India</v>
      </c>
      <c r="U40" s="16" t="str">
        <f>_xlfn.IFNA(_xlfn.XLOOKUP(Table3[[#This Row],[Country Code]],Lookups!$A$2:$A$5,Lookups!$C$2:$C$5),"CHECK CODE")</f>
        <v>Asia</v>
      </c>
      <c r="V40" s="16" t="s">
        <v>34</v>
      </c>
      <c r="W40" s="16" t="str">
        <f>_xlfn.IFNA(_xlfn.XLOOKUP(Table3[[#This Row],[Country Code]],Lookups!$A$2:$A$5,Lookups!$D$2:$D$5),"CHECK CODE")</f>
        <v>INR</v>
      </c>
      <c r="X40" s="16">
        <f>VALUE(MID(Table3[[#This Row],[Unit Price]],2,50))</f>
        <v>22000</v>
      </c>
      <c r="Y40" s="19">
        <f>_xlfn.IFNA(_xlfn.XLOOKUP(Table3[[#This Row],[Country Code]],Lookups!$A$2:$A$5,Lookups!$E$2:$E$5),"")</f>
        <v>109.88200000000001</v>
      </c>
      <c r="Z40" s="87">
        <f>Table3[[#This Row],[Unit Price (local)]]/Table3[[#This Row],[FX Rate (per EUR)]]</f>
        <v>200.21477585045776</v>
      </c>
      <c r="AA40" s="16">
        <v>300</v>
      </c>
      <c r="AB40" s="20">
        <v>0</v>
      </c>
      <c r="AC40" s="21">
        <f>ROUND(Table3[[#This Row],[Unit Price (EUR)]]*Table3[[#This Row],[Units Sold]],0)</f>
        <v>60064</v>
      </c>
      <c r="AD40" s="22">
        <f>ROUND(Table3[[#This Row],[Gross Sales (EUR)]]*(1-Table3[[#This Row],[Discount (%)]]/100),0)</f>
        <v>60064</v>
      </c>
      <c r="AE40" s="22">
        <f>_xlfn.IFNA(_xlfn.XLOOKUP(Table3[[#This Row],[Month]],Lookups!$N$2:$N$13,Lookups!$O$2:$O$13),"CHECK MONTH")</f>
        <v>4</v>
      </c>
      <c r="AF40" s="22" t="str">
        <f>TEXT(Table3[[#This Row],[Month No]],"00")&amp;" - "&amp;Table3[[#This Row],[Month]]</f>
        <v>04 - April</v>
      </c>
      <c r="AG40" s="22" t="str">
        <f>_xlfn.IFNA(_xlfn.XLOOKUP(Table3[[#This Row],[Month]],Lookups!$N$2:$N$13,Lookups!$P$2:$P$13),"CHECK MONTH")</f>
        <v>Q2</v>
      </c>
      <c r="AH40" s="22">
        <f>Table3[[#This Row],[Gross Sales (EUR)]]-Table3[[#This Row],[Total Sales (EUR)]]</f>
        <v>0</v>
      </c>
      <c r="AI40" s="89">
        <f>DATE(Lookups!$O$15,Table3[[#This Row],[Month No]],1)</f>
        <v>45748</v>
      </c>
    </row>
    <row r="41" spans="1:35" x14ac:dyDescent="0.3">
      <c r="A41" s="15">
        <v>40</v>
      </c>
      <c r="B41" s="16" t="s">
        <v>35</v>
      </c>
      <c r="C41" s="16" t="s">
        <v>36</v>
      </c>
      <c r="D41" s="16" t="str">
        <f>TRIM(Table3[[#This Row],[Rep Last Name]])&amp;", "&amp;TRIM(Table3[[#This Row],[Rep First Name]])</f>
        <v>Liu, Fang</v>
      </c>
      <c r="E41" s="16" t="s">
        <v>67</v>
      </c>
      <c r="F41" s="16" t="s">
        <v>16</v>
      </c>
      <c r="G41" s="23"/>
      <c r="H41" s="16" t="str">
        <f>IF(Table3[[#This Row],[Min Speed (original, incomplete)]]="",_xlfn.IFNA(_xlfn.XLOOKUP(Table3[[#This Row],[Product Type]],Lookups!$G$2:$G$4,Lookups!$H$2:$H$4),"CHECK PRODUCT"),Table3[[#This Row],[Min Speed (original, incomplete)]])</f>
        <v>15 mph</v>
      </c>
      <c r="I41" s="16" t="s">
        <v>18</v>
      </c>
      <c r="J41" s="16" t="s">
        <v>19</v>
      </c>
      <c r="K41" s="17">
        <f>ROUND(VALUE(SUBSTITUTE(Table3[[#This Row],[Min Speed (mph)]]," mph",""))*Lookups!$L$2,0)</f>
        <v>24</v>
      </c>
      <c r="L41" s="17">
        <f>ROUND(VALUE(SUBSTITUTE(Table3[[#This Row],[Speed]]," mph",""))*Lookups!$L$2,0)</f>
        <v>48</v>
      </c>
      <c r="M41" s="17" t="str">
        <f>Table3[[#This Row],[Min Speed (km/h)]]&amp;" – "&amp;Table3[[#This Row],[Max Speed (km/h)]]&amp;" km/h"</f>
        <v>24 – 48 km/h</v>
      </c>
      <c r="N41" s="18">
        <f>IF(ISNUMBER(SEARCH("mile",Table3[[#This Row],[Distance]])),ROUND(VALUE(SUBSTITUTE(Table3[[#This Row],[Distance]]," miles",""))*Lookups!$L$3,0),ROUND(VALUE(SUBSTITUTE(Table3[[#This Row],[Distance]]," meters",""))*Lookups!$L$4,0))</f>
        <v>48</v>
      </c>
      <c r="O41" s="16" t="s">
        <v>37</v>
      </c>
      <c r="P41" s="16" t="str">
        <f>TRIM(LEFT(Table3[[#This Row],[Shipping Address]],FIND(",",Table3[[#This Row],[Shipping Address]])-1))</f>
        <v>99 Nanjing Road</v>
      </c>
      <c r="Q41" s="16" t="str">
        <f>TRIM(MID(Table3[[#This Row],[Shipping Address]],FIND(",",Table3[[#This Row],[Shipping Address]])+1,FIND(",",Table3[[#This Row],[Shipping Address]],FIND(",",Table3[[#This Row],[Shipping Address]])+1)-FIND(",",Table3[[#This Row],[Shipping Address]])-1))</f>
        <v>Shanghai</v>
      </c>
      <c r="R41" s="16" t="str">
        <f>TRIM(MID(Table3[[#This Row],[Shipping Address]],FIND(",",Table3[[#This Row],[Shipping Address]],FIND(",",Table3[[#This Row],[Shipping Address]])+1)+1,20))</f>
        <v>200001</v>
      </c>
      <c r="S41" s="16" t="s">
        <v>38</v>
      </c>
      <c r="T41" s="16" t="str">
        <f>_xlfn.IFNA(_xlfn.XLOOKUP(Table3[[#This Row],[Country Code]],Lookups!$A$2:$A$5,Lookups!$B$2:$B$5),"CHECK CODE")</f>
        <v>China</v>
      </c>
      <c r="U41" s="16" t="str">
        <f>_xlfn.IFNA(_xlfn.XLOOKUP(Table3[[#This Row],[Country Code]],Lookups!$A$2:$A$5,Lookups!$C$2:$C$5),"CHECK CODE")</f>
        <v>Asia</v>
      </c>
      <c r="V41" s="16" t="s">
        <v>39</v>
      </c>
      <c r="W41" s="16" t="str">
        <f>_xlfn.IFNA(_xlfn.XLOOKUP(Table3[[#This Row],[Country Code]],Lookups!$A$2:$A$5,Lookups!$D$2:$D$5),"CHECK CODE")</f>
        <v>CNY</v>
      </c>
      <c r="X41" s="16">
        <f>VALUE(MID(Table3[[#This Row],[Unit Price]],2,50))</f>
        <v>5000</v>
      </c>
      <c r="Y41" s="19">
        <f>_xlfn.IFNA(_xlfn.XLOOKUP(Table3[[#This Row],[Country Code]],Lookups!$A$2:$A$5,Lookups!$E$2:$E$5),"")</f>
        <v>7.7255000000000003</v>
      </c>
      <c r="Z41" s="87">
        <f>Table3[[#This Row],[Unit Price (local)]]/Table3[[#This Row],[FX Rate (per EUR)]]</f>
        <v>647.20730049834958</v>
      </c>
      <c r="AA41" s="16">
        <v>700</v>
      </c>
      <c r="AB41" s="20">
        <v>0</v>
      </c>
      <c r="AC41" s="21">
        <f>ROUND(Table3[[#This Row],[Unit Price (EUR)]]*Table3[[#This Row],[Units Sold]],0)</f>
        <v>453045</v>
      </c>
      <c r="AD41" s="22">
        <f>ROUND(Table3[[#This Row],[Gross Sales (EUR)]]*(1-Table3[[#This Row],[Discount (%)]]/100),0)</f>
        <v>453045</v>
      </c>
      <c r="AE41" s="22">
        <f>_xlfn.IFNA(_xlfn.XLOOKUP(Table3[[#This Row],[Month]],Lookups!$N$2:$N$13,Lookups!$O$2:$O$13),"CHECK MONTH")</f>
        <v>4</v>
      </c>
      <c r="AF41" s="22" t="str">
        <f>TEXT(Table3[[#This Row],[Month No]],"00")&amp;" - "&amp;Table3[[#This Row],[Month]]</f>
        <v>04 - April</v>
      </c>
      <c r="AG41" s="22" t="str">
        <f>_xlfn.IFNA(_xlfn.XLOOKUP(Table3[[#This Row],[Month]],Lookups!$N$2:$N$13,Lookups!$P$2:$P$13),"CHECK MONTH")</f>
        <v>Q2</v>
      </c>
      <c r="AH41" s="22">
        <f>Table3[[#This Row],[Gross Sales (EUR)]]-Table3[[#This Row],[Total Sales (EUR)]]</f>
        <v>0</v>
      </c>
      <c r="AI41" s="89">
        <f>DATE(Lookups!$O$15,Table3[[#This Row],[Month No]],1)</f>
        <v>45748</v>
      </c>
    </row>
    <row r="42" spans="1:35" x14ac:dyDescent="0.3">
      <c r="A42" s="15">
        <v>41</v>
      </c>
      <c r="B42" s="16" t="s">
        <v>35</v>
      </c>
      <c r="C42" s="16" t="s">
        <v>36</v>
      </c>
      <c r="D42" s="16" t="str">
        <f>TRIM(Table3[[#This Row],[Rep Last Name]])&amp;", "&amp;TRIM(Table3[[#This Row],[Rep First Name]])</f>
        <v>Liu, Fang</v>
      </c>
      <c r="E42" s="16" t="s">
        <v>67</v>
      </c>
      <c r="F42" s="16" t="s">
        <v>23</v>
      </c>
      <c r="G42" s="16" t="s">
        <v>24</v>
      </c>
      <c r="H42" s="16" t="str">
        <f>IF(Table3[[#This Row],[Min Speed (original, incomplete)]]="",_xlfn.IFNA(_xlfn.XLOOKUP(Table3[[#This Row],[Product Type]],Lookups!$G$2:$G$4,Lookups!$H$2:$H$4),"CHECK PRODUCT"),Table3[[#This Row],[Min Speed (original, incomplete)]])</f>
        <v>20 mph</v>
      </c>
      <c r="I42" s="16" t="s">
        <v>25</v>
      </c>
      <c r="J42" s="16" t="s">
        <v>26</v>
      </c>
      <c r="K42" s="17">
        <f>ROUND(VALUE(SUBSTITUTE(Table3[[#This Row],[Min Speed (mph)]]," mph",""))*Lookups!$L$2,0)</f>
        <v>32</v>
      </c>
      <c r="L42" s="17">
        <f>ROUND(VALUE(SUBSTITUTE(Table3[[#This Row],[Speed]]," mph",""))*Lookups!$L$2,0)</f>
        <v>56</v>
      </c>
      <c r="M42" s="17" t="str">
        <f>Table3[[#This Row],[Min Speed (km/h)]]&amp;" – "&amp;Table3[[#This Row],[Max Speed (km/h)]]&amp;" km/h"</f>
        <v>32 – 56 km/h</v>
      </c>
      <c r="N42" s="18">
        <f>IF(ISNUMBER(SEARCH("mile",Table3[[#This Row],[Distance]])),ROUND(VALUE(SUBSTITUTE(Table3[[#This Row],[Distance]]," miles",""))*Lookups!$L$3,0),ROUND(VALUE(SUBSTITUTE(Table3[[#This Row],[Distance]]," meters",""))*Lookups!$L$4,0))</f>
        <v>64</v>
      </c>
      <c r="O42" s="16" t="s">
        <v>40</v>
      </c>
      <c r="P42" s="16" t="str">
        <f>TRIM(LEFT(Table3[[#This Row],[Shipping Address]],FIND(",",Table3[[#This Row],[Shipping Address]])-1))</f>
        <v>100 Nanjing Road</v>
      </c>
      <c r="Q42" s="16" t="str">
        <f>TRIM(MID(Table3[[#This Row],[Shipping Address]],FIND(",",Table3[[#This Row],[Shipping Address]])+1,FIND(",",Table3[[#This Row],[Shipping Address]],FIND(",",Table3[[#This Row],[Shipping Address]])+1)-FIND(",",Table3[[#This Row],[Shipping Address]])-1))</f>
        <v>Shanghai</v>
      </c>
      <c r="R42" s="16" t="str">
        <f>TRIM(MID(Table3[[#This Row],[Shipping Address]],FIND(",",Table3[[#This Row],[Shipping Address]],FIND(",",Table3[[#This Row],[Shipping Address]])+1)+1,20))</f>
        <v>200001</v>
      </c>
      <c r="S42" s="16" t="s">
        <v>38</v>
      </c>
      <c r="T42" s="16" t="str">
        <f>_xlfn.IFNA(_xlfn.XLOOKUP(Table3[[#This Row],[Country Code]],Lookups!$A$2:$A$5,Lookups!$B$2:$B$5),"CHECK CODE")</f>
        <v>China</v>
      </c>
      <c r="U42" s="16" t="str">
        <f>_xlfn.IFNA(_xlfn.XLOOKUP(Table3[[#This Row],[Country Code]],Lookups!$A$2:$A$5,Lookups!$C$2:$C$5),"CHECK CODE")</f>
        <v>Asia</v>
      </c>
      <c r="V42" s="16" t="s">
        <v>41</v>
      </c>
      <c r="W42" s="16" t="str">
        <f>_xlfn.IFNA(_xlfn.XLOOKUP(Table3[[#This Row],[Country Code]],Lookups!$A$2:$A$5,Lookups!$D$2:$D$5),"CHECK CODE")</f>
        <v>CNY</v>
      </c>
      <c r="X42" s="16">
        <f>VALUE(MID(Table3[[#This Row],[Unit Price]],2,50))</f>
        <v>3500</v>
      </c>
      <c r="Y42" s="19">
        <f>_xlfn.IFNA(_xlfn.XLOOKUP(Table3[[#This Row],[Country Code]],Lookups!$A$2:$A$5,Lookups!$E$2:$E$5),"")</f>
        <v>7.7255000000000003</v>
      </c>
      <c r="Z42" s="87">
        <f>Table3[[#This Row],[Unit Price (local)]]/Table3[[#This Row],[FX Rate (per EUR)]]</f>
        <v>453.04511034884473</v>
      </c>
      <c r="AA42" s="16">
        <v>1600</v>
      </c>
      <c r="AB42" s="20">
        <v>0</v>
      </c>
      <c r="AC42" s="21">
        <f>ROUND(Table3[[#This Row],[Unit Price (EUR)]]*Table3[[#This Row],[Units Sold]],0)</f>
        <v>724872</v>
      </c>
      <c r="AD42" s="22">
        <f>ROUND(Table3[[#This Row],[Gross Sales (EUR)]]*(1-Table3[[#This Row],[Discount (%)]]/100),0)</f>
        <v>724872</v>
      </c>
      <c r="AE42" s="22">
        <f>_xlfn.IFNA(_xlfn.XLOOKUP(Table3[[#This Row],[Month]],Lookups!$N$2:$N$13,Lookups!$O$2:$O$13),"CHECK MONTH")</f>
        <v>4</v>
      </c>
      <c r="AF42" s="22" t="str">
        <f>TEXT(Table3[[#This Row],[Month No]],"00")&amp;" - "&amp;Table3[[#This Row],[Month]]</f>
        <v>04 - April</v>
      </c>
      <c r="AG42" s="22" t="str">
        <f>_xlfn.IFNA(_xlfn.XLOOKUP(Table3[[#This Row],[Month]],Lookups!$N$2:$N$13,Lookups!$P$2:$P$13),"CHECK MONTH")</f>
        <v>Q2</v>
      </c>
      <c r="AH42" s="22">
        <f>Table3[[#This Row],[Gross Sales (EUR)]]-Table3[[#This Row],[Total Sales (EUR)]]</f>
        <v>0</v>
      </c>
      <c r="AI42" s="89">
        <f>DATE(Lookups!$O$15,Table3[[#This Row],[Month No]],1)</f>
        <v>45748</v>
      </c>
    </row>
    <row r="43" spans="1:35" x14ac:dyDescent="0.3">
      <c r="A43" s="15">
        <v>42</v>
      </c>
      <c r="B43" s="16" t="s">
        <v>35</v>
      </c>
      <c r="C43" s="16" t="s">
        <v>36</v>
      </c>
      <c r="D43" s="16" t="str">
        <f>TRIM(Table3[[#This Row],[Rep Last Name]])&amp;", "&amp;TRIM(Table3[[#This Row],[Rep First Name]])</f>
        <v>Liu, Fang</v>
      </c>
      <c r="E43" s="16" t="s">
        <v>67</v>
      </c>
      <c r="F43" s="16" t="s">
        <v>29</v>
      </c>
      <c r="G43" s="16" t="s">
        <v>30</v>
      </c>
      <c r="H43" s="16" t="str">
        <f>IF(Table3[[#This Row],[Min Speed (original, incomplete)]]="",_xlfn.IFNA(_xlfn.XLOOKUP(Table3[[#This Row],[Product Type]],Lookups!$G$2:$G$4,Lookups!$H$2:$H$4),"CHECK PRODUCT"),Table3[[#This Row],[Min Speed (original, incomplete)]])</f>
        <v>18 mph</v>
      </c>
      <c r="I43" s="16" t="s">
        <v>31</v>
      </c>
      <c r="J43" s="16" t="s">
        <v>32</v>
      </c>
      <c r="K43" s="17">
        <f>ROUND(VALUE(SUBSTITUTE(Table3[[#This Row],[Min Speed (mph)]]," mph",""))*Lookups!$L$2,0)</f>
        <v>29</v>
      </c>
      <c r="L43" s="17">
        <f>ROUND(VALUE(SUBSTITUTE(Table3[[#This Row],[Speed]]," mph",""))*Lookups!$L$2,0)</f>
        <v>45</v>
      </c>
      <c r="M43" s="17" t="str">
        <f>Table3[[#This Row],[Min Speed (km/h)]]&amp;" – "&amp;Table3[[#This Row],[Max Speed (km/h)]]&amp;" km/h"</f>
        <v>29 – 45 km/h</v>
      </c>
      <c r="N43" s="18">
        <f>IF(ISNUMBER(SEARCH("mile",Table3[[#This Row],[Distance]])),ROUND(VALUE(SUBSTITUTE(Table3[[#This Row],[Distance]]," miles",""))*Lookups!$L$3,0),ROUND(VALUE(SUBSTITUTE(Table3[[#This Row],[Distance]]," meters",""))*Lookups!$L$4,0))</f>
        <v>40</v>
      </c>
      <c r="O43" s="16" t="s">
        <v>43</v>
      </c>
      <c r="P43" s="16" t="str">
        <f>TRIM(LEFT(Table3[[#This Row],[Shipping Address]],FIND(",",Table3[[#This Row],[Shipping Address]])-1))</f>
        <v>101 Nanjing Road</v>
      </c>
      <c r="Q43" s="16" t="str">
        <f>TRIM(MID(Table3[[#This Row],[Shipping Address]],FIND(",",Table3[[#This Row],[Shipping Address]])+1,FIND(",",Table3[[#This Row],[Shipping Address]],FIND(",",Table3[[#This Row],[Shipping Address]])+1)-FIND(",",Table3[[#This Row],[Shipping Address]])-1))</f>
        <v>Shanghai</v>
      </c>
      <c r="R43" s="16" t="str">
        <f>TRIM(MID(Table3[[#This Row],[Shipping Address]],FIND(",",Table3[[#This Row],[Shipping Address]],FIND(",",Table3[[#This Row],[Shipping Address]])+1)+1,20))</f>
        <v>200001</v>
      </c>
      <c r="S43" s="16" t="s">
        <v>38</v>
      </c>
      <c r="T43" s="16" t="str">
        <f>_xlfn.IFNA(_xlfn.XLOOKUP(Table3[[#This Row],[Country Code]],Lookups!$A$2:$A$5,Lookups!$B$2:$B$5),"CHECK CODE")</f>
        <v>China</v>
      </c>
      <c r="U43" s="16" t="str">
        <f>_xlfn.IFNA(_xlfn.XLOOKUP(Table3[[#This Row],[Country Code]],Lookups!$A$2:$A$5,Lookups!$C$2:$C$5),"CHECK CODE")</f>
        <v>Asia</v>
      </c>
      <c r="V43" s="16" t="s">
        <v>44</v>
      </c>
      <c r="W43" s="16" t="str">
        <f>_xlfn.IFNA(_xlfn.XLOOKUP(Table3[[#This Row],[Country Code]],Lookups!$A$2:$A$5,Lookups!$D$2:$D$5),"CHECK CODE")</f>
        <v>CNY</v>
      </c>
      <c r="X43" s="16">
        <f>VALUE(MID(Table3[[#This Row],[Unit Price]],2,50))</f>
        <v>4200</v>
      </c>
      <c r="Y43" s="19">
        <f>_xlfn.IFNA(_xlfn.XLOOKUP(Table3[[#This Row],[Country Code]],Lookups!$A$2:$A$5,Lookups!$E$2:$E$5),"")</f>
        <v>7.7255000000000003</v>
      </c>
      <c r="Z43" s="87">
        <f>Table3[[#This Row],[Unit Price (local)]]/Table3[[#This Row],[FX Rate (per EUR)]]</f>
        <v>543.6541324186137</v>
      </c>
      <c r="AA43" s="16">
        <v>1000</v>
      </c>
      <c r="AB43" s="20">
        <v>0</v>
      </c>
      <c r="AC43" s="21">
        <f>ROUND(Table3[[#This Row],[Unit Price (EUR)]]*Table3[[#This Row],[Units Sold]],0)</f>
        <v>543654</v>
      </c>
      <c r="AD43" s="22">
        <f>ROUND(Table3[[#This Row],[Gross Sales (EUR)]]*(1-Table3[[#This Row],[Discount (%)]]/100),0)</f>
        <v>543654</v>
      </c>
      <c r="AE43" s="22">
        <f>_xlfn.IFNA(_xlfn.XLOOKUP(Table3[[#This Row],[Month]],Lookups!$N$2:$N$13,Lookups!$O$2:$O$13),"CHECK MONTH")</f>
        <v>4</v>
      </c>
      <c r="AF43" s="22" t="str">
        <f>TEXT(Table3[[#This Row],[Month No]],"00")&amp;" - "&amp;Table3[[#This Row],[Month]]</f>
        <v>04 - April</v>
      </c>
      <c r="AG43" s="22" t="str">
        <f>_xlfn.IFNA(_xlfn.XLOOKUP(Table3[[#This Row],[Month]],Lookups!$N$2:$N$13,Lookups!$P$2:$P$13),"CHECK MONTH")</f>
        <v>Q2</v>
      </c>
      <c r="AH43" s="22">
        <f>Table3[[#This Row],[Gross Sales (EUR)]]-Table3[[#This Row],[Total Sales (EUR)]]</f>
        <v>0</v>
      </c>
      <c r="AI43" s="89">
        <f>DATE(Lookups!$O$15,Table3[[#This Row],[Month No]],1)</f>
        <v>45748</v>
      </c>
    </row>
    <row r="44" spans="1:35" x14ac:dyDescent="0.3">
      <c r="A44" s="15">
        <v>43</v>
      </c>
      <c r="B44" s="16" t="s">
        <v>45</v>
      </c>
      <c r="C44" s="16" t="s">
        <v>46</v>
      </c>
      <c r="D44" s="16" t="str">
        <f>TRIM(Table3[[#This Row],[Rep Last Name]])&amp;", "&amp;TRIM(Table3[[#This Row],[Rep First Name]])</f>
        <v>Fischer, Jonas</v>
      </c>
      <c r="E44" s="16" t="s">
        <v>67</v>
      </c>
      <c r="F44" s="16" t="s">
        <v>16</v>
      </c>
      <c r="G44" s="16" t="s">
        <v>17</v>
      </c>
      <c r="H44" s="16" t="str">
        <f>IF(Table3[[#This Row],[Min Speed (original, incomplete)]]="",_xlfn.IFNA(_xlfn.XLOOKUP(Table3[[#This Row],[Product Type]],Lookups!$G$2:$G$4,Lookups!$H$2:$H$4),"CHECK PRODUCT"),Table3[[#This Row],[Min Speed (original, incomplete)]])</f>
        <v>15 mph</v>
      </c>
      <c r="I44" s="16" t="s">
        <v>18</v>
      </c>
      <c r="J44" s="16" t="s">
        <v>47</v>
      </c>
      <c r="K44" s="17">
        <f>ROUND(VALUE(SUBSTITUTE(Table3[[#This Row],[Min Speed (mph)]]," mph",""))*Lookups!$L$2,0)</f>
        <v>24</v>
      </c>
      <c r="L44" s="17">
        <f>ROUND(VALUE(SUBSTITUTE(Table3[[#This Row],[Speed]]," mph",""))*Lookups!$L$2,0)</f>
        <v>48</v>
      </c>
      <c r="M44" s="17" t="str">
        <f>Table3[[#This Row],[Min Speed (km/h)]]&amp;" – "&amp;Table3[[#This Row],[Max Speed (km/h)]]&amp;" km/h"</f>
        <v>24 – 48 km/h</v>
      </c>
      <c r="N44" s="18">
        <f>IF(ISNUMBER(SEARCH("mile",Table3[[#This Row],[Distance]])),ROUND(VALUE(SUBSTITUTE(Table3[[#This Row],[Distance]]," miles",""))*Lookups!$L$3,0),ROUND(VALUE(SUBSTITUTE(Table3[[#This Row],[Distance]]," meters",""))*Lookups!$L$4,0))</f>
        <v>48</v>
      </c>
      <c r="O44" s="16" t="s">
        <v>48</v>
      </c>
      <c r="P44" s="16" t="str">
        <f>TRIM(LEFT(Table3[[#This Row],[Shipping Address]],FIND(",",Table3[[#This Row],[Shipping Address]])-1))</f>
        <v>303 Ringstraße</v>
      </c>
      <c r="Q44" s="16" t="str">
        <f>TRIM(MID(Table3[[#This Row],[Shipping Address]],FIND(",",Table3[[#This Row],[Shipping Address]])+1,FIND(",",Table3[[#This Row],[Shipping Address]],FIND(",",Table3[[#This Row],[Shipping Address]])+1)-FIND(",",Table3[[#This Row],[Shipping Address]])-1))</f>
        <v>Hamburg</v>
      </c>
      <c r="R44" s="16" t="str">
        <f>TRIM(MID(Table3[[#This Row],[Shipping Address]],FIND(",",Table3[[#This Row],[Shipping Address]],FIND(",",Table3[[#This Row],[Shipping Address]])+1)+1,20))</f>
        <v>20095</v>
      </c>
      <c r="S44" s="16" t="s">
        <v>49</v>
      </c>
      <c r="T44" s="16" t="str">
        <f>_xlfn.IFNA(_xlfn.XLOOKUP(Table3[[#This Row],[Country Code]],Lookups!$A$2:$A$5,Lookups!$B$2:$B$5),"CHECK CODE")</f>
        <v>Germany</v>
      </c>
      <c r="U44" s="16" t="str">
        <f>_xlfn.IFNA(_xlfn.XLOOKUP(Table3[[#This Row],[Country Code]],Lookups!$A$2:$A$5,Lookups!$C$2:$C$5),"CHECK CODE")</f>
        <v>Europe</v>
      </c>
      <c r="V44" s="16" t="s">
        <v>50</v>
      </c>
      <c r="W44" s="16" t="str">
        <f>_xlfn.IFNA(_xlfn.XLOOKUP(Table3[[#This Row],[Country Code]],Lookups!$A$2:$A$5,Lookups!$D$2:$D$5),"CHECK CODE")</f>
        <v>EUR</v>
      </c>
      <c r="X44" s="16">
        <f>VALUE(MID(Table3[[#This Row],[Unit Price]],2,50))</f>
        <v>1000</v>
      </c>
      <c r="Y44" s="19">
        <f>_xlfn.IFNA(_xlfn.XLOOKUP(Table3[[#This Row],[Country Code]],Lookups!$A$2:$A$5,Lookups!$E$2:$E$5),"")</f>
        <v>1</v>
      </c>
      <c r="Z44" s="87">
        <f>Table3[[#This Row],[Unit Price (local)]]/Table3[[#This Row],[FX Rate (per EUR)]]</f>
        <v>1000</v>
      </c>
      <c r="AA44" s="16">
        <v>160</v>
      </c>
      <c r="AB44" s="20">
        <v>0</v>
      </c>
      <c r="AC44" s="21">
        <f>ROUND(Table3[[#This Row],[Unit Price (EUR)]]*Table3[[#This Row],[Units Sold]],0)</f>
        <v>160000</v>
      </c>
      <c r="AD44" s="22">
        <f>ROUND(Table3[[#This Row],[Gross Sales (EUR)]]*(1-Table3[[#This Row],[Discount (%)]]/100),0)</f>
        <v>160000</v>
      </c>
      <c r="AE44" s="22">
        <f>_xlfn.IFNA(_xlfn.XLOOKUP(Table3[[#This Row],[Month]],Lookups!$N$2:$N$13,Lookups!$O$2:$O$13),"CHECK MONTH")</f>
        <v>4</v>
      </c>
      <c r="AF44" s="22" t="str">
        <f>TEXT(Table3[[#This Row],[Month No]],"00")&amp;" - "&amp;Table3[[#This Row],[Month]]</f>
        <v>04 - April</v>
      </c>
      <c r="AG44" s="22" t="str">
        <f>_xlfn.IFNA(_xlfn.XLOOKUP(Table3[[#This Row],[Month]],Lookups!$N$2:$N$13,Lookups!$P$2:$P$13),"CHECK MONTH")</f>
        <v>Q2</v>
      </c>
      <c r="AH44" s="22">
        <f>Table3[[#This Row],[Gross Sales (EUR)]]-Table3[[#This Row],[Total Sales (EUR)]]</f>
        <v>0</v>
      </c>
      <c r="AI44" s="89">
        <f>DATE(Lookups!$O$15,Table3[[#This Row],[Month No]],1)</f>
        <v>45748</v>
      </c>
    </row>
    <row r="45" spans="1:35" x14ac:dyDescent="0.3">
      <c r="A45" s="15">
        <v>44</v>
      </c>
      <c r="B45" s="16" t="s">
        <v>45</v>
      </c>
      <c r="C45" s="16" t="s">
        <v>46</v>
      </c>
      <c r="D45" s="16" t="str">
        <f>TRIM(Table3[[#This Row],[Rep Last Name]])&amp;", "&amp;TRIM(Table3[[#This Row],[Rep First Name]])</f>
        <v>Fischer, Jonas</v>
      </c>
      <c r="E45" s="16" t="s">
        <v>67</v>
      </c>
      <c r="F45" s="16" t="s">
        <v>23</v>
      </c>
      <c r="G45" s="16" t="s">
        <v>24</v>
      </c>
      <c r="H45" s="16" t="str">
        <f>IF(Table3[[#This Row],[Min Speed (original, incomplete)]]="",_xlfn.IFNA(_xlfn.XLOOKUP(Table3[[#This Row],[Product Type]],Lookups!$G$2:$G$4,Lookups!$H$2:$H$4),"CHECK PRODUCT"),Table3[[#This Row],[Min Speed (original, incomplete)]])</f>
        <v>20 mph</v>
      </c>
      <c r="I45" s="16" t="s">
        <v>25</v>
      </c>
      <c r="J45" s="16" t="s">
        <v>26</v>
      </c>
      <c r="K45" s="17">
        <f>ROUND(VALUE(SUBSTITUTE(Table3[[#This Row],[Min Speed (mph)]]," mph",""))*Lookups!$L$2,0)</f>
        <v>32</v>
      </c>
      <c r="L45" s="17">
        <f>ROUND(VALUE(SUBSTITUTE(Table3[[#This Row],[Speed]]," mph",""))*Lookups!$L$2,0)</f>
        <v>56</v>
      </c>
      <c r="M45" s="17" t="str">
        <f>Table3[[#This Row],[Min Speed (km/h)]]&amp;" – "&amp;Table3[[#This Row],[Max Speed (km/h)]]&amp;" km/h"</f>
        <v>32 – 56 km/h</v>
      </c>
      <c r="N45" s="18">
        <f>IF(ISNUMBER(SEARCH("mile",Table3[[#This Row],[Distance]])),ROUND(VALUE(SUBSTITUTE(Table3[[#This Row],[Distance]]," miles",""))*Lookups!$L$3,0),ROUND(VALUE(SUBSTITUTE(Table3[[#This Row],[Distance]]," meters",""))*Lookups!$L$4,0))</f>
        <v>64</v>
      </c>
      <c r="O45" s="16" t="s">
        <v>51</v>
      </c>
      <c r="P45" s="16" t="str">
        <f>TRIM(LEFT(Table3[[#This Row],[Shipping Address]],FIND(",",Table3[[#This Row],[Shipping Address]])-1))</f>
        <v>304 Ringstraße</v>
      </c>
      <c r="Q45" s="16" t="str">
        <f>TRIM(MID(Table3[[#This Row],[Shipping Address]],FIND(",",Table3[[#This Row],[Shipping Address]])+1,FIND(",",Table3[[#This Row],[Shipping Address]],FIND(",",Table3[[#This Row],[Shipping Address]])+1)-FIND(",",Table3[[#This Row],[Shipping Address]])-1))</f>
        <v>Hamburg</v>
      </c>
      <c r="R45" s="16" t="str">
        <f>TRIM(MID(Table3[[#This Row],[Shipping Address]],FIND(",",Table3[[#This Row],[Shipping Address]],FIND(",",Table3[[#This Row],[Shipping Address]])+1)+1,20))</f>
        <v>20095</v>
      </c>
      <c r="S45" s="16" t="s">
        <v>49</v>
      </c>
      <c r="T45" s="16" t="str">
        <f>_xlfn.IFNA(_xlfn.XLOOKUP(Table3[[#This Row],[Country Code]],Lookups!$A$2:$A$5,Lookups!$B$2:$B$5),"CHECK CODE")</f>
        <v>Germany</v>
      </c>
      <c r="U45" s="16" t="str">
        <f>_xlfn.IFNA(_xlfn.XLOOKUP(Table3[[#This Row],[Country Code]],Lookups!$A$2:$A$5,Lookups!$C$2:$C$5),"CHECK CODE")</f>
        <v>Europe</v>
      </c>
      <c r="V45" s="16" t="s">
        <v>52</v>
      </c>
      <c r="W45" s="16" t="str">
        <f>_xlfn.IFNA(_xlfn.XLOOKUP(Table3[[#This Row],[Country Code]],Lookups!$A$2:$A$5,Lookups!$D$2:$D$5),"CHECK CODE")</f>
        <v>EUR</v>
      </c>
      <c r="X45" s="16">
        <f>VALUE(MID(Table3[[#This Row],[Unit Price]],2,50))</f>
        <v>800</v>
      </c>
      <c r="Y45" s="19">
        <f>_xlfn.IFNA(_xlfn.XLOOKUP(Table3[[#This Row],[Country Code]],Lookups!$A$2:$A$5,Lookups!$E$2:$E$5),"")</f>
        <v>1</v>
      </c>
      <c r="Z45" s="87">
        <f>Table3[[#This Row],[Unit Price (local)]]/Table3[[#This Row],[FX Rate (per EUR)]]</f>
        <v>800</v>
      </c>
      <c r="AA45" s="16">
        <v>280</v>
      </c>
      <c r="AB45" s="20">
        <v>0</v>
      </c>
      <c r="AC45" s="21">
        <f>ROUND(Table3[[#This Row],[Unit Price (EUR)]]*Table3[[#This Row],[Units Sold]],0)</f>
        <v>224000</v>
      </c>
      <c r="AD45" s="22">
        <f>ROUND(Table3[[#This Row],[Gross Sales (EUR)]]*(1-Table3[[#This Row],[Discount (%)]]/100),0)</f>
        <v>224000</v>
      </c>
      <c r="AE45" s="22">
        <f>_xlfn.IFNA(_xlfn.XLOOKUP(Table3[[#This Row],[Month]],Lookups!$N$2:$N$13,Lookups!$O$2:$O$13),"CHECK MONTH")</f>
        <v>4</v>
      </c>
      <c r="AF45" s="22" t="str">
        <f>TEXT(Table3[[#This Row],[Month No]],"00")&amp;" - "&amp;Table3[[#This Row],[Month]]</f>
        <v>04 - April</v>
      </c>
      <c r="AG45" s="22" t="str">
        <f>_xlfn.IFNA(_xlfn.XLOOKUP(Table3[[#This Row],[Month]],Lookups!$N$2:$N$13,Lookups!$P$2:$P$13),"CHECK MONTH")</f>
        <v>Q2</v>
      </c>
      <c r="AH45" s="22">
        <f>Table3[[#This Row],[Gross Sales (EUR)]]-Table3[[#This Row],[Total Sales (EUR)]]</f>
        <v>0</v>
      </c>
      <c r="AI45" s="89">
        <f>DATE(Lookups!$O$15,Table3[[#This Row],[Month No]],1)</f>
        <v>45748</v>
      </c>
    </row>
    <row r="46" spans="1:35" x14ac:dyDescent="0.3">
      <c r="A46" s="15">
        <v>45</v>
      </c>
      <c r="B46" s="16" t="s">
        <v>45</v>
      </c>
      <c r="C46" s="16" t="s">
        <v>46</v>
      </c>
      <c r="D46" s="16" t="str">
        <f>TRIM(Table3[[#This Row],[Rep Last Name]])&amp;", "&amp;TRIM(Table3[[#This Row],[Rep First Name]])</f>
        <v>Fischer, Jonas</v>
      </c>
      <c r="E46" s="16" t="s">
        <v>67</v>
      </c>
      <c r="F46" s="16" t="s">
        <v>29</v>
      </c>
      <c r="G46" s="16" t="s">
        <v>30</v>
      </c>
      <c r="H46" s="16" t="str">
        <f>IF(Table3[[#This Row],[Min Speed (original, incomplete)]]="",_xlfn.IFNA(_xlfn.XLOOKUP(Table3[[#This Row],[Product Type]],Lookups!$G$2:$G$4,Lookups!$H$2:$H$4),"CHECK PRODUCT"),Table3[[#This Row],[Min Speed (original, incomplete)]])</f>
        <v>18 mph</v>
      </c>
      <c r="I46" s="16" t="s">
        <v>31</v>
      </c>
      <c r="J46" s="16" t="s">
        <v>32</v>
      </c>
      <c r="K46" s="17">
        <f>ROUND(VALUE(SUBSTITUTE(Table3[[#This Row],[Min Speed (mph)]]," mph",""))*Lookups!$L$2,0)</f>
        <v>29</v>
      </c>
      <c r="L46" s="17">
        <f>ROUND(VALUE(SUBSTITUTE(Table3[[#This Row],[Speed]]," mph",""))*Lookups!$L$2,0)</f>
        <v>45</v>
      </c>
      <c r="M46" s="17" t="str">
        <f>Table3[[#This Row],[Min Speed (km/h)]]&amp;" – "&amp;Table3[[#This Row],[Max Speed (km/h)]]&amp;" km/h"</f>
        <v>29 – 45 km/h</v>
      </c>
      <c r="N46" s="18">
        <f>IF(ISNUMBER(SEARCH("mile",Table3[[#This Row],[Distance]])),ROUND(VALUE(SUBSTITUTE(Table3[[#This Row],[Distance]]," miles",""))*Lookups!$L$3,0),ROUND(VALUE(SUBSTITUTE(Table3[[#This Row],[Distance]]," meters",""))*Lookups!$L$4,0))</f>
        <v>40</v>
      </c>
      <c r="O46" s="16" t="s">
        <v>53</v>
      </c>
      <c r="P46" s="16" t="str">
        <f>TRIM(LEFT(Table3[[#This Row],[Shipping Address]],FIND(",",Table3[[#This Row],[Shipping Address]])-1))</f>
        <v>305 Ringstraße</v>
      </c>
      <c r="Q46" s="16" t="str">
        <f>TRIM(MID(Table3[[#This Row],[Shipping Address]],FIND(",",Table3[[#This Row],[Shipping Address]])+1,FIND(",",Table3[[#This Row],[Shipping Address]],FIND(",",Table3[[#This Row],[Shipping Address]])+1)-FIND(",",Table3[[#This Row],[Shipping Address]])-1))</f>
        <v>Hamburg</v>
      </c>
      <c r="R46" s="16" t="str">
        <f>TRIM(MID(Table3[[#This Row],[Shipping Address]],FIND(",",Table3[[#This Row],[Shipping Address]],FIND(",",Table3[[#This Row],[Shipping Address]])+1)+1,20))</f>
        <v>20095</v>
      </c>
      <c r="S46" s="16" t="s">
        <v>49</v>
      </c>
      <c r="T46" s="16" t="str">
        <f>_xlfn.IFNA(_xlfn.XLOOKUP(Table3[[#This Row],[Country Code]],Lookups!$A$2:$A$5,Lookups!$B$2:$B$5),"CHECK CODE")</f>
        <v>Germany</v>
      </c>
      <c r="U46" s="16" t="str">
        <f>_xlfn.IFNA(_xlfn.XLOOKUP(Table3[[#This Row],[Country Code]],Lookups!$A$2:$A$5,Lookups!$C$2:$C$5),"CHECK CODE")</f>
        <v>Europe</v>
      </c>
      <c r="V46" s="16" t="s">
        <v>54</v>
      </c>
      <c r="W46" s="16" t="str">
        <f>_xlfn.IFNA(_xlfn.XLOOKUP(Table3[[#This Row],[Country Code]],Lookups!$A$2:$A$5,Lookups!$D$2:$D$5),"CHECK CODE")</f>
        <v>EUR</v>
      </c>
      <c r="X46" s="16">
        <f>VALUE(MID(Table3[[#This Row],[Unit Price]],2,50))</f>
        <v>950</v>
      </c>
      <c r="Y46" s="19">
        <f>_xlfn.IFNA(_xlfn.XLOOKUP(Table3[[#This Row],[Country Code]],Lookups!$A$2:$A$5,Lookups!$E$2:$E$5),"")</f>
        <v>1</v>
      </c>
      <c r="Z46" s="87">
        <f>Table3[[#This Row],[Unit Price (local)]]/Table3[[#This Row],[FX Rate (per EUR)]]</f>
        <v>950</v>
      </c>
      <c r="AA46" s="16">
        <v>200</v>
      </c>
      <c r="AB46" s="20">
        <v>0</v>
      </c>
      <c r="AC46" s="21">
        <f>ROUND(Table3[[#This Row],[Unit Price (EUR)]]*Table3[[#This Row],[Units Sold]],0)</f>
        <v>190000</v>
      </c>
      <c r="AD46" s="22">
        <f>ROUND(Table3[[#This Row],[Gross Sales (EUR)]]*(1-Table3[[#This Row],[Discount (%)]]/100),0)</f>
        <v>190000</v>
      </c>
      <c r="AE46" s="22">
        <f>_xlfn.IFNA(_xlfn.XLOOKUP(Table3[[#This Row],[Month]],Lookups!$N$2:$N$13,Lookups!$O$2:$O$13),"CHECK MONTH")</f>
        <v>4</v>
      </c>
      <c r="AF46" s="22" t="str">
        <f>TEXT(Table3[[#This Row],[Month No]],"00")&amp;" - "&amp;Table3[[#This Row],[Month]]</f>
        <v>04 - April</v>
      </c>
      <c r="AG46" s="22" t="str">
        <f>_xlfn.IFNA(_xlfn.XLOOKUP(Table3[[#This Row],[Month]],Lookups!$N$2:$N$13,Lookups!$P$2:$P$13),"CHECK MONTH")</f>
        <v>Q2</v>
      </c>
      <c r="AH46" s="22">
        <f>Table3[[#This Row],[Gross Sales (EUR)]]-Table3[[#This Row],[Total Sales (EUR)]]</f>
        <v>0</v>
      </c>
      <c r="AI46" s="89">
        <f>DATE(Lookups!$O$15,Table3[[#This Row],[Month No]],1)</f>
        <v>45748</v>
      </c>
    </row>
    <row r="47" spans="1:35" x14ac:dyDescent="0.3">
      <c r="A47" s="15">
        <v>46</v>
      </c>
      <c r="B47" s="16" t="s">
        <v>55</v>
      </c>
      <c r="C47" s="16" t="s">
        <v>56</v>
      </c>
      <c r="D47" s="16" t="str">
        <f>TRIM(Table3[[#This Row],[Rep Last Name]])&amp;", "&amp;TRIM(Table3[[#This Row],[Rep First Name]])</f>
        <v>Bernard, Théo</v>
      </c>
      <c r="E47" s="16" t="s">
        <v>67</v>
      </c>
      <c r="F47" s="16" t="s">
        <v>16</v>
      </c>
      <c r="G47" s="16" t="s">
        <v>17</v>
      </c>
      <c r="H47" s="16" t="str">
        <f>IF(Table3[[#This Row],[Min Speed (original, incomplete)]]="",_xlfn.IFNA(_xlfn.XLOOKUP(Table3[[#This Row],[Product Type]],Lookups!$G$2:$G$4,Lookups!$H$2:$H$4),"CHECK PRODUCT"),Table3[[#This Row],[Min Speed (original, incomplete)]])</f>
        <v>15 mph</v>
      </c>
      <c r="I47" s="16" t="s">
        <v>18</v>
      </c>
      <c r="J47" s="16" t="s">
        <v>19</v>
      </c>
      <c r="K47" s="17">
        <f>ROUND(VALUE(SUBSTITUTE(Table3[[#This Row],[Min Speed (mph)]]," mph",""))*Lookups!$L$2,0)</f>
        <v>24</v>
      </c>
      <c r="L47" s="17">
        <f>ROUND(VALUE(SUBSTITUTE(Table3[[#This Row],[Speed]]," mph",""))*Lookups!$L$2,0)</f>
        <v>48</v>
      </c>
      <c r="M47" s="17" t="str">
        <f>Table3[[#This Row],[Min Speed (km/h)]]&amp;" – "&amp;Table3[[#This Row],[Max Speed (km/h)]]&amp;" km/h"</f>
        <v>24 – 48 km/h</v>
      </c>
      <c r="N47" s="18">
        <f>IF(ISNUMBER(SEARCH("mile",Table3[[#This Row],[Distance]])),ROUND(VALUE(SUBSTITUTE(Table3[[#This Row],[Distance]]," miles",""))*Lookups!$L$3,0),ROUND(VALUE(SUBSTITUTE(Table3[[#This Row],[Distance]]," meters",""))*Lookups!$L$4,0))</f>
        <v>48</v>
      </c>
      <c r="O47" s="16" t="s">
        <v>57</v>
      </c>
      <c r="P47" s="16" t="str">
        <f>TRIM(LEFT(Table3[[#This Row],[Shipping Address]],FIND(",",Table3[[#This Row],[Shipping Address]])-1))</f>
        <v>56 Boulevard Saint-Germain</v>
      </c>
      <c r="Q47" s="16" t="str">
        <f>TRIM(MID(Table3[[#This Row],[Shipping Address]],FIND(",",Table3[[#This Row],[Shipping Address]])+1,FIND(",",Table3[[#This Row],[Shipping Address]],FIND(",",Table3[[#This Row],[Shipping Address]])+1)-FIND(",",Table3[[#This Row],[Shipping Address]])-1))</f>
        <v>Paris</v>
      </c>
      <c r="R47" s="16" t="str">
        <f>TRIM(MID(Table3[[#This Row],[Shipping Address]],FIND(",",Table3[[#This Row],[Shipping Address]],FIND(",",Table3[[#This Row],[Shipping Address]])+1)+1,20))</f>
        <v>75005</v>
      </c>
      <c r="S47" s="16" t="s">
        <v>58</v>
      </c>
      <c r="T47" s="16" t="str">
        <f>_xlfn.IFNA(_xlfn.XLOOKUP(Table3[[#This Row],[Country Code]],Lookups!$A$2:$A$5,Lookups!$B$2:$B$5),"CHECK CODE")</f>
        <v>France</v>
      </c>
      <c r="U47" s="16" t="str">
        <f>_xlfn.IFNA(_xlfn.XLOOKUP(Table3[[#This Row],[Country Code]],Lookups!$A$2:$A$5,Lookups!$C$2:$C$5),"CHECK CODE")</f>
        <v>Europe</v>
      </c>
      <c r="V47" s="16" t="s">
        <v>59</v>
      </c>
      <c r="W47" s="16" t="str">
        <f>_xlfn.IFNA(_xlfn.XLOOKUP(Table3[[#This Row],[Country Code]],Lookups!$A$2:$A$5,Lookups!$D$2:$D$5),"CHECK CODE")</f>
        <v>EUR</v>
      </c>
      <c r="X47" s="16">
        <f>VALUE(MID(Table3[[#This Row],[Unit Price]],2,50))</f>
        <v>1100</v>
      </c>
      <c r="Y47" s="19">
        <f>_xlfn.IFNA(_xlfn.XLOOKUP(Table3[[#This Row],[Country Code]],Lookups!$A$2:$A$5,Lookups!$E$2:$E$5),"")</f>
        <v>1</v>
      </c>
      <c r="Z47" s="87">
        <f>Table3[[#This Row],[Unit Price (local)]]/Table3[[#This Row],[FX Rate (per EUR)]]</f>
        <v>1100</v>
      </c>
      <c r="AA47" s="16">
        <v>130</v>
      </c>
      <c r="AB47" s="20">
        <v>0</v>
      </c>
      <c r="AC47" s="21">
        <f>ROUND(Table3[[#This Row],[Unit Price (EUR)]]*Table3[[#This Row],[Units Sold]],0)</f>
        <v>143000</v>
      </c>
      <c r="AD47" s="22">
        <f>ROUND(Table3[[#This Row],[Gross Sales (EUR)]]*(1-Table3[[#This Row],[Discount (%)]]/100),0)</f>
        <v>143000</v>
      </c>
      <c r="AE47" s="22">
        <f>_xlfn.IFNA(_xlfn.XLOOKUP(Table3[[#This Row],[Month]],Lookups!$N$2:$N$13,Lookups!$O$2:$O$13),"CHECK MONTH")</f>
        <v>4</v>
      </c>
      <c r="AF47" s="22" t="str">
        <f>TEXT(Table3[[#This Row],[Month No]],"00")&amp;" - "&amp;Table3[[#This Row],[Month]]</f>
        <v>04 - April</v>
      </c>
      <c r="AG47" s="22" t="str">
        <f>_xlfn.IFNA(_xlfn.XLOOKUP(Table3[[#This Row],[Month]],Lookups!$N$2:$N$13,Lookups!$P$2:$P$13),"CHECK MONTH")</f>
        <v>Q2</v>
      </c>
      <c r="AH47" s="22">
        <f>Table3[[#This Row],[Gross Sales (EUR)]]-Table3[[#This Row],[Total Sales (EUR)]]</f>
        <v>0</v>
      </c>
      <c r="AI47" s="89">
        <f>DATE(Lookups!$O$15,Table3[[#This Row],[Month No]],1)</f>
        <v>45748</v>
      </c>
    </row>
    <row r="48" spans="1:35" x14ac:dyDescent="0.3">
      <c r="A48" s="15">
        <v>47</v>
      </c>
      <c r="B48" s="16" t="s">
        <v>55</v>
      </c>
      <c r="C48" s="16" t="s">
        <v>56</v>
      </c>
      <c r="D48" s="16" t="str">
        <f>TRIM(Table3[[#This Row],[Rep Last Name]])&amp;", "&amp;TRIM(Table3[[#This Row],[Rep First Name]])</f>
        <v>Bernard, Théo</v>
      </c>
      <c r="E48" s="16" t="s">
        <v>67</v>
      </c>
      <c r="F48" s="16" t="s">
        <v>23</v>
      </c>
      <c r="G48" s="16" t="s">
        <v>24</v>
      </c>
      <c r="H48" s="16" t="str">
        <f>IF(Table3[[#This Row],[Min Speed (original, incomplete)]]="",_xlfn.IFNA(_xlfn.XLOOKUP(Table3[[#This Row],[Product Type]],Lookups!$G$2:$G$4,Lookups!$H$2:$H$4),"CHECK PRODUCT"),Table3[[#This Row],[Min Speed (original, incomplete)]])</f>
        <v>20 mph</v>
      </c>
      <c r="I48" s="16" t="s">
        <v>25</v>
      </c>
      <c r="J48" s="16" t="s">
        <v>26</v>
      </c>
      <c r="K48" s="17">
        <f>ROUND(VALUE(SUBSTITUTE(Table3[[#This Row],[Min Speed (mph)]]," mph",""))*Lookups!$L$2,0)</f>
        <v>32</v>
      </c>
      <c r="L48" s="17">
        <f>ROUND(VALUE(SUBSTITUTE(Table3[[#This Row],[Speed]]," mph",""))*Lookups!$L$2,0)</f>
        <v>56</v>
      </c>
      <c r="M48" s="17" t="str">
        <f>Table3[[#This Row],[Min Speed (km/h)]]&amp;" – "&amp;Table3[[#This Row],[Max Speed (km/h)]]&amp;" km/h"</f>
        <v>32 – 56 km/h</v>
      </c>
      <c r="N48" s="18">
        <f>IF(ISNUMBER(SEARCH("mile",Table3[[#This Row],[Distance]])),ROUND(VALUE(SUBSTITUTE(Table3[[#This Row],[Distance]]," miles",""))*Lookups!$L$3,0),ROUND(VALUE(SUBSTITUTE(Table3[[#This Row],[Distance]]," meters",""))*Lookups!$L$4,0))</f>
        <v>64</v>
      </c>
      <c r="O48" s="16" t="s">
        <v>61</v>
      </c>
      <c r="P48" s="16" t="str">
        <f>TRIM(LEFT(Table3[[#This Row],[Shipping Address]],FIND(",",Table3[[#This Row],[Shipping Address]])-1))</f>
        <v>57 Boulevard Saint-Germain</v>
      </c>
      <c r="Q48" s="16" t="str">
        <f>TRIM(MID(Table3[[#This Row],[Shipping Address]],FIND(",",Table3[[#This Row],[Shipping Address]])+1,FIND(",",Table3[[#This Row],[Shipping Address]],FIND(",",Table3[[#This Row],[Shipping Address]])+1)-FIND(",",Table3[[#This Row],[Shipping Address]])-1))</f>
        <v>Paris</v>
      </c>
      <c r="R48" s="16" t="str">
        <f>TRIM(MID(Table3[[#This Row],[Shipping Address]],FIND(",",Table3[[#This Row],[Shipping Address]],FIND(",",Table3[[#This Row],[Shipping Address]])+1)+1,20))</f>
        <v>75005</v>
      </c>
      <c r="S48" s="16" t="s">
        <v>58</v>
      </c>
      <c r="T48" s="16" t="str">
        <f>_xlfn.IFNA(_xlfn.XLOOKUP(Table3[[#This Row],[Country Code]],Lookups!$A$2:$A$5,Lookups!$B$2:$B$5),"CHECK CODE")</f>
        <v>France</v>
      </c>
      <c r="U48" s="16" t="str">
        <f>_xlfn.IFNA(_xlfn.XLOOKUP(Table3[[#This Row],[Country Code]],Lookups!$A$2:$A$5,Lookups!$C$2:$C$5),"CHECK CODE")</f>
        <v>Europe</v>
      </c>
      <c r="V48" s="16" t="s">
        <v>62</v>
      </c>
      <c r="W48" s="16" t="str">
        <f>_xlfn.IFNA(_xlfn.XLOOKUP(Table3[[#This Row],[Country Code]],Lookups!$A$2:$A$5,Lookups!$D$2:$D$5),"CHECK CODE")</f>
        <v>EUR</v>
      </c>
      <c r="X48" s="16">
        <f>VALUE(MID(Table3[[#This Row],[Unit Price]],2,50))</f>
        <v>900</v>
      </c>
      <c r="Y48" s="19">
        <f>_xlfn.IFNA(_xlfn.XLOOKUP(Table3[[#This Row],[Country Code]],Lookups!$A$2:$A$5,Lookups!$E$2:$E$5),"")</f>
        <v>1</v>
      </c>
      <c r="Z48" s="87">
        <f>Table3[[#This Row],[Unit Price (local)]]/Table3[[#This Row],[FX Rate (per EUR)]]</f>
        <v>900</v>
      </c>
      <c r="AA48" s="16">
        <v>300</v>
      </c>
      <c r="AB48" s="20">
        <v>0</v>
      </c>
      <c r="AC48" s="21">
        <f>ROUND(Table3[[#This Row],[Unit Price (EUR)]]*Table3[[#This Row],[Units Sold]],0)</f>
        <v>270000</v>
      </c>
      <c r="AD48" s="22">
        <f>ROUND(Table3[[#This Row],[Gross Sales (EUR)]]*(1-Table3[[#This Row],[Discount (%)]]/100),0)</f>
        <v>270000</v>
      </c>
      <c r="AE48" s="22">
        <f>_xlfn.IFNA(_xlfn.XLOOKUP(Table3[[#This Row],[Month]],Lookups!$N$2:$N$13,Lookups!$O$2:$O$13),"CHECK MONTH")</f>
        <v>4</v>
      </c>
      <c r="AF48" s="22" t="str">
        <f>TEXT(Table3[[#This Row],[Month No]],"00")&amp;" - "&amp;Table3[[#This Row],[Month]]</f>
        <v>04 - April</v>
      </c>
      <c r="AG48" s="22" t="str">
        <f>_xlfn.IFNA(_xlfn.XLOOKUP(Table3[[#This Row],[Month]],Lookups!$N$2:$N$13,Lookups!$P$2:$P$13),"CHECK MONTH")</f>
        <v>Q2</v>
      </c>
      <c r="AH48" s="22">
        <f>Table3[[#This Row],[Gross Sales (EUR)]]-Table3[[#This Row],[Total Sales (EUR)]]</f>
        <v>0</v>
      </c>
      <c r="AI48" s="89">
        <f>DATE(Lookups!$O$15,Table3[[#This Row],[Month No]],1)</f>
        <v>45748</v>
      </c>
    </row>
    <row r="49" spans="1:35" x14ac:dyDescent="0.3">
      <c r="A49" s="15">
        <v>48</v>
      </c>
      <c r="B49" s="16" t="s">
        <v>55</v>
      </c>
      <c r="C49" s="16" t="s">
        <v>56</v>
      </c>
      <c r="D49" s="16" t="str">
        <f>TRIM(Table3[[#This Row],[Rep Last Name]])&amp;", "&amp;TRIM(Table3[[#This Row],[Rep First Name]])</f>
        <v>Bernard, Théo</v>
      </c>
      <c r="E49" s="16" t="s">
        <v>67</v>
      </c>
      <c r="F49" s="16" t="s">
        <v>29</v>
      </c>
      <c r="G49" s="23"/>
      <c r="H49" s="16" t="str">
        <f>IF(Table3[[#This Row],[Min Speed (original, incomplete)]]="",_xlfn.IFNA(_xlfn.XLOOKUP(Table3[[#This Row],[Product Type]],Lookups!$G$2:$G$4,Lookups!$H$2:$H$4),"CHECK PRODUCT"),Table3[[#This Row],[Min Speed (original, incomplete)]])</f>
        <v>18 mph</v>
      </c>
      <c r="I49" s="16" t="s">
        <v>31</v>
      </c>
      <c r="J49" s="16" t="s">
        <v>42</v>
      </c>
      <c r="K49" s="17">
        <f>ROUND(VALUE(SUBSTITUTE(Table3[[#This Row],[Min Speed (mph)]]," mph",""))*Lookups!$L$2,0)</f>
        <v>29</v>
      </c>
      <c r="L49" s="17">
        <f>ROUND(VALUE(SUBSTITUTE(Table3[[#This Row],[Speed]]," mph",""))*Lookups!$L$2,0)</f>
        <v>45</v>
      </c>
      <c r="M49" s="17" t="str">
        <f>Table3[[#This Row],[Min Speed (km/h)]]&amp;" – "&amp;Table3[[#This Row],[Max Speed (km/h)]]&amp;" km/h"</f>
        <v>29 – 45 km/h</v>
      </c>
      <c r="N49" s="18">
        <f>IF(ISNUMBER(SEARCH("mile",Table3[[#This Row],[Distance]])),ROUND(VALUE(SUBSTITUTE(Table3[[#This Row],[Distance]]," miles",""))*Lookups!$L$3,0),ROUND(VALUE(SUBSTITUTE(Table3[[#This Row],[Distance]]," meters",""))*Lookups!$L$4,0))</f>
        <v>40</v>
      </c>
      <c r="O49" s="16" t="s">
        <v>63</v>
      </c>
      <c r="P49" s="16" t="str">
        <f>TRIM(LEFT(Table3[[#This Row],[Shipping Address]],FIND(",",Table3[[#This Row],[Shipping Address]])-1))</f>
        <v>58 Boulevard Saint-Germain</v>
      </c>
      <c r="Q49" s="16" t="str">
        <f>TRIM(MID(Table3[[#This Row],[Shipping Address]],FIND(",",Table3[[#This Row],[Shipping Address]])+1,FIND(",",Table3[[#This Row],[Shipping Address]],FIND(",",Table3[[#This Row],[Shipping Address]])+1)-FIND(",",Table3[[#This Row],[Shipping Address]])-1))</f>
        <v>Paris</v>
      </c>
      <c r="R49" s="16" t="str">
        <f>TRIM(MID(Table3[[#This Row],[Shipping Address]],FIND(",",Table3[[#This Row],[Shipping Address]],FIND(",",Table3[[#This Row],[Shipping Address]])+1)+1,20))</f>
        <v>75005</v>
      </c>
      <c r="S49" s="16" t="s">
        <v>58</v>
      </c>
      <c r="T49" s="16" t="str">
        <f>_xlfn.IFNA(_xlfn.XLOOKUP(Table3[[#This Row],[Country Code]],Lookups!$A$2:$A$5,Lookups!$B$2:$B$5),"CHECK CODE")</f>
        <v>France</v>
      </c>
      <c r="U49" s="16" t="str">
        <f>_xlfn.IFNA(_xlfn.XLOOKUP(Table3[[#This Row],[Country Code]],Lookups!$A$2:$A$5,Lookups!$C$2:$C$5),"CHECK CODE")</f>
        <v>Europe</v>
      </c>
      <c r="V49" s="16" t="s">
        <v>64</v>
      </c>
      <c r="W49" s="16" t="str">
        <f>_xlfn.IFNA(_xlfn.XLOOKUP(Table3[[#This Row],[Country Code]],Lookups!$A$2:$A$5,Lookups!$D$2:$D$5),"CHECK CODE")</f>
        <v>EUR</v>
      </c>
      <c r="X49" s="16">
        <f>VALUE(MID(Table3[[#This Row],[Unit Price]],2,50))</f>
        <v>1050</v>
      </c>
      <c r="Y49" s="19">
        <f>_xlfn.IFNA(_xlfn.XLOOKUP(Table3[[#This Row],[Country Code]],Lookups!$A$2:$A$5,Lookups!$E$2:$E$5),"")</f>
        <v>1</v>
      </c>
      <c r="Z49" s="87">
        <f>Table3[[#This Row],[Unit Price (local)]]/Table3[[#This Row],[FX Rate (per EUR)]]</f>
        <v>1050</v>
      </c>
      <c r="AA49" s="16">
        <v>230</v>
      </c>
      <c r="AB49" s="20">
        <v>0</v>
      </c>
      <c r="AC49" s="21">
        <f>ROUND(Table3[[#This Row],[Unit Price (EUR)]]*Table3[[#This Row],[Units Sold]],0)</f>
        <v>241500</v>
      </c>
      <c r="AD49" s="22">
        <f>ROUND(Table3[[#This Row],[Gross Sales (EUR)]]*(1-Table3[[#This Row],[Discount (%)]]/100),0)</f>
        <v>241500</v>
      </c>
      <c r="AE49" s="22">
        <f>_xlfn.IFNA(_xlfn.XLOOKUP(Table3[[#This Row],[Month]],Lookups!$N$2:$N$13,Lookups!$O$2:$O$13),"CHECK MONTH")</f>
        <v>4</v>
      </c>
      <c r="AF49" s="22" t="str">
        <f>TEXT(Table3[[#This Row],[Month No]],"00")&amp;" - "&amp;Table3[[#This Row],[Month]]</f>
        <v>04 - April</v>
      </c>
      <c r="AG49" s="22" t="str">
        <f>_xlfn.IFNA(_xlfn.XLOOKUP(Table3[[#This Row],[Month]],Lookups!$N$2:$N$13,Lookups!$P$2:$P$13),"CHECK MONTH")</f>
        <v>Q2</v>
      </c>
      <c r="AH49" s="22">
        <f>Table3[[#This Row],[Gross Sales (EUR)]]-Table3[[#This Row],[Total Sales (EUR)]]</f>
        <v>0</v>
      </c>
      <c r="AI49" s="89">
        <f>DATE(Lookups!$O$15,Table3[[#This Row],[Month No]],1)</f>
        <v>45748</v>
      </c>
    </row>
    <row r="50" spans="1:35" x14ac:dyDescent="0.3">
      <c r="A50" s="15">
        <v>49</v>
      </c>
      <c r="B50" s="16" t="s">
        <v>13</v>
      </c>
      <c r="C50" s="16" t="s">
        <v>14</v>
      </c>
      <c r="D50" s="16" t="str">
        <f>TRIM(Table3[[#This Row],[Rep Last Name]])&amp;", "&amp;TRIM(Table3[[#This Row],[Rep First Name]])</f>
        <v>Joshi, Sanya</v>
      </c>
      <c r="E50" s="16" t="s">
        <v>68</v>
      </c>
      <c r="F50" s="16" t="s">
        <v>16</v>
      </c>
      <c r="G50" s="16" t="s">
        <v>17</v>
      </c>
      <c r="H50" s="16" t="str">
        <f>IF(Table3[[#This Row],[Min Speed (original, incomplete)]]="",_xlfn.IFNA(_xlfn.XLOOKUP(Table3[[#This Row],[Product Type]],Lookups!$G$2:$G$4,Lookups!$H$2:$H$4),"CHECK PRODUCT"),Table3[[#This Row],[Min Speed (original, incomplete)]])</f>
        <v>15 mph</v>
      </c>
      <c r="I50" s="16" t="s">
        <v>18</v>
      </c>
      <c r="J50" s="16" t="s">
        <v>19</v>
      </c>
      <c r="K50" s="17">
        <f>ROUND(VALUE(SUBSTITUTE(Table3[[#This Row],[Min Speed (mph)]]," mph",""))*Lookups!$L$2,0)</f>
        <v>24</v>
      </c>
      <c r="L50" s="17">
        <f>ROUND(VALUE(SUBSTITUTE(Table3[[#This Row],[Speed]]," mph",""))*Lookups!$L$2,0)</f>
        <v>48</v>
      </c>
      <c r="M50" s="17" t="str">
        <f>Table3[[#This Row],[Min Speed (km/h)]]&amp;" – "&amp;Table3[[#This Row],[Max Speed (km/h)]]&amp;" km/h"</f>
        <v>24 – 48 km/h</v>
      </c>
      <c r="N50" s="18">
        <f>IF(ISNUMBER(SEARCH("mile",Table3[[#This Row],[Distance]])),ROUND(VALUE(SUBSTITUTE(Table3[[#This Row],[Distance]]," miles",""))*Lookups!$L$3,0),ROUND(VALUE(SUBSTITUTE(Table3[[#This Row],[Distance]]," meters",""))*Lookups!$L$4,0))</f>
        <v>48</v>
      </c>
      <c r="O50" s="16" t="s">
        <v>20</v>
      </c>
      <c r="P50" s="16" t="str">
        <f>TRIM(LEFT(Table3[[#This Row],[Shipping Address]],FIND(",",Table3[[#This Row],[Shipping Address]])-1))</f>
        <v>456 Brigade Road</v>
      </c>
      <c r="Q50" s="16" t="str">
        <f>TRIM(MID(Table3[[#This Row],[Shipping Address]],FIND(",",Table3[[#This Row],[Shipping Address]])+1,FIND(",",Table3[[#This Row],[Shipping Address]],FIND(",",Table3[[#This Row],[Shipping Address]])+1)-FIND(",",Table3[[#This Row],[Shipping Address]])-1))</f>
        <v>Bengaluru</v>
      </c>
      <c r="R50" s="16" t="str">
        <f>TRIM(MID(Table3[[#This Row],[Shipping Address]],FIND(",",Table3[[#This Row],[Shipping Address]],FIND(",",Table3[[#This Row],[Shipping Address]])+1)+1,20))</f>
        <v>560001</v>
      </c>
      <c r="S50" s="16" t="s">
        <v>21</v>
      </c>
      <c r="T50" s="16" t="str">
        <f>_xlfn.IFNA(_xlfn.XLOOKUP(Table3[[#This Row],[Country Code]],Lookups!$A$2:$A$5,Lookups!$B$2:$B$5),"CHECK CODE")</f>
        <v>India</v>
      </c>
      <c r="U50" s="16" t="str">
        <f>_xlfn.IFNA(_xlfn.XLOOKUP(Table3[[#This Row],[Country Code]],Lookups!$A$2:$A$5,Lookups!$C$2:$C$5),"CHECK CODE")</f>
        <v>Asia</v>
      </c>
      <c r="V50" s="16" t="s">
        <v>22</v>
      </c>
      <c r="W50" s="16" t="str">
        <f>_xlfn.IFNA(_xlfn.XLOOKUP(Table3[[#This Row],[Country Code]],Lookups!$A$2:$A$5,Lookups!$D$2:$D$5),"CHECK CODE")</f>
        <v>INR</v>
      </c>
      <c r="X50" s="16">
        <f>VALUE(MID(Table3[[#This Row],[Unit Price]],2,50))</f>
        <v>30000</v>
      </c>
      <c r="Y50" s="19">
        <f>_xlfn.IFNA(_xlfn.XLOOKUP(Table3[[#This Row],[Country Code]],Lookups!$A$2:$A$5,Lookups!$E$2:$E$5),"")</f>
        <v>109.88200000000001</v>
      </c>
      <c r="Z50" s="87">
        <f>Table3[[#This Row],[Unit Price (local)]]/Table3[[#This Row],[FX Rate (per EUR)]]</f>
        <v>273.02014888698784</v>
      </c>
      <c r="AA50" s="16">
        <v>200</v>
      </c>
      <c r="AB50" s="20">
        <v>0</v>
      </c>
      <c r="AC50" s="21">
        <f>ROUND(Table3[[#This Row],[Unit Price (EUR)]]*Table3[[#This Row],[Units Sold]],0)</f>
        <v>54604</v>
      </c>
      <c r="AD50" s="22">
        <f>ROUND(Table3[[#This Row],[Gross Sales (EUR)]]*(1-Table3[[#This Row],[Discount (%)]]/100),0)</f>
        <v>54604</v>
      </c>
      <c r="AE50" s="22">
        <f>_xlfn.IFNA(_xlfn.XLOOKUP(Table3[[#This Row],[Month]],Lookups!$N$2:$N$13,Lookups!$O$2:$O$13),"CHECK MONTH")</f>
        <v>5</v>
      </c>
      <c r="AF50" s="22" t="str">
        <f>TEXT(Table3[[#This Row],[Month No]],"00")&amp;" - "&amp;Table3[[#This Row],[Month]]</f>
        <v>05 - May</v>
      </c>
      <c r="AG50" s="22" t="str">
        <f>_xlfn.IFNA(_xlfn.XLOOKUP(Table3[[#This Row],[Month]],Lookups!$N$2:$N$13,Lookups!$P$2:$P$13),"CHECK MONTH")</f>
        <v>Q2</v>
      </c>
      <c r="AH50" s="22">
        <f>Table3[[#This Row],[Gross Sales (EUR)]]-Table3[[#This Row],[Total Sales (EUR)]]</f>
        <v>0</v>
      </c>
      <c r="AI50" s="89">
        <f>DATE(Lookups!$O$15,Table3[[#This Row],[Month No]],1)</f>
        <v>45778</v>
      </c>
    </row>
    <row r="51" spans="1:35" x14ac:dyDescent="0.3">
      <c r="A51" s="15">
        <v>50</v>
      </c>
      <c r="B51" s="16" t="s">
        <v>13</v>
      </c>
      <c r="C51" s="16" t="s">
        <v>14</v>
      </c>
      <c r="D51" s="16" t="str">
        <f>TRIM(Table3[[#This Row],[Rep Last Name]])&amp;", "&amp;TRIM(Table3[[#This Row],[Rep First Name]])</f>
        <v>Joshi, Sanya</v>
      </c>
      <c r="E51" s="16" t="s">
        <v>68</v>
      </c>
      <c r="F51" s="16" t="s">
        <v>23</v>
      </c>
      <c r="G51" s="16" t="s">
        <v>24</v>
      </c>
      <c r="H51" s="16" t="str">
        <f>IF(Table3[[#This Row],[Min Speed (original, incomplete)]]="",_xlfn.IFNA(_xlfn.XLOOKUP(Table3[[#This Row],[Product Type]],Lookups!$G$2:$G$4,Lookups!$H$2:$H$4),"CHECK PRODUCT"),Table3[[#This Row],[Min Speed (original, incomplete)]])</f>
        <v>20 mph</v>
      </c>
      <c r="I51" s="16" t="s">
        <v>25</v>
      </c>
      <c r="J51" s="16" t="s">
        <v>26</v>
      </c>
      <c r="K51" s="17">
        <f>ROUND(VALUE(SUBSTITUTE(Table3[[#This Row],[Min Speed (mph)]]," mph",""))*Lookups!$L$2,0)</f>
        <v>32</v>
      </c>
      <c r="L51" s="17">
        <f>ROUND(VALUE(SUBSTITUTE(Table3[[#This Row],[Speed]]," mph",""))*Lookups!$L$2,0)</f>
        <v>56</v>
      </c>
      <c r="M51" s="17" t="str">
        <f>Table3[[#This Row],[Min Speed (km/h)]]&amp;" – "&amp;Table3[[#This Row],[Max Speed (km/h)]]&amp;" km/h"</f>
        <v>32 – 56 km/h</v>
      </c>
      <c r="N51" s="18">
        <f>IF(ISNUMBER(SEARCH("mile",Table3[[#This Row],[Distance]])),ROUND(VALUE(SUBSTITUTE(Table3[[#This Row],[Distance]]," miles",""))*Lookups!$L$3,0),ROUND(VALUE(SUBSTITUTE(Table3[[#This Row],[Distance]]," meters",""))*Lookups!$L$4,0))</f>
        <v>64</v>
      </c>
      <c r="O51" s="16" t="s">
        <v>27</v>
      </c>
      <c r="P51" s="16" t="str">
        <f>TRIM(LEFT(Table3[[#This Row],[Shipping Address]],FIND(",",Table3[[#This Row],[Shipping Address]])-1))</f>
        <v>457 Brigade Road</v>
      </c>
      <c r="Q51" s="16" t="str">
        <f>TRIM(MID(Table3[[#This Row],[Shipping Address]],FIND(",",Table3[[#This Row],[Shipping Address]])+1,FIND(",",Table3[[#This Row],[Shipping Address]],FIND(",",Table3[[#This Row],[Shipping Address]])+1)-FIND(",",Table3[[#This Row],[Shipping Address]])-1))</f>
        <v>Bengaluru</v>
      </c>
      <c r="R51" s="16" t="str">
        <f>TRIM(MID(Table3[[#This Row],[Shipping Address]],FIND(",",Table3[[#This Row],[Shipping Address]],FIND(",",Table3[[#This Row],[Shipping Address]])+1)+1,20))</f>
        <v>560001</v>
      </c>
      <c r="S51" s="16" t="s">
        <v>21</v>
      </c>
      <c r="T51" s="16" t="str">
        <f>_xlfn.IFNA(_xlfn.XLOOKUP(Table3[[#This Row],[Country Code]],Lookups!$A$2:$A$5,Lookups!$B$2:$B$5),"CHECK CODE")</f>
        <v>India</v>
      </c>
      <c r="U51" s="16" t="str">
        <f>_xlfn.IFNA(_xlfn.XLOOKUP(Table3[[#This Row],[Country Code]],Lookups!$A$2:$A$5,Lookups!$C$2:$C$5),"CHECK CODE")</f>
        <v>Asia</v>
      </c>
      <c r="V51" s="16" t="s">
        <v>28</v>
      </c>
      <c r="W51" s="16" t="str">
        <f>_xlfn.IFNA(_xlfn.XLOOKUP(Table3[[#This Row],[Country Code]],Lookups!$A$2:$A$5,Lookups!$D$2:$D$5),"CHECK CODE")</f>
        <v>INR</v>
      </c>
      <c r="X51" s="16">
        <f>VALUE(MID(Table3[[#This Row],[Unit Price]],2,50))</f>
        <v>25000</v>
      </c>
      <c r="Y51" s="19">
        <f>_xlfn.IFNA(_xlfn.XLOOKUP(Table3[[#This Row],[Country Code]],Lookups!$A$2:$A$5,Lookups!$E$2:$E$5),"")</f>
        <v>109.88200000000001</v>
      </c>
      <c r="Z51" s="87">
        <f>Table3[[#This Row],[Unit Price (local)]]/Table3[[#This Row],[FX Rate (per EUR)]]</f>
        <v>227.51679073915653</v>
      </c>
      <c r="AA51" s="16">
        <v>450</v>
      </c>
      <c r="AB51" s="20">
        <v>0</v>
      </c>
      <c r="AC51" s="21">
        <f>ROUND(Table3[[#This Row],[Unit Price (EUR)]]*Table3[[#This Row],[Units Sold]],0)</f>
        <v>102383</v>
      </c>
      <c r="AD51" s="22">
        <f>ROUND(Table3[[#This Row],[Gross Sales (EUR)]]*(1-Table3[[#This Row],[Discount (%)]]/100),0)</f>
        <v>102383</v>
      </c>
      <c r="AE51" s="22">
        <f>_xlfn.IFNA(_xlfn.XLOOKUP(Table3[[#This Row],[Month]],Lookups!$N$2:$N$13,Lookups!$O$2:$O$13),"CHECK MONTH")</f>
        <v>5</v>
      </c>
      <c r="AF51" s="22" t="str">
        <f>TEXT(Table3[[#This Row],[Month No]],"00")&amp;" - "&amp;Table3[[#This Row],[Month]]</f>
        <v>05 - May</v>
      </c>
      <c r="AG51" s="22" t="str">
        <f>_xlfn.IFNA(_xlfn.XLOOKUP(Table3[[#This Row],[Month]],Lookups!$N$2:$N$13,Lookups!$P$2:$P$13),"CHECK MONTH")</f>
        <v>Q2</v>
      </c>
      <c r="AH51" s="22">
        <f>Table3[[#This Row],[Gross Sales (EUR)]]-Table3[[#This Row],[Total Sales (EUR)]]</f>
        <v>0</v>
      </c>
      <c r="AI51" s="89">
        <f>DATE(Lookups!$O$15,Table3[[#This Row],[Month No]],1)</f>
        <v>45778</v>
      </c>
    </row>
    <row r="52" spans="1:35" x14ac:dyDescent="0.3">
      <c r="A52" s="15">
        <v>51</v>
      </c>
      <c r="B52" s="16" t="s">
        <v>13</v>
      </c>
      <c r="C52" s="16" t="s">
        <v>14</v>
      </c>
      <c r="D52" s="16" t="str">
        <f>TRIM(Table3[[#This Row],[Rep Last Name]])&amp;", "&amp;TRIM(Table3[[#This Row],[Rep First Name]])</f>
        <v>Joshi, Sanya</v>
      </c>
      <c r="E52" s="16" t="s">
        <v>68</v>
      </c>
      <c r="F52" s="16" t="s">
        <v>29</v>
      </c>
      <c r="G52" s="16" t="s">
        <v>30</v>
      </c>
      <c r="H52" s="16" t="str">
        <f>IF(Table3[[#This Row],[Min Speed (original, incomplete)]]="",_xlfn.IFNA(_xlfn.XLOOKUP(Table3[[#This Row],[Product Type]],Lookups!$G$2:$G$4,Lookups!$H$2:$H$4),"CHECK PRODUCT"),Table3[[#This Row],[Min Speed (original, incomplete)]])</f>
        <v>18 mph</v>
      </c>
      <c r="I52" s="16" t="s">
        <v>31</v>
      </c>
      <c r="J52" s="16" t="s">
        <v>32</v>
      </c>
      <c r="K52" s="17">
        <f>ROUND(VALUE(SUBSTITUTE(Table3[[#This Row],[Min Speed (mph)]]," mph",""))*Lookups!$L$2,0)</f>
        <v>29</v>
      </c>
      <c r="L52" s="17">
        <f>ROUND(VALUE(SUBSTITUTE(Table3[[#This Row],[Speed]]," mph",""))*Lookups!$L$2,0)</f>
        <v>45</v>
      </c>
      <c r="M52" s="17" t="str">
        <f>Table3[[#This Row],[Min Speed (km/h)]]&amp;" – "&amp;Table3[[#This Row],[Max Speed (km/h)]]&amp;" km/h"</f>
        <v>29 – 45 km/h</v>
      </c>
      <c r="N52" s="18">
        <f>IF(ISNUMBER(SEARCH("mile",Table3[[#This Row],[Distance]])),ROUND(VALUE(SUBSTITUTE(Table3[[#This Row],[Distance]]," miles",""))*Lookups!$L$3,0),ROUND(VALUE(SUBSTITUTE(Table3[[#This Row],[Distance]]," meters",""))*Lookups!$L$4,0))</f>
        <v>40</v>
      </c>
      <c r="O52" s="16" t="s">
        <v>33</v>
      </c>
      <c r="P52" s="16" t="str">
        <f>TRIM(LEFT(Table3[[#This Row],[Shipping Address]],FIND(",",Table3[[#This Row],[Shipping Address]])-1))</f>
        <v>458 Brigade Road</v>
      </c>
      <c r="Q52" s="16" t="str">
        <f>TRIM(MID(Table3[[#This Row],[Shipping Address]],FIND(",",Table3[[#This Row],[Shipping Address]])+1,FIND(",",Table3[[#This Row],[Shipping Address]],FIND(",",Table3[[#This Row],[Shipping Address]])+1)-FIND(",",Table3[[#This Row],[Shipping Address]])-1))</f>
        <v>Bengaluru</v>
      </c>
      <c r="R52" s="16" t="str">
        <f>TRIM(MID(Table3[[#This Row],[Shipping Address]],FIND(",",Table3[[#This Row],[Shipping Address]],FIND(",",Table3[[#This Row],[Shipping Address]])+1)+1,20))</f>
        <v>560001</v>
      </c>
      <c r="S52" s="16" t="s">
        <v>21</v>
      </c>
      <c r="T52" s="16" t="str">
        <f>_xlfn.IFNA(_xlfn.XLOOKUP(Table3[[#This Row],[Country Code]],Lookups!$A$2:$A$5,Lookups!$B$2:$B$5),"CHECK CODE")</f>
        <v>India</v>
      </c>
      <c r="U52" s="16" t="str">
        <f>_xlfn.IFNA(_xlfn.XLOOKUP(Table3[[#This Row],[Country Code]],Lookups!$A$2:$A$5,Lookups!$C$2:$C$5),"CHECK CODE")</f>
        <v>Asia</v>
      </c>
      <c r="V52" s="16" t="s">
        <v>34</v>
      </c>
      <c r="W52" s="16" t="str">
        <f>_xlfn.IFNA(_xlfn.XLOOKUP(Table3[[#This Row],[Country Code]],Lookups!$A$2:$A$5,Lookups!$D$2:$D$5),"CHECK CODE")</f>
        <v>INR</v>
      </c>
      <c r="X52" s="16">
        <f>VALUE(MID(Table3[[#This Row],[Unit Price]],2,50))</f>
        <v>22000</v>
      </c>
      <c r="Y52" s="19">
        <f>_xlfn.IFNA(_xlfn.XLOOKUP(Table3[[#This Row],[Country Code]],Lookups!$A$2:$A$5,Lookups!$E$2:$E$5),"")</f>
        <v>109.88200000000001</v>
      </c>
      <c r="Z52" s="87">
        <f>Table3[[#This Row],[Unit Price (local)]]/Table3[[#This Row],[FX Rate (per EUR)]]</f>
        <v>200.21477585045776</v>
      </c>
      <c r="AA52" s="16">
        <v>350</v>
      </c>
      <c r="AB52" s="20">
        <v>0</v>
      </c>
      <c r="AC52" s="21">
        <f>ROUND(Table3[[#This Row],[Unit Price (EUR)]]*Table3[[#This Row],[Units Sold]],0)</f>
        <v>70075</v>
      </c>
      <c r="AD52" s="22">
        <f>ROUND(Table3[[#This Row],[Gross Sales (EUR)]]*(1-Table3[[#This Row],[Discount (%)]]/100),0)</f>
        <v>70075</v>
      </c>
      <c r="AE52" s="22">
        <f>_xlfn.IFNA(_xlfn.XLOOKUP(Table3[[#This Row],[Month]],Lookups!$N$2:$N$13,Lookups!$O$2:$O$13),"CHECK MONTH")</f>
        <v>5</v>
      </c>
      <c r="AF52" s="22" t="str">
        <f>TEXT(Table3[[#This Row],[Month No]],"00")&amp;" - "&amp;Table3[[#This Row],[Month]]</f>
        <v>05 - May</v>
      </c>
      <c r="AG52" s="22" t="str">
        <f>_xlfn.IFNA(_xlfn.XLOOKUP(Table3[[#This Row],[Month]],Lookups!$N$2:$N$13,Lookups!$P$2:$P$13),"CHECK MONTH")</f>
        <v>Q2</v>
      </c>
      <c r="AH52" s="22">
        <f>Table3[[#This Row],[Gross Sales (EUR)]]-Table3[[#This Row],[Total Sales (EUR)]]</f>
        <v>0</v>
      </c>
      <c r="AI52" s="89">
        <f>DATE(Lookups!$O$15,Table3[[#This Row],[Month No]],1)</f>
        <v>45778</v>
      </c>
    </row>
    <row r="53" spans="1:35" x14ac:dyDescent="0.3">
      <c r="A53" s="15">
        <v>52</v>
      </c>
      <c r="B53" s="16" t="s">
        <v>35</v>
      </c>
      <c r="C53" s="16" t="s">
        <v>36</v>
      </c>
      <c r="D53" s="16" t="str">
        <f>TRIM(Table3[[#This Row],[Rep Last Name]])&amp;", "&amp;TRIM(Table3[[#This Row],[Rep First Name]])</f>
        <v>Liu, Fang</v>
      </c>
      <c r="E53" s="16" t="s">
        <v>68</v>
      </c>
      <c r="F53" s="16" t="s">
        <v>16</v>
      </c>
      <c r="G53" s="16" t="s">
        <v>17</v>
      </c>
      <c r="H53" s="16" t="str">
        <f>IF(Table3[[#This Row],[Min Speed (original, incomplete)]]="",_xlfn.IFNA(_xlfn.XLOOKUP(Table3[[#This Row],[Product Type]],Lookups!$G$2:$G$4,Lookups!$H$2:$H$4),"CHECK PRODUCT"),Table3[[#This Row],[Min Speed (original, incomplete)]])</f>
        <v>15 mph</v>
      </c>
      <c r="I53" s="16" t="s">
        <v>18</v>
      </c>
      <c r="J53" s="16" t="s">
        <v>47</v>
      </c>
      <c r="K53" s="17">
        <f>ROUND(VALUE(SUBSTITUTE(Table3[[#This Row],[Min Speed (mph)]]," mph",""))*Lookups!$L$2,0)</f>
        <v>24</v>
      </c>
      <c r="L53" s="17">
        <f>ROUND(VALUE(SUBSTITUTE(Table3[[#This Row],[Speed]]," mph",""))*Lookups!$L$2,0)</f>
        <v>48</v>
      </c>
      <c r="M53" s="17" t="str">
        <f>Table3[[#This Row],[Min Speed (km/h)]]&amp;" – "&amp;Table3[[#This Row],[Max Speed (km/h)]]&amp;" km/h"</f>
        <v>24 – 48 km/h</v>
      </c>
      <c r="N53" s="18">
        <f>IF(ISNUMBER(SEARCH("mile",Table3[[#This Row],[Distance]])),ROUND(VALUE(SUBSTITUTE(Table3[[#This Row],[Distance]]," miles",""))*Lookups!$L$3,0),ROUND(VALUE(SUBSTITUTE(Table3[[#This Row],[Distance]]," meters",""))*Lookups!$L$4,0))</f>
        <v>48</v>
      </c>
      <c r="O53" s="16" t="s">
        <v>37</v>
      </c>
      <c r="P53" s="16" t="str">
        <f>TRIM(LEFT(Table3[[#This Row],[Shipping Address]],FIND(",",Table3[[#This Row],[Shipping Address]])-1))</f>
        <v>99 Nanjing Road</v>
      </c>
      <c r="Q53" s="16" t="str">
        <f>TRIM(MID(Table3[[#This Row],[Shipping Address]],FIND(",",Table3[[#This Row],[Shipping Address]])+1,FIND(",",Table3[[#This Row],[Shipping Address]],FIND(",",Table3[[#This Row],[Shipping Address]])+1)-FIND(",",Table3[[#This Row],[Shipping Address]])-1))</f>
        <v>Shanghai</v>
      </c>
      <c r="R53" s="16" t="str">
        <f>TRIM(MID(Table3[[#This Row],[Shipping Address]],FIND(",",Table3[[#This Row],[Shipping Address]],FIND(",",Table3[[#This Row],[Shipping Address]])+1)+1,20))</f>
        <v>200001</v>
      </c>
      <c r="S53" s="16" t="s">
        <v>38</v>
      </c>
      <c r="T53" s="16" t="str">
        <f>_xlfn.IFNA(_xlfn.XLOOKUP(Table3[[#This Row],[Country Code]],Lookups!$A$2:$A$5,Lookups!$B$2:$B$5),"CHECK CODE")</f>
        <v>China</v>
      </c>
      <c r="U53" s="16" t="str">
        <f>_xlfn.IFNA(_xlfn.XLOOKUP(Table3[[#This Row],[Country Code]],Lookups!$A$2:$A$5,Lookups!$C$2:$C$5),"CHECK CODE")</f>
        <v>Asia</v>
      </c>
      <c r="V53" s="16" t="s">
        <v>39</v>
      </c>
      <c r="W53" s="16" t="str">
        <f>_xlfn.IFNA(_xlfn.XLOOKUP(Table3[[#This Row],[Country Code]],Lookups!$A$2:$A$5,Lookups!$D$2:$D$5),"CHECK CODE")</f>
        <v>CNY</v>
      </c>
      <c r="X53" s="16">
        <f>VALUE(MID(Table3[[#This Row],[Unit Price]],2,50))</f>
        <v>5000</v>
      </c>
      <c r="Y53" s="19">
        <f>_xlfn.IFNA(_xlfn.XLOOKUP(Table3[[#This Row],[Country Code]],Lookups!$A$2:$A$5,Lookups!$E$2:$E$5),"")</f>
        <v>7.7255000000000003</v>
      </c>
      <c r="Z53" s="87">
        <f>Table3[[#This Row],[Unit Price (local)]]/Table3[[#This Row],[FX Rate (per EUR)]]</f>
        <v>647.20730049834958</v>
      </c>
      <c r="AA53" s="16">
        <v>700</v>
      </c>
      <c r="AB53" s="20">
        <v>0</v>
      </c>
      <c r="AC53" s="21">
        <f>ROUND(Table3[[#This Row],[Unit Price (EUR)]]*Table3[[#This Row],[Units Sold]],0)</f>
        <v>453045</v>
      </c>
      <c r="AD53" s="22">
        <f>ROUND(Table3[[#This Row],[Gross Sales (EUR)]]*(1-Table3[[#This Row],[Discount (%)]]/100),0)</f>
        <v>453045</v>
      </c>
      <c r="AE53" s="22">
        <f>_xlfn.IFNA(_xlfn.XLOOKUP(Table3[[#This Row],[Month]],Lookups!$N$2:$N$13,Lookups!$O$2:$O$13),"CHECK MONTH")</f>
        <v>5</v>
      </c>
      <c r="AF53" s="22" t="str">
        <f>TEXT(Table3[[#This Row],[Month No]],"00")&amp;" - "&amp;Table3[[#This Row],[Month]]</f>
        <v>05 - May</v>
      </c>
      <c r="AG53" s="22" t="str">
        <f>_xlfn.IFNA(_xlfn.XLOOKUP(Table3[[#This Row],[Month]],Lookups!$N$2:$N$13,Lookups!$P$2:$P$13),"CHECK MONTH")</f>
        <v>Q2</v>
      </c>
      <c r="AH53" s="22">
        <f>Table3[[#This Row],[Gross Sales (EUR)]]-Table3[[#This Row],[Total Sales (EUR)]]</f>
        <v>0</v>
      </c>
      <c r="AI53" s="89">
        <f>DATE(Lookups!$O$15,Table3[[#This Row],[Month No]],1)</f>
        <v>45778</v>
      </c>
    </row>
    <row r="54" spans="1:35" x14ac:dyDescent="0.3">
      <c r="A54" s="15">
        <v>53</v>
      </c>
      <c r="B54" s="16" t="s">
        <v>35</v>
      </c>
      <c r="C54" s="16" t="s">
        <v>36</v>
      </c>
      <c r="D54" s="16" t="str">
        <f>TRIM(Table3[[#This Row],[Rep Last Name]])&amp;", "&amp;TRIM(Table3[[#This Row],[Rep First Name]])</f>
        <v>Liu, Fang</v>
      </c>
      <c r="E54" s="16" t="s">
        <v>68</v>
      </c>
      <c r="F54" s="16" t="s">
        <v>23</v>
      </c>
      <c r="G54" s="16" t="s">
        <v>24</v>
      </c>
      <c r="H54" s="16" t="str">
        <f>IF(Table3[[#This Row],[Min Speed (original, incomplete)]]="",_xlfn.IFNA(_xlfn.XLOOKUP(Table3[[#This Row],[Product Type]],Lookups!$G$2:$G$4,Lookups!$H$2:$H$4),"CHECK PRODUCT"),Table3[[#This Row],[Min Speed (original, incomplete)]])</f>
        <v>20 mph</v>
      </c>
      <c r="I54" s="16" t="s">
        <v>25</v>
      </c>
      <c r="J54" s="16" t="s">
        <v>26</v>
      </c>
      <c r="K54" s="17">
        <f>ROUND(VALUE(SUBSTITUTE(Table3[[#This Row],[Min Speed (mph)]]," mph",""))*Lookups!$L$2,0)</f>
        <v>32</v>
      </c>
      <c r="L54" s="17">
        <f>ROUND(VALUE(SUBSTITUTE(Table3[[#This Row],[Speed]]," mph",""))*Lookups!$L$2,0)</f>
        <v>56</v>
      </c>
      <c r="M54" s="17" t="str">
        <f>Table3[[#This Row],[Min Speed (km/h)]]&amp;" – "&amp;Table3[[#This Row],[Max Speed (km/h)]]&amp;" km/h"</f>
        <v>32 – 56 km/h</v>
      </c>
      <c r="N54" s="18">
        <f>IF(ISNUMBER(SEARCH("mile",Table3[[#This Row],[Distance]])),ROUND(VALUE(SUBSTITUTE(Table3[[#This Row],[Distance]]," miles",""))*Lookups!$L$3,0),ROUND(VALUE(SUBSTITUTE(Table3[[#This Row],[Distance]]," meters",""))*Lookups!$L$4,0))</f>
        <v>64</v>
      </c>
      <c r="O54" s="16" t="s">
        <v>40</v>
      </c>
      <c r="P54" s="16" t="str">
        <f>TRIM(LEFT(Table3[[#This Row],[Shipping Address]],FIND(",",Table3[[#This Row],[Shipping Address]])-1))</f>
        <v>100 Nanjing Road</v>
      </c>
      <c r="Q54" s="16" t="str">
        <f>TRIM(MID(Table3[[#This Row],[Shipping Address]],FIND(",",Table3[[#This Row],[Shipping Address]])+1,FIND(",",Table3[[#This Row],[Shipping Address]],FIND(",",Table3[[#This Row],[Shipping Address]])+1)-FIND(",",Table3[[#This Row],[Shipping Address]])-1))</f>
        <v>Shanghai</v>
      </c>
      <c r="R54" s="16" t="str">
        <f>TRIM(MID(Table3[[#This Row],[Shipping Address]],FIND(",",Table3[[#This Row],[Shipping Address]],FIND(",",Table3[[#This Row],[Shipping Address]])+1)+1,20))</f>
        <v>200001</v>
      </c>
      <c r="S54" s="16" t="s">
        <v>38</v>
      </c>
      <c r="T54" s="16" t="str">
        <f>_xlfn.IFNA(_xlfn.XLOOKUP(Table3[[#This Row],[Country Code]],Lookups!$A$2:$A$5,Lookups!$B$2:$B$5),"CHECK CODE")</f>
        <v>China</v>
      </c>
      <c r="U54" s="16" t="str">
        <f>_xlfn.IFNA(_xlfn.XLOOKUP(Table3[[#This Row],[Country Code]],Lookups!$A$2:$A$5,Lookups!$C$2:$C$5),"CHECK CODE")</f>
        <v>Asia</v>
      </c>
      <c r="V54" s="16" t="s">
        <v>41</v>
      </c>
      <c r="W54" s="16" t="str">
        <f>_xlfn.IFNA(_xlfn.XLOOKUP(Table3[[#This Row],[Country Code]],Lookups!$A$2:$A$5,Lookups!$D$2:$D$5),"CHECK CODE")</f>
        <v>CNY</v>
      </c>
      <c r="X54" s="16">
        <f>VALUE(MID(Table3[[#This Row],[Unit Price]],2,50))</f>
        <v>3500</v>
      </c>
      <c r="Y54" s="19">
        <f>_xlfn.IFNA(_xlfn.XLOOKUP(Table3[[#This Row],[Country Code]],Lookups!$A$2:$A$5,Lookups!$E$2:$E$5),"")</f>
        <v>7.7255000000000003</v>
      </c>
      <c r="Z54" s="87">
        <f>Table3[[#This Row],[Unit Price (local)]]/Table3[[#This Row],[FX Rate (per EUR)]]</f>
        <v>453.04511034884473</v>
      </c>
      <c r="AA54" s="16">
        <v>1600</v>
      </c>
      <c r="AB54" s="20">
        <v>0</v>
      </c>
      <c r="AC54" s="21">
        <f>ROUND(Table3[[#This Row],[Unit Price (EUR)]]*Table3[[#This Row],[Units Sold]],0)</f>
        <v>724872</v>
      </c>
      <c r="AD54" s="22">
        <f>ROUND(Table3[[#This Row],[Gross Sales (EUR)]]*(1-Table3[[#This Row],[Discount (%)]]/100),0)</f>
        <v>724872</v>
      </c>
      <c r="AE54" s="22">
        <f>_xlfn.IFNA(_xlfn.XLOOKUP(Table3[[#This Row],[Month]],Lookups!$N$2:$N$13,Lookups!$O$2:$O$13),"CHECK MONTH")</f>
        <v>5</v>
      </c>
      <c r="AF54" s="22" t="str">
        <f>TEXT(Table3[[#This Row],[Month No]],"00")&amp;" - "&amp;Table3[[#This Row],[Month]]</f>
        <v>05 - May</v>
      </c>
      <c r="AG54" s="22" t="str">
        <f>_xlfn.IFNA(_xlfn.XLOOKUP(Table3[[#This Row],[Month]],Lookups!$N$2:$N$13,Lookups!$P$2:$P$13),"CHECK MONTH")</f>
        <v>Q2</v>
      </c>
      <c r="AH54" s="22">
        <f>Table3[[#This Row],[Gross Sales (EUR)]]-Table3[[#This Row],[Total Sales (EUR)]]</f>
        <v>0</v>
      </c>
      <c r="AI54" s="89">
        <f>DATE(Lookups!$O$15,Table3[[#This Row],[Month No]],1)</f>
        <v>45778</v>
      </c>
    </row>
    <row r="55" spans="1:35" x14ac:dyDescent="0.3">
      <c r="A55" s="15">
        <v>54</v>
      </c>
      <c r="B55" s="16" t="s">
        <v>35</v>
      </c>
      <c r="C55" s="16" t="s">
        <v>36</v>
      </c>
      <c r="D55" s="16" t="str">
        <f>TRIM(Table3[[#This Row],[Rep Last Name]])&amp;", "&amp;TRIM(Table3[[#This Row],[Rep First Name]])</f>
        <v>Liu, Fang</v>
      </c>
      <c r="E55" s="16" t="s">
        <v>68</v>
      </c>
      <c r="F55" s="16" t="s">
        <v>29</v>
      </c>
      <c r="G55" s="16" t="s">
        <v>30</v>
      </c>
      <c r="H55" s="16" t="str">
        <f>IF(Table3[[#This Row],[Min Speed (original, incomplete)]]="",_xlfn.IFNA(_xlfn.XLOOKUP(Table3[[#This Row],[Product Type]],Lookups!$G$2:$G$4,Lookups!$H$2:$H$4),"CHECK PRODUCT"),Table3[[#This Row],[Min Speed (original, incomplete)]])</f>
        <v>18 mph</v>
      </c>
      <c r="I55" s="16" t="s">
        <v>31</v>
      </c>
      <c r="J55" s="16" t="s">
        <v>32</v>
      </c>
      <c r="K55" s="17">
        <f>ROUND(VALUE(SUBSTITUTE(Table3[[#This Row],[Min Speed (mph)]]," mph",""))*Lookups!$L$2,0)</f>
        <v>29</v>
      </c>
      <c r="L55" s="17">
        <f>ROUND(VALUE(SUBSTITUTE(Table3[[#This Row],[Speed]]," mph",""))*Lookups!$L$2,0)</f>
        <v>45</v>
      </c>
      <c r="M55" s="17" t="str">
        <f>Table3[[#This Row],[Min Speed (km/h)]]&amp;" – "&amp;Table3[[#This Row],[Max Speed (km/h)]]&amp;" km/h"</f>
        <v>29 – 45 km/h</v>
      </c>
      <c r="N55" s="18">
        <f>IF(ISNUMBER(SEARCH("mile",Table3[[#This Row],[Distance]])),ROUND(VALUE(SUBSTITUTE(Table3[[#This Row],[Distance]]," miles",""))*Lookups!$L$3,0),ROUND(VALUE(SUBSTITUTE(Table3[[#This Row],[Distance]]," meters",""))*Lookups!$L$4,0))</f>
        <v>40</v>
      </c>
      <c r="O55" s="16" t="s">
        <v>43</v>
      </c>
      <c r="P55" s="16" t="str">
        <f>TRIM(LEFT(Table3[[#This Row],[Shipping Address]],FIND(",",Table3[[#This Row],[Shipping Address]])-1))</f>
        <v>101 Nanjing Road</v>
      </c>
      <c r="Q55" s="16" t="str">
        <f>TRIM(MID(Table3[[#This Row],[Shipping Address]],FIND(",",Table3[[#This Row],[Shipping Address]])+1,FIND(",",Table3[[#This Row],[Shipping Address]],FIND(",",Table3[[#This Row],[Shipping Address]])+1)-FIND(",",Table3[[#This Row],[Shipping Address]])-1))</f>
        <v>Shanghai</v>
      </c>
      <c r="R55" s="16" t="str">
        <f>TRIM(MID(Table3[[#This Row],[Shipping Address]],FIND(",",Table3[[#This Row],[Shipping Address]],FIND(",",Table3[[#This Row],[Shipping Address]])+1)+1,20))</f>
        <v>200001</v>
      </c>
      <c r="S55" s="16" t="s">
        <v>38</v>
      </c>
      <c r="T55" s="16" t="str">
        <f>_xlfn.IFNA(_xlfn.XLOOKUP(Table3[[#This Row],[Country Code]],Lookups!$A$2:$A$5,Lookups!$B$2:$B$5),"CHECK CODE")</f>
        <v>China</v>
      </c>
      <c r="U55" s="16" t="str">
        <f>_xlfn.IFNA(_xlfn.XLOOKUP(Table3[[#This Row],[Country Code]],Lookups!$A$2:$A$5,Lookups!$C$2:$C$5),"CHECK CODE")</f>
        <v>Asia</v>
      </c>
      <c r="V55" s="16" t="s">
        <v>44</v>
      </c>
      <c r="W55" s="16" t="str">
        <f>_xlfn.IFNA(_xlfn.XLOOKUP(Table3[[#This Row],[Country Code]],Lookups!$A$2:$A$5,Lookups!$D$2:$D$5),"CHECK CODE")</f>
        <v>CNY</v>
      </c>
      <c r="X55" s="16">
        <f>VALUE(MID(Table3[[#This Row],[Unit Price]],2,50))</f>
        <v>4200</v>
      </c>
      <c r="Y55" s="19">
        <f>_xlfn.IFNA(_xlfn.XLOOKUP(Table3[[#This Row],[Country Code]],Lookups!$A$2:$A$5,Lookups!$E$2:$E$5),"")</f>
        <v>7.7255000000000003</v>
      </c>
      <c r="Z55" s="87">
        <f>Table3[[#This Row],[Unit Price (local)]]/Table3[[#This Row],[FX Rate (per EUR)]]</f>
        <v>543.6541324186137</v>
      </c>
      <c r="AA55" s="16">
        <v>1000</v>
      </c>
      <c r="AB55" s="20">
        <v>0</v>
      </c>
      <c r="AC55" s="21">
        <f>ROUND(Table3[[#This Row],[Unit Price (EUR)]]*Table3[[#This Row],[Units Sold]],0)</f>
        <v>543654</v>
      </c>
      <c r="AD55" s="22">
        <f>ROUND(Table3[[#This Row],[Gross Sales (EUR)]]*(1-Table3[[#This Row],[Discount (%)]]/100),0)</f>
        <v>543654</v>
      </c>
      <c r="AE55" s="22">
        <f>_xlfn.IFNA(_xlfn.XLOOKUP(Table3[[#This Row],[Month]],Lookups!$N$2:$N$13,Lookups!$O$2:$O$13),"CHECK MONTH")</f>
        <v>5</v>
      </c>
      <c r="AF55" s="22" t="str">
        <f>TEXT(Table3[[#This Row],[Month No]],"00")&amp;" - "&amp;Table3[[#This Row],[Month]]</f>
        <v>05 - May</v>
      </c>
      <c r="AG55" s="22" t="str">
        <f>_xlfn.IFNA(_xlfn.XLOOKUP(Table3[[#This Row],[Month]],Lookups!$N$2:$N$13,Lookups!$P$2:$P$13),"CHECK MONTH")</f>
        <v>Q2</v>
      </c>
      <c r="AH55" s="22">
        <f>Table3[[#This Row],[Gross Sales (EUR)]]-Table3[[#This Row],[Total Sales (EUR)]]</f>
        <v>0</v>
      </c>
      <c r="AI55" s="89">
        <f>DATE(Lookups!$O$15,Table3[[#This Row],[Month No]],1)</f>
        <v>45778</v>
      </c>
    </row>
    <row r="56" spans="1:35" x14ac:dyDescent="0.3">
      <c r="A56" s="15">
        <v>55</v>
      </c>
      <c r="B56" s="16" t="s">
        <v>45</v>
      </c>
      <c r="C56" s="16" t="s">
        <v>46</v>
      </c>
      <c r="D56" s="16" t="str">
        <f>TRIM(Table3[[#This Row],[Rep Last Name]])&amp;", "&amp;TRIM(Table3[[#This Row],[Rep First Name]])</f>
        <v>Fischer, Jonas</v>
      </c>
      <c r="E56" s="16" t="s">
        <v>68</v>
      </c>
      <c r="F56" s="16" t="s">
        <v>16</v>
      </c>
      <c r="G56" s="16" t="s">
        <v>17</v>
      </c>
      <c r="H56" s="16" t="str">
        <f>IF(Table3[[#This Row],[Min Speed (original, incomplete)]]="",_xlfn.IFNA(_xlfn.XLOOKUP(Table3[[#This Row],[Product Type]],Lookups!$G$2:$G$4,Lookups!$H$2:$H$4),"CHECK PRODUCT"),Table3[[#This Row],[Min Speed (original, incomplete)]])</f>
        <v>15 mph</v>
      </c>
      <c r="I56" s="16" t="s">
        <v>18</v>
      </c>
      <c r="J56" s="16" t="s">
        <v>19</v>
      </c>
      <c r="K56" s="17">
        <f>ROUND(VALUE(SUBSTITUTE(Table3[[#This Row],[Min Speed (mph)]]," mph",""))*Lookups!$L$2,0)</f>
        <v>24</v>
      </c>
      <c r="L56" s="17">
        <f>ROUND(VALUE(SUBSTITUTE(Table3[[#This Row],[Speed]]," mph",""))*Lookups!$L$2,0)</f>
        <v>48</v>
      </c>
      <c r="M56" s="17" t="str">
        <f>Table3[[#This Row],[Min Speed (km/h)]]&amp;" – "&amp;Table3[[#This Row],[Max Speed (km/h)]]&amp;" km/h"</f>
        <v>24 – 48 km/h</v>
      </c>
      <c r="N56" s="18">
        <f>IF(ISNUMBER(SEARCH("mile",Table3[[#This Row],[Distance]])),ROUND(VALUE(SUBSTITUTE(Table3[[#This Row],[Distance]]," miles",""))*Lookups!$L$3,0),ROUND(VALUE(SUBSTITUTE(Table3[[#This Row],[Distance]]," meters",""))*Lookups!$L$4,0))</f>
        <v>48</v>
      </c>
      <c r="O56" s="16" t="s">
        <v>48</v>
      </c>
      <c r="P56" s="16" t="str">
        <f>TRIM(LEFT(Table3[[#This Row],[Shipping Address]],FIND(",",Table3[[#This Row],[Shipping Address]])-1))</f>
        <v>303 Ringstraße</v>
      </c>
      <c r="Q56" s="16" t="str">
        <f>TRIM(MID(Table3[[#This Row],[Shipping Address]],FIND(",",Table3[[#This Row],[Shipping Address]])+1,FIND(",",Table3[[#This Row],[Shipping Address]],FIND(",",Table3[[#This Row],[Shipping Address]])+1)-FIND(",",Table3[[#This Row],[Shipping Address]])-1))</f>
        <v>Hamburg</v>
      </c>
      <c r="R56" s="16" t="str">
        <f>TRIM(MID(Table3[[#This Row],[Shipping Address]],FIND(",",Table3[[#This Row],[Shipping Address]],FIND(",",Table3[[#This Row],[Shipping Address]])+1)+1,20))</f>
        <v>20095</v>
      </c>
      <c r="S56" s="16" t="s">
        <v>49</v>
      </c>
      <c r="T56" s="16" t="str">
        <f>_xlfn.IFNA(_xlfn.XLOOKUP(Table3[[#This Row],[Country Code]],Lookups!$A$2:$A$5,Lookups!$B$2:$B$5),"CHECK CODE")</f>
        <v>Germany</v>
      </c>
      <c r="U56" s="16" t="str">
        <f>_xlfn.IFNA(_xlfn.XLOOKUP(Table3[[#This Row],[Country Code]],Lookups!$A$2:$A$5,Lookups!$C$2:$C$5),"CHECK CODE")</f>
        <v>Europe</v>
      </c>
      <c r="V56" s="16" t="s">
        <v>50</v>
      </c>
      <c r="W56" s="16" t="str">
        <f>_xlfn.IFNA(_xlfn.XLOOKUP(Table3[[#This Row],[Country Code]],Lookups!$A$2:$A$5,Lookups!$D$2:$D$5),"CHECK CODE")</f>
        <v>EUR</v>
      </c>
      <c r="X56" s="16">
        <f>VALUE(MID(Table3[[#This Row],[Unit Price]],2,50))</f>
        <v>1000</v>
      </c>
      <c r="Y56" s="19">
        <f>_xlfn.IFNA(_xlfn.XLOOKUP(Table3[[#This Row],[Country Code]],Lookups!$A$2:$A$5,Lookups!$E$2:$E$5),"")</f>
        <v>1</v>
      </c>
      <c r="Z56" s="87">
        <f>Table3[[#This Row],[Unit Price (local)]]/Table3[[#This Row],[FX Rate (per EUR)]]</f>
        <v>1000</v>
      </c>
      <c r="AA56" s="16">
        <v>180</v>
      </c>
      <c r="AB56" s="20">
        <v>0</v>
      </c>
      <c r="AC56" s="21">
        <f>ROUND(Table3[[#This Row],[Unit Price (EUR)]]*Table3[[#This Row],[Units Sold]],0)</f>
        <v>180000</v>
      </c>
      <c r="AD56" s="22">
        <f>ROUND(Table3[[#This Row],[Gross Sales (EUR)]]*(1-Table3[[#This Row],[Discount (%)]]/100),0)</f>
        <v>180000</v>
      </c>
      <c r="AE56" s="22">
        <f>_xlfn.IFNA(_xlfn.XLOOKUP(Table3[[#This Row],[Month]],Lookups!$N$2:$N$13,Lookups!$O$2:$O$13),"CHECK MONTH")</f>
        <v>5</v>
      </c>
      <c r="AF56" s="22" t="str">
        <f>TEXT(Table3[[#This Row],[Month No]],"00")&amp;" - "&amp;Table3[[#This Row],[Month]]</f>
        <v>05 - May</v>
      </c>
      <c r="AG56" s="22" t="str">
        <f>_xlfn.IFNA(_xlfn.XLOOKUP(Table3[[#This Row],[Month]],Lookups!$N$2:$N$13,Lookups!$P$2:$P$13),"CHECK MONTH")</f>
        <v>Q2</v>
      </c>
      <c r="AH56" s="22">
        <f>Table3[[#This Row],[Gross Sales (EUR)]]-Table3[[#This Row],[Total Sales (EUR)]]</f>
        <v>0</v>
      </c>
      <c r="AI56" s="89">
        <f>DATE(Lookups!$O$15,Table3[[#This Row],[Month No]],1)</f>
        <v>45778</v>
      </c>
    </row>
    <row r="57" spans="1:35" x14ac:dyDescent="0.3">
      <c r="A57" s="15">
        <v>56</v>
      </c>
      <c r="B57" s="16" t="s">
        <v>45</v>
      </c>
      <c r="C57" s="16" t="s">
        <v>46</v>
      </c>
      <c r="D57" s="16" t="str">
        <f>TRIM(Table3[[#This Row],[Rep Last Name]])&amp;", "&amp;TRIM(Table3[[#This Row],[Rep First Name]])</f>
        <v>Fischer, Jonas</v>
      </c>
      <c r="E57" s="16" t="s">
        <v>68</v>
      </c>
      <c r="F57" s="16" t="s">
        <v>23</v>
      </c>
      <c r="G57" s="16" t="s">
        <v>24</v>
      </c>
      <c r="H57" s="16" t="str">
        <f>IF(Table3[[#This Row],[Min Speed (original, incomplete)]]="",_xlfn.IFNA(_xlfn.XLOOKUP(Table3[[#This Row],[Product Type]],Lookups!$G$2:$G$4,Lookups!$H$2:$H$4),"CHECK PRODUCT"),Table3[[#This Row],[Min Speed (original, incomplete)]])</f>
        <v>20 mph</v>
      </c>
      <c r="I57" s="16" t="s">
        <v>25</v>
      </c>
      <c r="J57" s="16" t="s">
        <v>26</v>
      </c>
      <c r="K57" s="17">
        <f>ROUND(VALUE(SUBSTITUTE(Table3[[#This Row],[Min Speed (mph)]]," mph",""))*Lookups!$L$2,0)</f>
        <v>32</v>
      </c>
      <c r="L57" s="17">
        <f>ROUND(VALUE(SUBSTITUTE(Table3[[#This Row],[Speed]]," mph",""))*Lookups!$L$2,0)</f>
        <v>56</v>
      </c>
      <c r="M57" s="17" t="str">
        <f>Table3[[#This Row],[Min Speed (km/h)]]&amp;" – "&amp;Table3[[#This Row],[Max Speed (km/h)]]&amp;" km/h"</f>
        <v>32 – 56 km/h</v>
      </c>
      <c r="N57" s="18">
        <f>IF(ISNUMBER(SEARCH("mile",Table3[[#This Row],[Distance]])),ROUND(VALUE(SUBSTITUTE(Table3[[#This Row],[Distance]]," miles",""))*Lookups!$L$3,0),ROUND(VALUE(SUBSTITUTE(Table3[[#This Row],[Distance]]," meters",""))*Lookups!$L$4,0))</f>
        <v>64</v>
      </c>
      <c r="O57" s="16" t="s">
        <v>51</v>
      </c>
      <c r="P57" s="16" t="str">
        <f>TRIM(LEFT(Table3[[#This Row],[Shipping Address]],FIND(",",Table3[[#This Row],[Shipping Address]])-1))</f>
        <v>304 Ringstraße</v>
      </c>
      <c r="Q57" s="16" t="str">
        <f>TRIM(MID(Table3[[#This Row],[Shipping Address]],FIND(",",Table3[[#This Row],[Shipping Address]])+1,FIND(",",Table3[[#This Row],[Shipping Address]],FIND(",",Table3[[#This Row],[Shipping Address]])+1)-FIND(",",Table3[[#This Row],[Shipping Address]])-1))</f>
        <v>Hamburg</v>
      </c>
      <c r="R57" s="16" t="str">
        <f>TRIM(MID(Table3[[#This Row],[Shipping Address]],FIND(",",Table3[[#This Row],[Shipping Address]],FIND(",",Table3[[#This Row],[Shipping Address]])+1)+1,20))</f>
        <v>20095</v>
      </c>
      <c r="S57" s="16" t="s">
        <v>49</v>
      </c>
      <c r="T57" s="16" t="str">
        <f>_xlfn.IFNA(_xlfn.XLOOKUP(Table3[[#This Row],[Country Code]],Lookups!$A$2:$A$5,Lookups!$B$2:$B$5),"CHECK CODE")</f>
        <v>Germany</v>
      </c>
      <c r="U57" s="16" t="str">
        <f>_xlfn.IFNA(_xlfn.XLOOKUP(Table3[[#This Row],[Country Code]],Lookups!$A$2:$A$5,Lookups!$C$2:$C$5),"CHECK CODE")</f>
        <v>Europe</v>
      </c>
      <c r="V57" s="16" t="s">
        <v>52</v>
      </c>
      <c r="W57" s="16" t="str">
        <f>_xlfn.IFNA(_xlfn.XLOOKUP(Table3[[#This Row],[Country Code]],Lookups!$A$2:$A$5,Lookups!$D$2:$D$5),"CHECK CODE")</f>
        <v>EUR</v>
      </c>
      <c r="X57" s="16">
        <f>VALUE(MID(Table3[[#This Row],[Unit Price]],2,50))</f>
        <v>800</v>
      </c>
      <c r="Y57" s="19">
        <f>_xlfn.IFNA(_xlfn.XLOOKUP(Table3[[#This Row],[Country Code]],Lookups!$A$2:$A$5,Lookups!$E$2:$E$5),"")</f>
        <v>1</v>
      </c>
      <c r="Z57" s="87">
        <f>Table3[[#This Row],[Unit Price (local)]]/Table3[[#This Row],[FX Rate (per EUR)]]</f>
        <v>800</v>
      </c>
      <c r="AA57" s="16">
        <v>320</v>
      </c>
      <c r="AB57" s="20">
        <v>0</v>
      </c>
      <c r="AC57" s="21">
        <f>ROUND(Table3[[#This Row],[Unit Price (EUR)]]*Table3[[#This Row],[Units Sold]],0)</f>
        <v>256000</v>
      </c>
      <c r="AD57" s="22">
        <f>ROUND(Table3[[#This Row],[Gross Sales (EUR)]]*(1-Table3[[#This Row],[Discount (%)]]/100),0)</f>
        <v>256000</v>
      </c>
      <c r="AE57" s="22">
        <f>_xlfn.IFNA(_xlfn.XLOOKUP(Table3[[#This Row],[Month]],Lookups!$N$2:$N$13,Lookups!$O$2:$O$13),"CHECK MONTH")</f>
        <v>5</v>
      </c>
      <c r="AF57" s="22" t="str">
        <f>TEXT(Table3[[#This Row],[Month No]],"00")&amp;" - "&amp;Table3[[#This Row],[Month]]</f>
        <v>05 - May</v>
      </c>
      <c r="AG57" s="22" t="str">
        <f>_xlfn.IFNA(_xlfn.XLOOKUP(Table3[[#This Row],[Month]],Lookups!$N$2:$N$13,Lookups!$P$2:$P$13),"CHECK MONTH")</f>
        <v>Q2</v>
      </c>
      <c r="AH57" s="22">
        <f>Table3[[#This Row],[Gross Sales (EUR)]]-Table3[[#This Row],[Total Sales (EUR)]]</f>
        <v>0</v>
      </c>
      <c r="AI57" s="89">
        <f>DATE(Lookups!$O$15,Table3[[#This Row],[Month No]],1)</f>
        <v>45778</v>
      </c>
    </row>
    <row r="58" spans="1:35" x14ac:dyDescent="0.3">
      <c r="A58" s="15">
        <v>57</v>
      </c>
      <c r="B58" s="16" t="s">
        <v>45</v>
      </c>
      <c r="C58" s="16" t="s">
        <v>46</v>
      </c>
      <c r="D58" s="16" t="str">
        <f>TRIM(Table3[[#This Row],[Rep Last Name]])&amp;", "&amp;TRIM(Table3[[#This Row],[Rep First Name]])</f>
        <v>Fischer, Jonas</v>
      </c>
      <c r="E58" s="16" t="s">
        <v>68</v>
      </c>
      <c r="F58" s="16" t="s">
        <v>29</v>
      </c>
      <c r="G58" s="16" t="s">
        <v>30</v>
      </c>
      <c r="H58" s="16" t="str">
        <f>IF(Table3[[#This Row],[Min Speed (original, incomplete)]]="",_xlfn.IFNA(_xlfn.XLOOKUP(Table3[[#This Row],[Product Type]],Lookups!$G$2:$G$4,Lookups!$H$2:$H$4),"CHECK PRODUCT"),Table3[[#This Row],[Min Speed (original, incomplete)]])</f>
        <v>18 mph</v>
      </c>
      <c r="I58" s="16" t="s">
        <v>31</v>
      </c>
      <c r="J58" s="16" t="s">
        <v>32</v>
      </c>
      <c r="K58" s="17">
        <f>ROUND(VALUE(SUBSTITUTE(Table3[[#This Row],[Min Speed (mph)]]," mph",""))*Lookups!$L$2,0)</f>
        <v>29</v>
      </c>
      <c r="L58" s="17">
        <f>ROUND(VALUE(SUBSTITUTE(Table3[[#This Row],[Speed]]," mph",""))*Lookups!$L$2,0)</f>
        <v>45</v>
      </c>
      <c r="M58" s="17" t="str">
        <f>Table3[[#This Row],[Min Speed (km/h)]]&amp;" – "&amp;Table3[[#This Row],[Max Speed (km/h)]]&amp;" km/h"</f>
        <v>29 – 45 km/h</v>
      </c>
      <c r="N58" s="18">
        <f>IF(ISNUMBER(SEARCH("mile",Table3[[#This Row],[Distance]])),ROUND(VALUE(SUBSTITUTE(Table3[[#This Row],[Distance]]," miles",""))*Lookups!$L$3,0),ROUND(VALUE(SUBSTITUTE(Table3[[#This Row],[Distance]]," meters",""))*Lookups!$L$4,0))</f>
        <v>40</v>
      </c>
      <c r="O58" s="16" t="s">
        <v>53</v>
      </c>
      <c r="P58" s="16" t="str">
        <f>TRIM(LEFT(Table3[[#This Row],[Shipping Address]],FIND(",",Table3[[#This Row],[Shipping Address]])-1))</f>
        <v>305 Ringstraße</v>
      </c>
      <c r="Q58" s="16" t="str">
        <f>TRIM(MID(Table3[[#This Row],[Shipping Address]],FIND(",",Table3[[#This Row],[Shipping Address]])+1,FIND(",",Table3[[#This Row],[Shipping Address]],FIND(",",Table3[[#This Row],[Shipping Address]])+1)-FIND(",",Table3[[#This Row],[Shipping Address]])-1))</f>
        <v>Hamburg</v>
      </c>
      <c r="R58" s="16" t="str">
        <f>TRIM(MID(Table3[[#This Row],[Shipping Address]],FIND(",",Table3[[#This Row],[Shipping Address]],FIND(",",Table3[[#This Row],[Shipping Address]])+1)+1,20))</f>
        <v>20095</v>
      </c>
      <c r="S58" s="16" t="s">
        <v>49</v>
      </c>
      <c r="T58" s="16" t="str">
        <f>_xlfn.IFNA(_xlfn.XLOOKUP(Table3[[#This Row],[Country Code]],Lookups!$A$2:$A$5,Lookups!$B$2:$B$5),"CHECK CODE")</f>
        <v>Germany</v>
      </c>
      <c r="U58" s="16" t="str">
        <f>_xlfn.IFNA(_xlfn.XLOOKUP(Table3[[#This Row],[Country Code]],Lookups!$A$2:$A$5,Lookups!$C$2:$C$5),"CHECK CODE")</f>
        <v>Europe</v>
      </c>
      <c r="V58" s="16" t="s">
        <v>54</v>
      </c>
      <c r="W58" s="16" t="str">
        <f>_xlfn.IFNA(_xlfn.XLOOKUP(Table3[[#This Row],[Country Code]],Lookups!$A$2:$A$5,Lookups!$D$2:$D$5),"CHECK CODE")</f>
        <v>EUR</v>
      </c>
      <c r="X58" s="16">
        <f>VALUE(MID(Table3[[#This Row],[Unit Price]],2,50))</f>
        <v>950</v>
      </c>
      <c r="Y58" s="19">
        <f>_xlfn.IFNA(_xlfn.XLOOKUP(Table3[[#This Row],[Country Code]],Lookups!$A$2:$A$5,Lookups!$E$2:$E$5),"")</f>
        <v>1</v>
      </c>
      <c r="Z58" s="87">
        <f>Table3[[#This Row],[Unit Price (local)]]/Table3[[#This Row],[FX Rate (per EUR)]]</f>
        <v>950</v>
      </c>
      <c r="AA58" s="16">
        <v>220</v>
      </c>
      <c r="AB58" s="20">
        <v>0</v>
      </c>
      <c r="AC58" s="21">
        <f>ROUND(Table3[[#This Row],[Unit Price (EUR)]]*Table3[[#This Row],[Units Sold]],0)</f>
        <v>209000</v>
      </c>
      <c r="AD58" s="22">
        <f>ROUND(Table3[[#This Row],[Gross Sales (EUR)]]*(1-Table3[[#This Row],[Discount (%)]]/100),0)</f>
        <v>209000</v>
      </c>
      <c r="AE58" s="22">
        <f>_xlfn.IFNA(_xlfn.XLOOKUP(Table3[[#This Row],[Month]],Lookups!$N$2:$N$13,Lookups!$O$2:$O$13),"CHECK MONTH")</f>
        <v>5</v>
      </c>
      <c r="AF58" s="22" t="str">
        <f>TEXT(Table3[[#This Row],[Month No]],"00")&amp;" - "&amp;Table3[[#This Row],[Month]]</f>
        <v>05 - May</v>
      </c>
      <c r="AG58" s="22" t="str">
        <f>_xlfn.IFNA(_xlfn.XLOOKUP(Table3[[#This Row],[Month]],Lookups!$N$2:$N$13,Lookups!$P$2:$P$13),"CHECK MONTH")</f>
        <v>Q2</v>
      </c>
      <c r="AH58" s="22">
        <f>Table3[[#This Row],[Gross Sales (EUR)]]-Table3[[#This Row],[Total Sales (EUR)]]</f>
        <v>0</v>
      </c>
      <c r="AI58" s="89">
        <f>DATE(Lookups!$O$15,Table3[[#This Row],[Month No]],1)</f>
        <v>45778</v>
      </c>
    </row>
    <row r="59" spans="1:35" x14ac:dyDescent="0.3">
      <c r="A59" s="15">
        <v>58</v>
      </c>
      <c r="B59" s="16" t="s">
        <v>55</v>
      </c>
      <c r="C59" s="16" t="s">
        <v>56</v>
      </c>
      <c r="D59" s="16" t="str">
        <f>TRIM(Table3[[#This Row],[Rep Last Name]])&amp;", "&amp;TRIM(Table3[[#This Row],[Rep First Name]])</f>
        <v>Bernard, Théo</v>
      </c>
      <c r="E59" s="16" t="s">
        <v>68</v>
      </c>
      <c r="F59" s="16" t="s">
        <v>16</v>
      </c>
      <c r="G59" s="16" t="s">
        <v>17</v>
      </c>
      <c r="H59" s="16" t="str">
        <f>IF(Table3[[#This Row],[Min Speed (original, incomplete)]]="",_xlfn.IFNA(_xlfn.XLOOKUP(Table3[[#This Row],[Product Type]],Lookups!$G$2:$G$4,Lookups!$H$2:$H$4),"CHECK PRODUCT"),Table3[[#This Row],[Min Speed (original, incomplete)]])</f>
        <v>15 mph</v>
      </c>
      <c r="I59" s="16" t="s">
        <v>18</v>
      </c>
      <c r="J59" s="16" t="s">
        <v>19</v>
      </c>
      <c r="K59" s="17">
        <f>ROUND(VALUE(SUBSTITUTE(Table3[[#This Row],[Min Speed (mph)]]," mph",""))*Lookups!$L$2,0)</f>
        <v>24</v>
      </c>
      <c r="L59" s="17">
        <f>ROUND(VALUE(SUBSTITUTE(Table3[[#This Row],[Speed]]," mph",""))*Lookups!$L$2,0)</f>
        <v>48</v>
      </c>
      <c r="M59" s="17" t="str">
        <f>Table3[[#This Row],[Min Speed (km/h)]]&amp;" – "&amp;Table3[[#This Row],[Max Speed (km/h)]]&amp;" km/h"</f>
        <v>24 – 48 km/h</v>
      </c>
      <c r="N59" s="18">
        <f>IF(ISNUMBER(SEARCH("mile",Table3[[#This Row],[Distance]])),ROUND(VALUE(SUBSTITUTE(Table3[[#This Row],[Distance]]," miles",""))*Lookups!$L$3,0),ROUND(VALUE(SUBSTITUTE(Table3[[#This Row],[Distance]]," meters",""))*Lookups!$L$4,0))</f>
        <v>48</v>
      </c>
      <c r="O59" s="16" t="s">
        <v>57</v>
      </c>
      <c r="P59" s="16" t="str">
        <f>TRIM(LEFT(Table3[[#This Row],[Shipping Address]],FIND(",",Table3[[#This Row],[Shipping Address]])-1))</f>
        <v>56 Boulevard Saint-Germain</v>
      </c>
      <c r="Q59" s="16" t="str">
        <f>TRIM(MID(Table3[[#This Row],[Shipping Address]],FIND(",",Table3[[#This Row],[Shipping Address]])+1,FIND(",",Table3[[#This Row],[Shipping Address]],FIND(",",Table3[[#This Row],[Shipping Address]])+1)-FIND(",",Table3[[#This Row],[Shipping Address]])-1))</f>
        <v>Paris</v>
      </c>
      <c r="R59" s="16" t="str">
        <f>TRIM(MID(Table3[[#This Row],[Shipping Address]],FIND(",",Table3[[#This Row],[Shipping Address]],FIND(",",Table3[[#This Row],[Shipping Address]])+1)+1,20))</f>
        <v>75005</v>
      </c>
      <c r="S59" s="16" t="s">
        <v>58</v>
      </c>
      <c r="T59" s="16" t="str">
        <f>_xlfn.IFNA(_xlfn.XLOOKUP(Table3[[#This Row],[Country Code]],Lookups!$A$2:$A$5,Lookups!$B$2:$B$5),"CHECK CODE")</f>
        <v>France</v>
      </c>
      <c r="U59" s="16" t="str">
        <f>_xlfn.IFNA(_xlfn.XLOOKUP(Table3[[#This Row],[Country Code]],Lookups!$A$2:$A$5,Lookups!$C$2:$C$5),"CHECK CODE")</f>
        <v>Europe</v>
      </c>
      <c r="V59" s="16" t="s">
        <v>59</v>
      </c>
      <c r="W59" s="16" t="str">
        <f>_xlfn.IFNA(_xlfn.XLOOKUP(Table3[[#This Row],[Country Code]],Lookups!$A$2:$A$5,Lookups!$D$2:$D$5),"CHECK CODE")</f>
        <v>EUR</v>
      </c>
      <c r="X59" s="16">
        <f>VALUE(MID(Table3[[#This Row],[Unit Price]],2,50))</f>
        <v>1100</v>
      </c>
      <c r="Y59" s="19">
        <f>_xlfn.IFNA(_xlfn.XLOOKUP(Table3[[#This Row],[Country Code]],Lookups!$A$2:$A$5,Lookups!$E$2:$E$5),"")</f>
        <v>1</v>
      </c>
      <c r="Z59" s="87">
        <f>Table3[[#This Row],[Unit Price (local)]]/Table3[[#This Row],[FX Rate (per EUR)]]</f>
        <v>1100</v>
      </c>
      <c r="AA59" s="16">
        <v>140</v>
      </c>
      <c r="AB59" s="20">
        <v>0</v>
      </c>
      <c r="AC59" s="21">
        <f>ROUND(Table3[[#This Row],[Unit Price (EUR)]]*Table3[[#This Row],[Units Sold]],0)</f>
        <v>154000</v>
      </c>
      <c r="AD59" s="22">
        <f>ROUND(Table3[[#This Row],[Gross Sales (EUR)]]*(1-Table3[[#This Row],[Discount (%)]]/100),0)</f>
        <v>154000</v>
      </c>
      <c r="AE59" s="22">
        <f>_xlfn.IFNA(_xlfn.XLOOKUP(Table3[[#This Row],[Month]],Lookups!$N$2:$N$13,Lookups!$O$2:$O$13),"CHECK MONTH")</f>
        <v>5</v>
      </c>
      <c r="AF59" s="22" t="str">
        <f>TEXT(Table3[[#This Row],[Month No]],"00")&amp;" - "&amp;Table3[[#This Row],[Month]]</f>
        <v>05 - May</v>
      </c>
      <c r="AG59" s="22" t="str">
        <f>_xlfn.IFNA(_xlfn.XLOOKUP(Table3[[#This Row],[Month]],Lookups!$N$2:$N$13,Lookups!$P$2:$P$13),"CHECK MONTH")</f>
        <v>Q2</v>
      </c>
      <c r="AH59" s="22">
        <f>Table3[[#This Row],[Gross Sales (EUR)]]-Table3[[#This Row],[Total Sales (EUR)]]</f>
        <v>0</v>
      </c>
      <c r="AI59" s="89">
        <f>DATE(Lookups!$O$15,Table3[[#This Row],[Month No]],1)</f>
        <v>45778</v>
      </c>
    </row>
    <row r="60" spans="1:35" x14ac:dyDescent="0.3">
      <c r="A60" s="15">
        <v>59</v>
      </c>
      <c r="B60" s="16" t="s">
        <v>55</v>
      </c>
      <c r="C60" s="16" t="s">
        <v>56</v>
      </c>
      <c r="D60" s="16" t="str">
        <f>TRIM(Table3[[#This Row],[Rep Last Name]])&amp;", "&amp;TRIM(Table3[[#This Row],[Rep First Name]])</f>
        <v>Bernard, Théo</v>
      </c>
      <c r="E60" s="16" t="s">
        <v>68</v>
      </c>
      <c r="F60" s="16" t="s">
        <v>23</v>
      </c>
      <c r="G60" s="16" t="s">
        <v>24</v>
      </c>
      <c r="H60" s="16" t="str">
        <f>IF(Table3[[#This Row],[Min Speed (original, incomplete)]]="",_xlfn.IFNA(_xlfn.XLOOKUP(Table3[[#This Row],[Product Type]],Lookups!$G$2:$G$4,Lookups!$H$2:$H$4),"CHECK PRODUCT"),Table3[[#This Row],[Min Speed (original, incomplete)]])</f>
        <v>20 mph</v>
      </c>
      <c r="I60" s="16" t="s">
        <v>25</v>
      </c>
      <c r="J60" s="16" t="s">
        <v>60</v>
      </c>
      <c r="K60" s="17">
        <f>ROUND(VALUE(SUBSTITUTE(Table3[[#This Row],[Min Speed (mph)]]," mph",""))*Lookups!$L$2,0)</f>
        <v>32</v>
      </c>
      <c r="L60" s="17">
        <f>ROUND(VALUE(SUBSTITUTE(Table3[[#This Row],[Speed]]," mph",""))*Lookups!$L$2,0)</f>
        <v>56</v>
      </c>
      <c r="M60" s="17" t="str">
        <f>Table3[[#This Row],[Min Speed (km/h)]]&amp;" – "&amp;Table3[[#This Row],[Max Speed (km/h)]]&amp;" km/h"</f>
        <v>32 – 56 km/h</v>
      </c>
      <c r="N60" s="18">
        <f>IF(ISNUMBER(SEARCH("mile",Table3[[#This Row],[Distance]])),ROUND(VALUE(SUBSTITUTE(Table3[[#This Row],[Distance]]," miles",""))*Lookups!$L$3,0),ROUND(VALUE(SUBSTITUTE(Table3[[#This Row],[Distance]]," meters",""))*Lookups!$L$4,0))</f>
        <v>64</v>
      </c>
      <c r="O60" s="16" t="s">
        <v>61</v>
      </c>
      <c r="P60" s="16" t="str">
        <f>TRIM(LEFT(Table3[[#This Row],[Shipping Address]],FIND(",",Table3[[#This Row],[Shipping Address]])-1))</f>
        <v>57 Boulevard Saint-Germain</v>
      </c>
      <c r="Q60" s="16" t="str">
        <f>TRIM(MID(Table3[[#This Row],[Shipping Address]],FIND(",",Table3[[#This Row],[Shipping Address]])+1,FIND(",",Table3[[#This Row],[Shipping Address]],FIND(",",Table3[[#This Row],[Shipping Address]])+1)-FIND(",",Table3[[#This Row],[Shipping Address]])-1))</f>
        <v>Paris</v>
      </c>
      <c r="R60" s="16" t="str">
        <f>TRIM(MID(Table3[[#This Row],[Shipping Address]],FIND(",",Table3[[#This Row],[Shipping Address]],FIND(",",Table3[[#This Row],[Shipping Address]])+1)+1,20))</f>
        <v>75005</v>
      </c>
      <c r="S60" s="16" t="s">
        <v>58</v>
      </c>
      <c r="T60" s="16" t="str">
        <f>_xlfn.IFNA(_xlfn.XLOOKUP(Table3[[#This Row],[Country Code]],Lookups!$A$2:$A$5,Lookups!$B$2:$B$5),"CHECK CODE")</f>
        <v>France</v>
      </c>
      <c r="U60" s="16" t="str">
        <f>_xlfn.IFNA(_xlfn.XLOOKUP(Table3[[#This Row],[Country Code]],Lookups!$A$2:$A$5,Lookups!$C$2:$C$5),"CHECK CODE")</f>
        <v>Europe</v>
      </c>
      <c r="V60" s="16" t="s">
        <v>62</v>
      </c>
      <c r="W60" s="16" t="str">
        <f>_xlfn.IFNA(_xlfn.XLOOKUP(Table3[[#This Row],[Country Code]],Lookups!$A$2:$A$5,Lookups!$D$2:$D$5),"CHECK CODE")</f>
        <v>EUR</v>
      </c>
      <c r="X60" s="16">
        <f>VALUE(MID(Table3[[#This Row],[Unit Price]],2,50))</f>
        <v>900</v>
      </c>
      <c r="Y60" s="19">
        <f>_xlfn.IFNA(_xlfn.XLOOKUP(Table3[[#This Row],[Country Code]],Lookups!$A$2:$A$5,Lookups!$E$2:$E$5),"")</f>
        <v>1</v>
      </c>
      <c r="Z60" s="87">
        <f>Table3[[#This Row],[Unit Price (local)]]/Table3[[#This Row],[FX Rate (per EUR)]]</f>
        <v>900</v>
      </c>
      <c r="AA60" s="16">
        <v>300</v>
      </c>
      <c r="AB60" s="20">
        <v>0</v>
      </c>
      <c r="AC60" s="21">
        <f>ROUND(Table3[[#This Row],[Unit Price (EUR)]]*Table3[[#This Row],[Units Sold]],0)</f>
        <v>270000</v>
      </c>
      <c r="AD60" s="22">
        <f>ROUND(Table3[[#This Row],[Gross Sales (EUR)]]*(1-Table3[[#This Row],[Discount (%)]]/100),0)</f>
        <v>270000</v>
      </c>
      <c r="AE60" s="22">
        <f>_xlfn.IFNA(_xlfn.XLOOKUP(Table3[[#This Row],[Month]],Lookups!$N$2:$N$13,Lookups!$O$2:$O$13),"CHECK MONTH")</f>
        <v>5</v>
      </c>
      <c r="AF60" s="22" t="str">
        <f>TEXT(Table3[[#This Row],[Month No]],"00")&amp;" - "&amp;Table3[[#This Row],[Month]]</f>
        <v>05 - May</v>
      </c>
      <c r="AG60" s="22" t="str">
        <f>_xlfn.IFNA(_xlfn.XLOOKUP(Table3[[#This Row],[Month]],Lookups!$N$2:$N$13,Lookups!$P$2:$P$13),"CHECK MONTH")</f>
        <v>Q2</v>
      </c>
      <c r="AH60" s="22">
        <f>Table3[[#This Row],[Gross Sales (EUR)]]-Table3[[#This Row],[Total Sales (EUR)]]</f>
        <v>0</v>
      </c>
      <c r="AI60" s="89">
        <f>DATE(Lookups!$O$15,Table3[[#This Row],[Month No]],1)</f>
        <v>45778</v>
      </c>
    </row>
    <row r="61" spans="1:35" x14ac:dyDescent="0.3">
      <c r="A61" s="15">
        <v>60</v>
      </c>
      <c r="B61" s="16" t="s">
        <v>55</v>
      </c>
      <c r="C61" s="16" t="s">
        <v>56</v>
      </c>
      <c r="D61" s="16" t="str">
        <f>TRIM(Table3[[#This Row],[Rep Last Name]])&amp;", "&amp;TRIM(Table3[[#This Row],[Rep First Name]])</f>
        <v>Bernard, Théo</v>
      </c>
      <c r="E61" s="16" t="s">
        <v>68</v>
      </c>
      <c r="F61" s="16" t="s">
        <v>29</v>
      </c>
      <c r="G61" s="16" t="s">
        <v>30</v>
      </c>
      <c r="H61" s="16" t="str">
        <f>IF(Table3[[#This Row],[Min Speed (original, incomplete)]]="",_xlfn.IFNA(_xlfn.XLOOKUP(Table3[[#This Row],[Product Type]],Lookups!$G$2:$G$4,Lookups!$H$2:$H$4),"CHECK PRODUCT"),Table3[[#This Row],[Min Speed (original, incomplete)]])</f>
        <v>18 mph</v>
      </c>
      <c r="I61" s="16" t="s">
        <v>31</v>
      </c>
      <c r="J61" s="16" t="s">
        <v>32</v>
      </c>
      <c r="K61" s="17">
        <f>ROUND(VALUE(SUBSTITUTE(Table3[[#This Row],[Min Speed (mph)]]," mph",""))*Lookups!$L$2,0)</f>
        <v>29</v>
      </c>
      <c r="L61" s="17">
        <f>ROUND(VALUE(SUBSTITUTE(Table3[[#This Row],[Speed]]," mph",""))*Lookups!$L$2,0)</f>
        <v>45</v>
      </c>
      <c r="M61" s="17" t="str">
        <f>Table3[[#This Row],[Min Speed (km/h)]]&amp;" – "&amp;Table3[[#This Row],[Max Speed (km/h)]]&amp;" km/h"</f>
        <v>29 – 45 km/h</v>
      </c>
      <c r="N61" s="18">
        <f>IF(ISNUMBER(SEARCH("mile",Table3[[#This Row],[Distance]])),ROUND(VALUE(SUBSTITUTE(Table3[[#This Row],[Distance]]," miles",""))*Lookups!$L$3,0),ROUND(VALUE(SUBSTITUTE(Table3[[#This Row],[Distance]]," meters",""))*Lookups!$L$4,0))</f>
        <v>40</v>
      </c>
      <c r="O61" s="16" t="s">
        <v>63</v>
      </c>
      <c r="P61" s="16" t="str">
        <f>TRIM(LEFT(Table3[[#This Row],[Shipping Address]],FIND(",",Table3[[#This Row],[Shipping Address]])-1))</f>
        <v>58 Boulevard Saint-Germain</v>
      </c>
      <c r="Q61" s="16" t="str">
        <f>TRIM(MID(Table3[[#This Row],[Shipping Address]],FIND(",",Table3[[#This Row],[Shipping Address]])+1,FIND(",",Table3[[#This Row],[Shipping Address]],FIND(",",Table3[[#This Row],[Shipping Address]])+1)-FIND(",",Table3[[#This Row],[Shipping Address]])-1))</f>
        <v>Paris</v>
      </c>
      <c r="R61" s="16" t="str">
        <f>TRIM(MID(Table3[[#This Row],[Shipping Address]],FIND(",",Table3[[#This Row],[Shipping Address]],FIND(",",Table3[[#This Row],[Shipping Address]])+1)+1,20))</f>
        <v>75005</v>
      </c>
      <c r="S61" s="16" t="s">
        <v>58</v>
      </c>
      <c r="T61" s="16" t="str">
        <f>_xlfn.IFNA(_xlfn.XLOOKUP(Table3[[#This Row],[Country Code]],Lookups!$A$2:$A$5,Lookups!$B$2:$B$5),"CHECK CODE")</f>
        <v>France</v>
      </c>
      <c r="U61" s="16" t="str">
        <f>_xlfn.IFNA(_xlfn.XLOOKUP(Table3[[#This Row],[Country Code]],Lookups!$A$2:$A$5,Lookups!$C$2:$C$5),"CHECK CODE")</f>
        <v>Europe</v>
      </c>
      <c r="V61" s="16" t="s">
        <v>64</v>
      </c>
      <c r="W61" s="16" t="str">
        <f>_xlfn.IFNA(_xlfn.XLOOKUP(Table3[[#This Row],[Country Code]],Lookups!$A$2:$A$5,Lookups!$D$2:$D$5),"CHECK CODE")</f>
        <v>EUR</v>
      </c>
      <c r="X61" s="16">
        <f>VALUE(MID(Table3[[#This Row],[Unit Price]],2,50))</f>
        <v>1050</v>
      </c>
      <c r="Y61" s="19">
        <f>_xlfn.IFNA(_xlfn.XLOOKUP(Table3[[#This Row],[Country Code]],Lookups!$A$2:$A$5,Lookups!$E$2:$E$5),"")</f>
        <v>1</v>
      </c>
      <c r="Z61" s="87">
        <f>Table3[[#This Row],[Unit Price (local)]]/Table3[[#This Row],[FX Rate (per EUR)]]</f>
        <v>1050</v>
      </c>
      <c r="AA61" s="16">
        <v>280</v>
      </c>
      <c r="AB61" s="20">
        <v>0</v>
      </c>
      <c r="AC61" s="21">
        <f>ROUND(Table3[[#This Row],[Unit Price (EUR)]]*Table3[[#This Row],[Units Sold]],0)</f>
        <v>294000</v>
      </c>
      <c r="AD61" s="22">
        <f>ROUND(Table3[[#This Row],[Gross Sales (EUR)]]*(1-Table3[[#This Row],[Discount (%)]]/100),0)</f>
        <v>294000</v>
      </c>
      <c r="AE61" s="22">
        <f>_xlfn.IFNA(_xlfn.XLOOKUP(Table3[[#This Row],[Month]],Lookups!$N$2:$N$13,Lookups!$O$2:$O$13),"CHECK MONTH")</f>
        <v>5</v>
      </c>
      <c r="AF61" s="22" t="str">
        <f>TEXT(Table3[[#This Row],[Month No]],"00")&amp;" - "&amp;Table3[[#This Row],[Month]]</f>
        <v>05 - May</v>
      </c>
      <c r="AG61" s="22" t="str">
        <f>_xlfn.IFNA(_xlfn.XLOOKUP(Table3[[#This Row],[Month]],Lookups!$N$2:$N$13,Lookups!$P$2:$P$13),"CHECK MONTH")</f>
        <v>Q2</v>
      </c>
      <c r="AH61" s="22">
        <f>Table3[[#This Row],[Gross Sales (EUR)]]-Table3[[#This Row],[Total Sales (EUR)]]</f>
        <v>0</v>
      </c>
      <c r="AI61" s="89">
        <f>DATE(Lookups!$O$15,Table3[[#This Row],[Month No]],1)</f>
        <v>45778</v>
      </c>
    </row>
    <row r="62" spans="1:35" x14ac:dyDescent="0.3">
      <c r="A62" s="15">
        <v>61</v>
      </c>
      <c r="B62" s="16" t="s">
        <v>13</v>
      </c>
      <c r="C62" s="16" t="s">
        <v>14</v>
      </c>
      <c r="D62" s="16" t="str">
        <f>TRIM(Table3[[#This Row],[Rep Last Name]])&amp;", "&amp;TRIM(Table3[[#This Row],[Rep First Name]])</f>
        <v>Joshi, Sanya</v>
      </c>
      <c r="E62" s="16" t="s">
        <v>69</v>
      </c>
      <c r="F62" s="16" t="s">
        <v>16</v>
      </c>
      <c r="G62" s="16" t="s">
        <v>17</v>
      </c>
      <c r="H62" s="16" t="str">
        <f>IF(Table3[[#This Row],[Min Speed (original, incomplete)]]="",_xlfn.IFNA(_xlfn.XLOOKUP(Table3[[#This Row],[Product Type]],Lookups!$G$2:$G$4,Lookups!$H$2:$H$4),"CHECK PRODUCT"),Table3[[#This Row],[Min Speed (original, incomplete)]])</f>
        <v>15 mph</v>
      </c>
      <c r="I62" s="16" t="s">
        <v>18</v>
      </c>
      <c r="J62" s="16" t="s">
        <v>19</v>
      </c>
      <c r="K62" s="17">
        <f>ROUND(VALUE(SUBSTITUTE(Table3[[#This Row],[Min Speed (mph)]]," mph",""))*Lookups!$L$2,0)</f>
        <v>24</v>
      </c>
      <c r="L62" s="17">
        <f>ROUND(VALUE(SUBSTITUTE(Table3[[#This Row],[Speed]]," mph",""))*Lookups!$L$2,0)</f>
        <v>48</v>
      </c>
      <c r="M62" s="17" t="str">
        <f>Table3[[#This Row],[Min Speed (km/h)]]&amp;" – "&amp;Table3[[#This Row],[Max Speed (km/h)]]&amp;" km/h"</f>
        <v>24 – 48 km/h</v>
      </c>
      <c r="N62" s="18">
        <f>IF(ISNUMBER(SEARCH("mile",Table3[[#This Row],[Distance]])),ROUND(VALUE(SUBSTITUTE(Table3[[#This Row],[Distance]]," miles",""))*Lookups!$L$3,0),ROUND(VALUE(SUBSTITUTE(Table3[[#This Row],[Distance]]," meters",""))*Lookups!$L$4,0))</f>
        <v>48</v>
      </c>
      <c r="O62" s="16" t="s">
        <v>20</v>
      </c>
      <c r="P62" s="16" t="str">
        <f>TRIM(LEFT(Table3[[#This Row],[Shipping Address]],FIND(",",Table3[[#This Row],[Shipping Address]])-1))</f>
        <v>456 Brigade Road</v>
      </c>
      <c r="Q62" s="16" t="str">
        <f>TRIM(MID(Table3[[#This Row],[Shipping Address]],FIND(",",Table3[[#This Row],[Shipping Address]])+1,FIND(",",Table3[[#This Row],[Shipping Address]],FIND(",",Table3[[#This Row],[Shipping Address]])+1)-FIND(",",Table3[[#This Row],[Shipping Address]])-1))</f>
        <v>Bengaluru</v>
      </c>
      <c r="R62" s="16" t="str">
        <f>TRIM(MID(Table3[[#This Row],[Shipping Address]],FIND(",",Table3[[#This Row],[Shipping Address]],FIND(",",Table3[[#This Row],[Shipping Address]])+1)+1,20))</f>
        <v>560001</v>
      </c>
      <c r="S62" s="16" t="s">
        <v>21</v>
      </c>
      <c r="T62" s="16" t="str">
        <f>_xlfn.IFNA(_xlfn.XLOOKUP(Table3[[#This Row],[Country Code]],Lookups!$A$2:$A$5,Lookups!$B$2:$B$5),"CHECK CODE")</f>
        <v>India</v>
      </c>
      <c r="U62" s="16" t="str">
        <f>_xlfn.IFNA(_xlfn.XLOOKUP(Table3[[#This Row],[Country Code]],Lookups!$A$2:$A$5,Lookups!$C$2:$C$5),"CHECK CODE")</f>
        <v>Asia</v>
      </c>
      <c r="V62" s="16" t="s">
        <v>22</v>
      </c>
      <c r="W62" s="16" t="str">
        <f>_xlfn.IFNA(_xlfn.XLOOKUP(Table3[[#This Row],[Country Code]],Lookups!$A$2:$A$5,Lookups!$D$2:$D$5),"CHECK CODE")</f>
        <v>INR</v>
      </c>
      <c r="X62" s="16">
        <f>VALUE(MID(Table3[[#This Row],[Unit Price]],2,50))</f>
        <v>30000</v>
      </c>
      <c r="Y62" s="19">
        <f>_xlfn.IFNA(_xlfn.XLOOKUP(Table3[[#This Row],[Country Code]],Lookups!$A$2:$A$5,Lookups!$E$2:$E$5),"")</f>
        <v>109.88200000000001</v>
      </c>
      <c r="Z62" s="87">
        <f>Table3[[#This Row],[Unit Price (local)]]/Table3[[#This Row],[FX Rate (per EUR)]]</f>
        <v>273.02014888698784</v>
      </c>
      <c r="AA62" s="16">
        <v>250</v>
      </c>
      <c r="AB62" s="20">
        <v>0</v>
      </c>
      <c r="AC62" s="21">
        <f>ROUND(Table3[[#This Row],[Unit Price (EUR)]]*Table3[[#This Row],[Units Sold]],0)</f>
        <v>68255</v>
      </c>
      <c r="AD62" s="22">
        <f>ROUND(Table3[[#This Row],[Gross Sales (EUR)]]*(1-Table3[[#This Row],[Discount (%)]]/100),0)</f>
        <v>68255</v>
      </c>
      <c r="AE62" s="22">
        <f>_xlfn.IFNA(_xlfn.XLOOKUP(Table3[[#This Row],[Month]],Lookups!$N$2:$N$13,Lookups!$O$2:$O$13),"CHECK MONTH")</f>
        <v>6</v>
      </c>
      <c r="AF62" s="22" t="str">
        <f>TEXT(Table3[[#This Row],[Month No]],"00")&amp;" - "&amp;Table3[[#This Row],[Month]]</f>
        <v>06 - June</v>
      </c>
      <c r="AG62" s="22" t="str">
        <f>_xlfn.IFNA(_xlfn.XLOOKUP(Table3[[#This Row],[Month]],Lookups!$N$2:$N$13,Lookups!$P$2:$P$13),"CHECK MONTH")</f>
        <v>Q2</v>
      </c>
      <c r="AH62" s="22">
        <f>Table3[[#This Row],[Gross Sales (EUR)]]-Table3[[#This Row],[Total Sales (EUR)]]</f>
        <v>0</v>
      </c>
      <c r="AI62" s="89">
        <f>DATE(Lookups!$O$15,Table3[[#This Row],[Month No]],1)</f>
        <v>45809</v>
      </c>
    </row>
    <row r="63" spans="1:35" x14ac:dyDescent="0.3">
      <c r="A63" s="15">
        <v>62</v>
      </c>
      <c r="B63" s="16" t="s">
        <v>13</v>
      </c>
      <c r="C63" s="16" t="s">
        <v>14</v>
      </c>
      <c r="D63" s="16" t="str">
        <f>TRIM(Table3[[#This Row],[Rep Last Name]])&amp;", "&amp;TRIM(Table3[[#This Row],[Rep First Name]])</f>
        <v>Joshi, Sanya</v>
      </c>
      <c r="E63" s="16" t="s">
        <v>69</v>
      </c>
      <c r="F63" s="16" t="s">
        <v>23</v>
      </c>
      <c r="G63" s="16" t="s">
        <v>24</v>
      </c>
      <c r="H63" s="16" t="str">
        <f>IF(Table3[[#This Row],[Min Speed (original, incomplete)]]="",_xlfn.IFNA(_xlfn.XLOOKUP(Table3[[#This Row],[Product Type]],Lookups!$G$2:$G$4,Lookups!$H$2:$H$4),"CHECK PRODUCT"),Table3[[#This Row],[Min Speed (original, incomplete)]])</f>
        <v>20 mph</v>
      </c>
      <c r="I63" s="16" t="s">
        <v>25</v>
      </c>
      <c r="J63" s="16" t="s">
        <v>26</v>
      </c>
      <c r="K63" s="17">
        <f>ROUND(VALUE(SUBSTITUTE(Table3[[#This Row],[Min Speed (mph)]]," mph",""))*Lookups!$L$2,0)</f>
        <v>32</v>
      </c>
      <c r="L63" s="17">
        <f>ROUND(VALUE(SUBSTITUTE(Table3[[#This Row],[Speed]]," mph",""))*Lookups!$L$2,0)</f>
        <v>56</v>
      </c>
      <c r="M63" s="17" t="str">
        <f>Table3[[#This Row],[Min Speed (km/h)]]&amp;" – "&amp;Table3[[#This Row],[Max Speed (km/h)]]&amp;" km/h"</f>
        <v>32 – 56 km/h</v>
      </c>
      <c r="N63" s="18">
        <f>IF(ISNUMBER(SEARCH("mile",Table3[[#This Row],[Distance]])),ROUND(VALUE(SUBSTITUTE(Table3[[#This Row],[Distance]]," miles",""))*Lookups!$L$3,0),ROUND(VALUE(SUBSTITUTE(Table3[[#This Row],[Distance]]," meters",""))*Lookups!$L$4,0))</f>
        <v>64</v>
      </c>
      <c r="O63" s="16" t="s">
        <v>27</v>
      </c>
      <c r="P63" s="16" t="str">
        <f>TRIM(LEFT(Table3[[#This Row],[Shipping Address]],FIND(",",Table3[[#This Row],[Shipping Address]])-1))</f>
        <v>457 Brigade Road</v>
      </c>
      <c r="Q63" s="16" t="str">
        <f>TRIM(MID(Table3[[#This Row],[Shipping Address]],FIND(",",Table3[[#This Row],[Shipping Address]])+1,FIND(",",Table3[[#This Row],[Shipping Address]],FIND(",",Table3[[#This Row],[Shipping Address]])+1)-FIND(",",Table3[[#This Row],[Shipping Address]])-1))</f>
        <v>Bengaluru</v>
      </c>
      <c r="R63" s="16" t="str">
        <f>TRIM(MID(Table3[[#This Row],[Shipping Address]],FIND(",",Table3[[#This Row],[Shipping Address]],FIND(",",Table3[[#This Row],[Shipping Address]])+1)+1,20))</f>
        <v>560001</v>
      </c>
      <c r="S63" s="16" t="s">
        <v>21</v>
      </c>
      <c r="T63" s="16" t="str">
        <f>_xlfn.IFNA(_xlfn.XLOOKUP(Table3[[#This Row],[Country Code]],Lookups!$A$2:$A$5,Lookups!$B$2:$B$5),"CHECK CODE")</f>
        <v>India</v>
      </c>
      <c r="U63" s="16" t="str">
        <f>_xlfn.IFNA(_xlfn.XLOOKUP(Table3[[#This Row],[Country Code]],Lookups!$A$2:$A$5,Lookups!$C$2:$C$5),"CHECK CODE")</f>
        <v>Asia</v>
      </c>
      <c r="V63" s="16" t="s">
        <v>28</v>
      </c>
      <c r="W63" s="16" t="str">
        <f>_xlfn.IFNA(_xlfn.XLOOKUP(Table3[[#This Row],[Country Code]],Lookups!$A$2:$A$5,Lookups!$D$2:$D$5),"CHECK CODE")</f>
        <v>INR</v>
      </c>
      <c r="X63" s="16">
        <f>VALUE(MID(Table3[[#This Row],[Unit Price]],2,50))</f>
        <v>25000</v>
      </c>
      <c r="Y63" s="19">
        <f>_xlfn.IFNA(_xlfn.XLOOKUP(Table3[[#This Row],[Country Code]],Lookups!$A$2:$A$5,Lookups!$E$2:$E$5),"")</f>
        <v>109.88200000000001</v>
      </c>
      <c r="Z63" s="87">
        <f>Table3[[#This Row],[Unit Price (local)]]/Table3[[#This Row],[FX Rate (per EUR)]]</f>
        <v>227.51679073915653</v>
      </c>
      <c r="AA63" s="16">
        <v>500</v>
      </c>
      <c r="AB63" s="20">
        <v>0</v>
      </c>
      <c r="AC63" s="21">
        <f>ROUND(Table3[[#This Row],[Unit Price (EUR)]]*Table3[[#This Row],[Units Sold]],0)</f>
        <v>113758</v>
      </c>
      <c r="AD63" s="22">
        <f>ROUND(Table3[[#This Row],[Gross Sales (EUR)]]*(1-Table3[[#This Row],[Discount (%)]]/100),0)</f>
        <v>113758</v>
      </c>
      <c r="AE63" s="22">
        <f>_xlfn.IFNA(_xlfn.XLOOKUP(Table3[[#This Row],[Month]],Lookups!$N$2:$N$13,Lookups!$O$2:$O$13),"CHECK MONTH")</f>
        <v>6</v>
      </c>
      <c r="AF63" s="22" t="str">
        <f>TEXT(Table3[[#This Row],[Month No]],"00")&amp;" - "&amp;Table3[[#This Row],[Month]]</f>
        <v>06 - June</v>
      </c>
      <c r="AG63" s="22" t="str">
        <f>_xlfn.IFNA(_xlfn.XLOOKUP(Table3[[#This Row],[Month]],Lookups!$N$2:$N$13,Lookups!$P$2:$P$13),"CHECK MONTH")</f>
        <v>Q2</v>
      </c>
      <c r="AH63" s="22">
        <f>Table3[[#This Row],[Gross Sales (EUR)]]-Table3[[#This Row],[Total Sales (EUR)]]</f>
        <v>0</v>
      </c>
      <c r="AI63" s="89">
        <f>DATE(Lookups!$O$15,Table3[[#This Row],[Month No]],1)</f>
        <v>45809</v>
      </c>
    </row>
    <row r="64" spans="1:35" x14ac:dyDescent="0.3">
      <c r="A64" s="15">
        <v>63</v>
      </c>
      <c r="B64" s="16" t="s">
        <v>13</v>
      </c>
      <c r="C64" s="16" t="s">
        <v>14</v>
      </c>
      <c r="D64" s="16" t="str">
        <f>TRIM(Table3[[#This Row],[Rep Last Name]])&amp;", "&amp;TRIM(Table3[[#This Row],[Rep First Name]])</f>
        <v>Joshi, Sanya</v>
      </c>
      <c r="E64" s="16" t="s">
        <v>69</v>
      </c>
      <c r="F64" s="16" t="s">
        <v>29</v>
      </c>
      <c r="G64" s="23"/>
      <c r="H64" s="16" t="str">
        <f>IF(Table3[[#This Row],[Min Speed (original, incomplete)]]="",_xlfn.IFNA(_xlfn.XLOOKUP(Table3[[#This Row],[Product Type]],Lookups!$G$2:$G$4,Lookups!$H$2:$H$4),"CHECK PRODUCT"),Table3[[#This Row],[Min Speed (original, incomplete)]])</f>
        <v>18 mph</v>
      </c>
      <c r="I64" s="16" t="s">
        <v>31</v>
      </c>
      <c r="J64" s="16" t="s">
        <v>32</v>
      </c>
      <c r="K64" s="17">
        <f>ROUND(VALUE(SUBSTITUTE(Table3[[#This Row],[Min Speed (mph)]]," mph",""))*Lookups!$L$2,0)</f>
        <v>29</v>
      </c>
      <c r="L64" s="17">
        <f>ROUND(VALUE(SUBSTITUTE(Table3[[#This Row],[Speed]]," mph",""))*Lookups!$L$2,0)</f>
        <v>45</v>
      </c>
      <c r="M64" s="17" t="str">
        <f>Table3[[#This Row],[Min Speed (km/h)]]&amp;" – "&amp;Table3[[#This Row],[Max Speed (km/h)]]&amp;" km/h"</f>
        <v>29 – 45 km/h</v>
      </c>
      <c r="N64" s="18">
        <f>IF(ISNUMBER(SEARCH("mile",Table3[[#This Row],[Distance]])),ROUND(VALUE(SUBSTITUTE(Table3[[#This Row],[Distance]]," miles",""))*Lookups!$L$3,0),ROUND(VALUE(SUBSTITUTE(Table3[[#This Row],[Distance]]," meters",""))*Lookups!$L$4,0))</f>
        <v>40</v>
      </c>
      <c r="O64" s="16" t="s">
        <v>33</v>
      </c>
      <c r="P64" s="16" t="str">
        <f>TRIM(LEFT(Table3[[#This Row],[Shipping Address]],FIND(",",Table3[[#This Row],[Shipping Address]])-1))</f>
        <v>458 Brigade Road</v>
      </c>
      <c r="Q64" s="16" t="str">
        <f>TRIM(MID(Table3[[#This Row],[Shipping Address]],FIND(",",Table3[[#This Row],[Shipping Address]])+1,FIND(",",Table3[[#This Row],[Shipping Address]],FIND(",",Table3[[#This Row],[Shipping Address]])+1)-FIND(",",Table3[[#This Row],[Shipping Address]])-1))</f>
        <v>Bengaluru</v>
      </c>
      <c r="R64" s="16" t="str">
        <f>TRIM(MID(Table3[[#This Row],[Shipping Address]],FIND(",",Table3[[#This Row],[Shipping Address]],FIND(",",Table3[[#This Row],[Shipping Address]])+1)+1,20))</f>
        <v>560001</v>
      </c>
      <c r="S64" s="16" t="s">
        <v>21</v>
      </c>
      <c r="T64" s="16" t="str">
        <f>_xlfn.IFNA(_xlfn.XLOOKUP(Table3[[#This Row],[Country Code]],Lookups!$A$2:$A$5,Lookups!$B$2:$B$5),"CHECK CODE")</f>
        <v>India</v>
      </c>
      <c r="U64" s="16" t="str">
        <f>_xlfn.IFNA(_xlfn.XLOOKUP(Table3[[#This Row],[Country Code]],Lookups!$A$2:$A$5,Lookups!$C$2:$C$5),"CHECK CODE")</f>
        <v>Asia</v>
      </c>
      <c r="V64" s="16" t="s">
        <v>34</v>
      </c>
      <c r="W64" s="16" t="str">
        <f>_xlfn.IFNA(_xlfn.XLOOKUP(Table3[[#This Row],[Country Code]],Lookups!$A$2:$A$5,Lookups!$D$2:$D$5),"CHECK CODE")</f>
        <v>INR</v>
      </c>
      <c r="X64" s="16">
        <f>VALUE(MID(Table3[[#This Row],[Unit Price]],2,50))</f>
        <v>22000</v>
      </c>
      <c r="Y64" s="19">
        <f>_xlfn.IFNA(_xlfn.XLOOKUP(Table3[[#This Row],[Country Code]],Lookups!$A$2:$A$5,Lookups!$E$2:$E$5),"")</f>
        <v>109.88200000000001</v>
      </c>
      <c r="Z64" s="87">
        <f>Table3[[#This Row],[Unit Price (local)]]/Table3[[#This Row],[FX Rate (per EUR)]]</f>
        <v>200.21477585045776</v>
      </c>
      <c r="AA64" s="16">
        <v>400</v>
      </c>
      <c r="AB64" s="20">
        <v>0</v>
      </c>
      <c r="AC64" s="21">
        <f>ROUND(Table3[[#This Row],[Unit Price (EUR)]]*Table3[[#This Row],[Units Sold]],0)</f>
        <v>80086</v>
      </c>
      <c r="AD64" s="22">
        <f>ROUND(Table3[[#This Row],[Gross Sales (EUR)]]*(1-Table3[[#This Row],[Discount (%)]]/100),0)</f>
        <v>80086</v>
      </c>
      <c r="AE64" s="22">
        <f>_xlfn.IFNA(_xlfn.XLOOKUP(Table3[[#This Row],[Month]],Lookups!$N$2:$N$13,Lookups!$O$2:$O$13),"CHECK MONTH")</f>
        <v>6</v>
      </c>
      <c r="AF64" s="22" t="str">
        <f>TEXT(Table3[[#This Row],[Month No]],"00")&amp;" - "&amp;Table3[[#This Row],[Month]]</f>
        <v>06 - June</v>
      </c>
      <c r="AG64" s="22" t="str">
        <f>_xlfn.IFNA(_xlfn.XLOOKUP(Table3[[#This Row],[Month]],Lookups!$N$2:$N$13,Lookups!$P$2:$P$13),"CHECK MONTH")</f>
        <v>Q2</v>
      </c>
      <c r="AH64" s="22">
        <f>Table3[[#This Row],[Gross Sales (EUR)]]-Table3[[#This Row],[Total Sales (EUR)]]</f>
        <v>0</v>
      </c>
      <c r="AI64" s="89">
        <f>DATE(Lookups!$O$15,Table3[[#This Row],[Month No]],1)</f>
        <v>45809</v>
      </c>
    </row>
    <row r="65" spans="1:35" x14ac:dyDescent="0.3">
      <c r="A65" s="15">
        <v>64</v>
      </c>
      <c r="B65" s="16" t="s">
        <v>35</v>
      </c>
      <c r="C65" s="16" t="s">
        <v>36</v>
      </c>
      <c r="D65" s="16" t="str">
        <f>TRIM(Table3[[#This Row],[Rep Last Name]])&amp;", "&amp;TRIM(Table3[[#This Row],[Rep First Name]])</f>
        <v>Liu, Fang</v>
      </c>
      <c r="E65" s="16" t="s">
        <v>69</v>
      </c>
      <c r="F65" s="16" t="s">
        <v>16</v>
      </c>
      <c r="G65" s="16" t="s">
        <v>17</v>
      </c>
      <c r="H65" s="16" t="str">
        <f>IF(Table3[[#This Row],[Min Speed (original, incomplete)]]="",_xlfn.IFNA(_xlfn.XLOOKUP(Table3[[#This Row],[Product Type]],Lookups!$G$2:$G$4,Lookups!$H$2:$H$4),"CHECK PRODUCT"),Table3[[#This Row],[Min Speed (original, incomplete)]])</f>
        <v>15 mph</v>
      </c>
      <c r="I65" s="16" t="s">
        <v>18</v>
      </c>
      <c r="J65" s="16" t="s">
        <v>19</v>
      </c>
      <c r="K65" s="17">
        <f>ROUND(VALUE(SUBSTITUTE(Table3[[#This Row],[Min Speed (mph)]]," mph",""))*Lookups!$L$2,0)</f>
        <v>24</v>
      </c>
      <c r="L65" s="17">
        <f>ROUND(VALUE(SUBSTITUTE(Table3[[#This Row],[Speed]]," mph",""))*Lookups!$L$2,0)</f>
        <v>48</v>
      </c>
      <c r="M65" s="17" t="str">
        <f>Table3[[#This Row],[Min Speed (km/h)]]&amp;" – "&amp;Table3[[#This Row],[Max Speed (km/h)]]&amp;" km/h"</f>
        <v>24 – 48 km/h</v>
      </c>
      <c r="N65" s="18">
        <f>IF(ISNUMBER(SEARCH("mile",Table3[[#This Row],[Distance]])),ROUND(VALUE(SUBSTITUTE(Table3[[#This Row],[Distance]]," miles",""))*Lookups!$L$3,0),ROUND(VALUE(SUBSTITUTE(Table3[[#This Row],[Distance]]," meters",""))*Lookups!$L$4,0))</f>
        <v>48</v>
      </c>
      <c r="O65" s="16" t="s">
        <v>37</v>
      </c>
      <c r="P65" s="16" t="str">
        <f>TRIM(LEFT(Table3[[#This Row],[Shipping Address]],FIND(",",Table3[[#This Row],[Shipping Address]])-1))</f>
        <v>99 Nanjing Road</v>
      </c>
      <c r="Q65" s="16" t="str">
        <f>TRIM(MID(Table3[[#This Row],[Shipping Address]],FIND(",",Table3[[#This Row],[Shipping Address]])+1,FIND(",",Table3[[#This Row],[Shipping Address]],FIND(",",Table3[[#This Row],[Shipping Address]])+1)-FIND(",",Table3[[#This Row],[Shipping Address]])-1))</f>
        <v>Shanghai</v>
      </c>
      <c r="R65" s="16" t="str">
        <f>TRIM(MID(Table3[[#This Row],[Shipping Address]],FIND(",",Table3[[#This Row],[Shipping Address]],FIND(",",Table3[[#This Row],[Shipping Address]])+1)+1,20))</f>
        <v>200001</v>
      </c>
      <c r="S65" s="16" t="s">
        <v>38</v>
      </c>
      <c r="T65" s="16" t="str">
        <f>_xlfn.IFNA(_xlfn.XLOOKUP(Table3[[#This Row],[Country Code]],Lookups!$A$2:$A$5,Lookups!$B$2:$B$5),"CHECK CODE")</f>
        <v>China</v>
      </c>
      <c r="U65" s="16" t="str">
        <f>_xlfn.IFNA(_xlfn.XLOOKUP(Table3[[#This Row],[Country Code]],Lookups!$A$2:$A$5,Lookups!$C$2:$C$5),"CHECK CODE")</f>
        <v>Asia</v>
      </c>
      <c r="V65" s="16" t="s">
        <v>39</v>
      </c>
      <c r="W65" s="16" t="str">
        <f>_xlfn.IFNA(_xlfn.XLOOKUP(Table3[[#This Row],[Country Code]],Lookups!$A$2:$A$5,Lookups!$D$2:$D$5),"CHECK CODE")</f>
        <v>CNY</v>
      </c>
      <c r="X65" s="16">
        <f>VALUE(MID(Table3[[#This Row],[Unit Price]],2,50))</f>
        <v>5000</v>
      </c>
      <c r="Y65" s="19">
        <f>_xlfn.IFNA(_xlfn.XLOOKUP(Table3[[#This Row],[Country Code]],Lookups!$A$2:$A$5,Lookups!$E$2:$E$5),"")</f>
        <v>7.7255000000000003</v>
      </c>
      <c r="Z65" s="87">
        <f>Table3[[#This Row],[Unit Price (local)]]/Table3[[#This Row],[FX Rate (per EUR)]]</f>
        <v>647.20730049834958</v>
      </c>
      <c r="AA65" s="16">
        <v>800</v>
      </c>
      <c r="AB65" s="20">
        <v>0</v>
      </c>
      <c r="AC65" s="21">
        <f>ROUND(Table3[[#This Row],[Unit Price (EUR)]]*Table3[[#This Row],[Units Sold]],0)</f>
        <v>517766</v>
      </c>
      <c r="AD65" s="22">
        <f>ROUND(Table3[[#This Row],[Gross Sales (EUR)]]*(1-Table3[[#This Row],[Discount (%)]]/100),0)</f>
        <v>517766</v>
      </c>
      <c r="AE65" s="22">
        <f>_xlfn.IFNA(_xlfn.XLOOKUP(Table3[[#This Row],[Month]],Lookups!$N$2:$N$13,Lookups!$O$2:$O$13),"CHECK MONTH")</f>
        <v>6</v>
      </c>
      <c r="AF65" s="22" t="str">
        <f>TEXT(Table3[[#This Row],[Month No]],"00")&amp;" - "&amp;Table3[[#This Row],[Month]]</f>
        <v>06 - June</v>
      </c>
      <c r="AG65" s="22" t="str">
        <f>_xlfn.IFNA(_xlfn.XLOOKUP(Table3[[#This Row],[Month]],Lookups!$N$2:$N$13,Lookups!$P$2:$P$13),"CHECK MONTH")</f>
        <v>Q2</v>
      </c>
      <c r="AH65" s="22">
        <f>Table3[[#This Row],[Gross Sales (EUR)]]-Table3[[#This Row],[Total Sales (EUR)]]</f>
        <v>0</v>
      </c>
      <c r="AI65" s="89">
        <f>DATE(Lookups!$O$15,Table3[[#This Row],[Month No]],1)</f>
        <v>45809</v>
      </c>
    </row>
    <row r="66" spans="1:35" x14ac:dyDescent="0.3">
      <c r="A66" s="15">
        <v>65</v>
      </c>
      <c r="B66" s="16" t="s">
        <v>35</v>
      </c>
      <c r="C66" s="16" t="s">
        <v>36</v>
      </c>
      <c r="D66" s="16" t="str">
        <f>TRIM(Table3[[#This Row],[Rep Last Name]])&amp;", "&amp;TRIM(Table3[[#This Row],[Rep First Name]])</f>
        <v>Liu, Fang</v>
      </c>
      <c r="E66" s="16" t="s">
        <v>69</v>
      </c>
      <c r="F66" s="16" t="s">
        <v>23</v>
      </c>
      <c r="G66" s="16" t="s">
        <v>24</v>
      </c>
      <c r="H66" s="16" t="str">
        <f>IF(Table3[[#This Row],[Min Speed (original, incomplete)]]="",_xlfn.IFNA(_xlfn.XLOOKUP(Table3[[#This Row],[Product Type]],Lookups!$G$2:$G$4,Lookups!$H$2:$H$4),"CHECK PRODUCT"),Table3[[#This Row],[Min Speed (original, incomplete)]])</f>
        <v>20 mph</v>
      </c>
      <c r="I66" s="16" t="s">
        <v>25</v>
      </c>
      <c r="J66" s="16" t="s">
        <v>26</v>
      </c>
      <c r="K66" s="17">
        <f>ROUND(VALUE(SUBSTITUTE(Table3[[#This Row],[Min Speed (mph)]]," mph",""))*Lookups!$L$2,0)</f>
        <v>32</v>
      </c>
      <c r="L66" s="17">
        <f>ROUND(VALUE(SUBSTITUTE(Table3[[#This Row],[Speed]]," mph",""))*Lookups!$L$2,0)</f>
        <v>56</v>
      </c>
      <c r="M66" s="17" t="str">
        <f>Table3[[#This Row],[Min Speed (km/h)]]&amp;" – "&amp;Table3[[#This Row],[Max Speed (km/h)]]&amp;" km/h"</f>
        <v>32 – 56 km/h</v>
      </c>
      <c r="N66" s="18">
        <f>IF(ISNUMBER(SEARCH("mile",Table3[[#This Row],[Distance]])),ROUND(VALUE(SUBSTITUTE(Table3[[#This Row],[Distance]]," miles",""))*Lookups!$L$3,0),ROUND(VALUE(SUBSTITUTE(Table3[[#This Row],[Distance]]," meters",""))*Lookups!$L$4,0))</f>
        <v>64</v>
      </c>
      <c r="O66" s="16" t="s">
        <v>40</v>
      </c>
      <c r="P66" s="16" t="str">
        <f>TRIM(LEFT(Table3[[#This Row],[Shipping Address]],FIND(",",Table3[[#This Row],[Shipping Address]])-1))</f>
        <v>100 Nanjing Road</v>
      </c>
      <c r="Q66" s="16" t="str">
        <f>TRIM(MID(Table3[[#This Row],[Shipping Address]],FIND(",",Table3[[#This Row],[Shipping Address]])+1,FIND(",",Table3[[#This Row],[Shipping Address]],FIND(",",Table3[[#This Row],[Shipping Address]])+1)-FIND(",",Table3[[#This Row],[Shipping Address]])-1))</f>
        <v>Shanghai</v>
      </c>
      <c r="R66" s="16" t="str">
        <f>TRIM(MID(Table3[[#This Row],[Shipping Address]],FIND(",",Table3[[#This Row],[Shipping Address]],FIND(",",Table3[[#This Row],[Shipping Address]])+1)+1,20))</f>
        <v>200001</v>
      </c>
      <c r="S66" s="16" t="s">
        <v>38</v>
      </c>
      <c r="T66" s="16" t="str">
        <f>_xlfn.IFNA(_xlfn.XLOOKUP(Table3[[#This Row],[Country Code]],Lookups!$A$2:$A$5,Lookups!$B$2:$B$5),"CHECK CODE")</f>
        <v>China</v>
      </c>
      <c r="U66" s="16" t="str">
        <f>_xlfn.IFNA(_xlfn.XLOOKUP(Table3[[#This Row],[Country Code]],Lookups!$A$2:$A$5,Lookups!$C$2:$C$5),"CHECK CODE")</f>
        <v>Asia</v>
      </c>
      <c r="V66" s="16" t="s">
        <v>41</v>
      </c>
      <c r="W66" s="16" t="str">
        <f>_xlfn.IFNA(_xlfn.XLOOKUP(Table3[[#This Row],[Country Code]],Lookups!$A$2:$A$5,Lookups!$D$2:$D$5),"CHECK CODE")</f>
        <v>CNY</v>
      </c>
      <c r="X66" s="16">
        <f>VALUE(MID(Table3[[#This Row],[Unit Price]],2,50))</f>
        <v>3500</v>
      </c>
      <c r="Y66" s="19">
        <f>_xlfn.IFNA(_xlfn.XLOOKUP(Table3[[#This Row],[Country Code]],Lookups!$A$2:$A$5,Lookups!$E$2:$E$5),"")</f>
        <v>7.7255000000000003</v>
      </c>
      <c r="Z66" s="87">
        <f>Table3[[#This Row],[Unit Price (local)]]/Table3[[#This Row],[FX Rate (per EUR)]]</f>
        <v>453.04511034884473</v>
      </c>
      <c r="AA66" s="16">
        <v>1900</v>
      </c>
      <c r="AB66" s="20">
        <v>0</v>
      </c>
      <c r="AC66" s="21">
        <f>ROUND(Table3[[#This Row],[Unit Price (EUR)]]*Table3[[#This Row],[Units Sold]],0)</f>
        <v>860786</v>
      </c>
      <c r="AD66" s="22">
        <f>ROUND(Table3[[#This Row],[Gross Sales (EUR)]]*(1-Table3[[#This Row],[Discount (%)]]/100),0)</f>
        <v>860786</v>
      </c>
      <c r="AE66" s="22">
        <f>_xlfn.IFNA(_xlfn.XLOOKUP(Table3[[#This Row],[Month]],Lookups!$N$2:$N$13,Lookups!$O$2:$O$13),"CHECK MONTH")</f>
        <v>6</v>
      </c>
      <c r="AF66" s="22" t="str">
        <f>TEXT(Table3[[#This Row],[Month No]],"00")&amp;" - "&amp;Table3[[#This Row],[Month]]</f>
        <v>06 - June</v>
      </c>
      <c r="AG66" s="22" t="str">
        <f>_xlfn.IFNA(_xlfn.XLOOKUP(Table3[[#This Row],[Month]],Lookups!$N$2:$N$13,Lookups!$P$2:$P$13),"CHECK MONTH")</f>
        <v>Q2</v>
      </c>
      <c r="AH66" s="22">
        <f>Table3[[#This Row],[Gross Sales (EUR)]]-Table3[[#This Row],[Total Sales (EUR)]]</f>
        <v>0</v>
      </c>
      <c r="AI66" s="89">
        <f>DATE(Lookups!$O$15,Table3[[#This Row],[Month No]],1)</f>
        <v>45809</v>
      </c>
    </row>
    <row r="67" spans="1:35" x14ac:dyDescent="0.3">
      <c r="A67" s="15">
        <v>66</v>
      </c>
      <c r="B67" s="16" t="s">
        <v>35</v>
      </c>
      <c r="C67" s="16" t="s">
        <v>36</v>
      </c>
      <c r="D67" s="16" t="str">
        <f>TRIM(Table3[[#This Row],[Rep Last Name]])&amp;", "&amp;TRIM(Table3[[#This Row],[Rep First Name]])</f>
        <v>Liu, Fang</v>
      </c>
      <c r="E67" s="16" t="s">
        <v>69</v>
      </c>
      <c r="F67" s="16" t="s">
        <v>29</v>
      </c>
      <c r="G67" s="16" t="s">
        <v>30</v>
      </c>
      <c r="H67" s="16" t="str">
        <f>IF(Table3[[#This Row],[Min Speed (original, incomplete)]]="",_xlfn.IFNA(_xlfn.XLOOKUP(Table3[[#This Row],[Product Type]],Lookups!$G$2:$G$4,Lookups!$H$2:$H$4),"CHECK PRODUCT"),Table3[[#This Row],[Min Speed (original, incomplete)]])</f>
        <v>18 mph</v>
      </c>
      <c r="I67" s="16" t="s">
        <v>31</v>
      </c>
      <c r="J67" s="16" t="s">
        <v>32</v>
      </c>
      <c r="K67" s="17">
        <f>ROUND(VALUE(SUBSTITUTE(Table3[[#This Row],[Min Speed (mph)]]," mph",""))*Lookups!$L$2,0)</f>
        <v>29</v>
      </c>
      <c r="L67" s="17">
        <f>ROUND(VALUE(SUBSTITUTE(Table3[[#This Row],[Speed]]," mph",""))*Lookups!$L$2,0)</f>
        <v>45</v>
      </c>
      <c r="M67" s="17" t="str">
        <f>Table3[[#This Row],[Min Speed (km/h)]]&amp;" – "&amp;Table3[[#This Row],[Max Speed (km/h)]]&amp;" km/h"</f>
        <v>29 – 45 km/h</v>
      </c>
      <c r="N67" s="18">
        <f>IF(ISNUMBER(SEARCH("mile",Table3[[#This Row],[Distance]])),ROUND(VALUE(SUBSTITUTE(Table3[[#This Row],[Distance]]," miles",""))*Lookups!$L$3,0),ROUND(VALUE(SUBSTITUTE(Table3[[#This Row],[Distance]]," meters",""))*Lookups!$L$4,0))</f>
        <v>40</v>
      </c>
      <c r="O67" s="16" t="s">
        <v>43</v>
      </c>
      <c r="P67" s="16" t="str">
        <f>TRIM(LEFT(Table3[[#This Row],[Shipping Address]],FIND(",",Table3[[#This Row],[Shipping Address]])-1))</f>
        <v>101 Nanjing Road</v>
      </c>
      <c r="Q67" s="16" t="str">
        <f>TRIM(MID(Table3[[#This Row],[Shipping Address]],FIND(",",Table3[[#This Row],[Shipping Address]])+1,FIND(",",Table3[[#This Row],[Shipping Address]],FIND(",",Table3[[#This Row],[Shipping Address]])+1)-FIND(",",Table3[[#This Row],[Shipping Address]])-1))</f>
        <v>Shanghai</v>
      </c>
      <c r="R67" s="16" t="str">
        <f>TRIM(MID(Table3[[#This Row],[Shipping Address]],FIND(",",Table3[[#This Row],[Shipping Address]],FIND(",",Table3[[#This Row],[Shipping Address]])+1)+1,20))</f>
        <v>200001</v>
      </c>
      <c r="S67" s="16" t="s">
        <v>38</v>
      </c>
      <c r="T67" s="16" t="str">
        <f>_xlfn.IFNA(_xlfn.XLOOKUP(Table3[[#This Row],[Country Code]],Lookups!$A$2:$A$5,Lookups!$B$2:$B$5),"CHECK CODE")</f>
        <v>China</v>
      </c>
      <c r="U67" s="16" t="str">
        <f>_xlfn.IFNA(_xlfn.XLOOKUP(Table3[[#This Row],[Country Code]],Lookups!$A$2:$A$5,Lookups!$C$2:$C$5),"CHECK CODE")</f>
        <v>Asia</v>
      </c>
      <c r="V67" s="16" t="s">
        <v>44</v>
      </c>
      <c r="W67" s="16" t="str">
        <f>_xlfn.IFNA(_xlfn.XLOOKUP(Table3[[#This Row],[Country Code]],Lookups!$A$2:$A$5,Lookups!$D$2:$D$5),"CHECK CODE")</f>
        <v>CNY</v>
      </c>
      <c r="X67" s="16">
        <f>VALUE(MID(Table3[[#This Row],[Unit Price]],2,50))</f>
        <v>4200</v>
      </c>
      <c r="Y67" s="19">
        <f>_xlfn.IFNA(_xlfn.XLOOKUP(Table3[[#This Row],[Country Code]],Lookups!$A$2:$A$5,Lookups!$E$2:$E$5),"")</f>
        <v>7.7255000000000003</v>
      </c>
      <c r="Z67" s="87">
        <f>Table3[[#This Row],[Unit Price (local)]]/Table3[[#This Row],[FX Rate (per EUR)]]</f>
        <v>543.6541324186137</v>
      </c>
      <c r="AA67" s="16">
        <v>1200</v>
      </c>
      <c r="AB67" s="20">
        <v>0</v>
      </c>
      <c r="AC67" s="21">
        <f>ROUND(Table3[[#This Row],[Unit Price (EUR)]]*Table3[[#This Row],[Units Sold]],0)</f>
        <v>652385</v>
      </c>
      <c r="AD67" s="22">
        <f>ROUND(Table3[[#This Row],[Gross Sales (EUR)]]*(1-Table3[[#This Row],[Discount (%)]]/100),0)</f>
        <v>652385</v>
      </c>
      <c r="AE67" s="22">
        <f>_xlfn.IFNA(_xlfn.XLOOKUP(Table3[[#This Row],[Month]],Lookups!$N$2:$N$13,Lookups!$O$2:$O$13),"CHECK MONTH")</f>
        <v>6</v>
      </c>
      <c r="AF67" s="22" t="str">
        <f>TEXT(Table3[[#This Row],[Month No]],"00")&amp;" - "&amp;Table3[[#This Row],[Month]]</f>
        <v>06 - June</v>
      </c>
      <c r="AG67" s="22" t="str">
        <f>_xlfn.IFNA(_xlfn.XLOOKUP(Table3[[#This Row],[Month]],Lookups!$N$2:$N$13,Lookups!$P$2:$P$13),"CHECK MONTH")</f>
        <v>Q2</v>
      </c>
      <c r="AH67" s="22">
        <f>Table3[[#This Row],[Gross Sales (EUR)]]-Table3[[#This Row],[Total Sales (EUR)]]</f>
        <v>0</v>
      </c>
      <c r="AI67" s="89">
        <f>DATE(Lookups!$O$15,Table3[[#This Row],[Month No]],1)</f>
        <v>45809</v>
      </c>
    </row>
    <row r="68" spans="1:35" x14ac:dyDescent="0.3">
      <c r="A68" s="15">
        <v>67</v>
      </c>
      <c r="B68" s="16" t="s">
        <v>45</v>
      </c>
      <c r="C68" s="16" t="s">
        <v>46</v>
      </c>
      <c r="D68" s="16" t="str">
        <f>TRIM(Table3[[#This Row],[Rep Last Name]])&amp;", "&amp;TRIM(Table3[[#This Row],[Rep First Name]])</f>
        <v>Fischer, Jonas</v>
      </c>
      <c r="E68" s="16" t="s">
        <v>69</v>
      </c>
      <c r="F68" s="16" t="s">
        <v>16</v>
      </c>
      <c r="G68" s="16" t="s">
        <v>17</v>
      </c>
      <c r="H68" s="16" t="str">
        <f>IF(Table3[[#This Row],[Min Speed (original, incomplete)]]="",_xlfn.IFNA(_xlfn.XLOOKUP(Table3[[#This Row],[Product Type]],Lookups!$G$2:$G$4,Lookups!$H$2:$H$4),"CHECK PRODUCT"),Table3[[#This Row],[Min Speed (original, incomplete)]])</f>
        <v>15 mph</v>
      </c>
      <c r="I68" s="16" t="s">
        <v>18</v>
      </c>
      <c r="J68" s="16" t="s">
        <v>19</v>
      </c>
      <c r="K68" s="17">
        <f>ROUND(VALUE(SUBSTITUTE(Table3[[#This Row],[Min Speed (mph)]]," mph",""))*Lookups!$L$2,0)</f>
        <v>24</v>
      </c>
      <c r="L68" s="17">
        <f>ROUND(VALUE(SUBSTITUTE(Table3[[#This Row],[Speed]]," mph",""))*Lookups!$L$2,0)</f>
        <v>48</v>
      </c>
      <c r="M68" s="17" t="str">
        <f>Table3[[#This Row],[Min Speed (km/h)]]&amp;" – "&amp;Table3[[#This Row],[Max Speed (km/h)]]&amp;" km/h"</f>
        <v>24 – 48 km/h</v>
      </c>
      <c r="N68" s="18">
        <f>IF(ISNUMBER(SEARCH("mile",Table3[[#This Row],[Distance]])),ROUND(VALUE(SUBSTITUTE(Table3[[#This Row],[Distance]]," miles",""))*Lookups!$L$3,0),ROUND(VALUE(SUBSTITUTE(Table3[[#This Row],[Distance]]," meters",""))*Lookups!$L$4,0))</f>
        <v>48</v>
      </c>
      <c r="O68" s="16" t="s">
        <v>48</v>
      </c>
      <c r="P68" s="16" t="str">
        <f>TRIM(LEFT(Table3[[#This Row],[Shipping Address]],FIND(",",Table3[[#This Row],[Shipping Address]])-1))</f>
        <v>303 Ringstraße</v>
      </c>
      <c r="Q68" s="16" t="str">
        <f>TRIM(MID(Table3[[#This Row],[Shipping Address]],FIND(",",Table3[[#This Row],[Shipping Address]])+1,FIND(",",Table3[[#This Row],[Shipping Address]],FIND(",",Table3[[#This Row],[Shipping Address]])+1)-FIND(",",Table3[[#This Row],[Shipping Address]])-1))</f>
        <v>Hamburg</v>
      </c>
      <c r="R68" s="16" t="str">
        <f>TRIM(MID(Table3[[#This Row],[Shipping Address]],FIND(",",Table3[[#This Row],[Shipping Address]],FIND(",",Table3[[#This Row],[Shipping Address]])+1)+1,20))</f>
        <v>20095</v>
      </c>
      <c r="S68" s="16" t="s">
        <v>49</v>
      </c>
      <c r="T68" s="16" t="str">
        <f>_xlfn.IFNA(_xlfn.XLOOKUP(Table3[[#This Row],[Country Code]],Lookups!$A$2:$A$5,Lookups!$B$2:$B$5),"CHECK CODE")</f>
        <v>Germany</v>
      </c>
      <c r="U68" s="16" t="str">
        <f>_xlfn.IFNA(_xlfn.XLOOKUP(Table3[[#This Row],[Country Code]],Lookups!$A$2:$A$5,Lookups!$C$2:$C$5),"CHECK CODE")</f>
        <v>Europe</v>
      </c>
      <c r="V68" s="16" t="s">
        <v>50</v>
      </c>
      <c r="W68" s="16" t="str">
        <f>_xlfn.IFNA(_xlfn.XLOOKUP(Table3[[#This Row],[Country Code]],Lookups!$A$2:$A$5,Lookups!$D$2:$D$5),"CHECK CODE")</f>
        <v>EUR</v>
      </c>
      <c r="X68" s="16">
        <f>VALUE(MID(Table3[[#This Row],[Unit Price]],2,50))</f>
        <v>1000</v>
      </c>
      <c r="Y68" s="19">
        <f>_xlfn.IFNA(_xlfn.XLOOKUP(Table3[[#This Row],[Country Code]],Lookups!$A$2:$A$5,Lookups!$E$2:$E$5),"")</f>
        <v>1</v>
      </c>
      <c r="Z68" s="87">
        <f>Table3[[#This Row],[Unit Price (local)]]/Table3[[#This Row],[FX Rate (per EUR)]]</f>
        <v>1000</v>
      </c>
      <c r="AA68" s="16">
        <v>200</v>
      </c>
      <c r="AB68" s="20">
        <v>0</v>
      </c>
      <c r="AC68" s="21">
        <f>ROUND(Table3[[#This Row],[Unit Price (EUR)]]*Table3[[#This Row],[Units Sold]],0)</f>
        <v>200000</v>
      </c>
      <c r="AD68" s="22">
        <f>ROUND(Table3[[#This Row],[Gross Sales (EUR)]]*(1-Table3[[#This Row],[Discount (%)]]/100),0)</f>
        <v>200000</v>
      </c>
      <c r="AE68" s="22">
        <f>_xlfn.IFNA(_xlfn.XLOOKUP(Table3[[#This Row],[Month]],Lookups!$N$2:$N$13,Lookups!$O$2:$O$13),"CHECK MONTH")</f>
        <v>6</v>
      </c>
      <c r="AF68" s="22" t="str">
        <f>TEXT(Table3[[#This Row],[Month No]],"00")&amp;" - "&amp;Table3[[#This Row],[Month]]</f>
        <v>06 - June</v>
      </c>
      <c r="AG68" s="22" t="str">
        <f>_xlfn.IFNA(_xlfn.XLOOKUP(Table3[[#This Row],[Month]],Lookups!$N$2:$N$13,Lookups!$P$2:$P$13),"CHECK MONTH")</f>
        <v>Q2</v>
      </c>
      <c r="AH68" s="22">
        <f>Table3[[#This Row],[Gross Sales (EUR)]]-Table3[[#This Row],[Total Sales (EUR)]]</f>
        <v>0</v>
      </c>
      <c r="AI68" s="89">
        <f>DATE(Lookups!$O$15,Table3[[#This Row],[Month No]],1)</f>
        <v>45809</v>
      </c>
    </row>
    <row r="69" spans="1:35" x14ac:dyDescent="0.3">
      <c r="A69" s="15">
        <v>68</v>
      </c>
      <c r="B69" s="16" t="s">
        <v>45</v>
      </c>
      <c r="C69" s="16" t="s">
        <v>46</v>
      </c>
      <c r="D69" s="16" t="str">
        <f>TRIM(Table3[[#This Row],[Rep Last Name]])&amp;", "&amp;TRIM(Table3[[#This Row],[Rep First Name]])</f>
        <v>Fischer, Jonas</v>
      </c>
      <c r="E69" s="16" t="s">
        <v>69</v>
      </c>
      <c r="F69" s="16" t="s">
        <v>23</v>
      </c>
      <c r="G69" s="16" t="s">
        <v>24</v>
      </c>
      <c r="H69" s="16" t="str">
        <f>IF(Table3[[#This Row],[Min Speed (original, incomplete)]]="",_xlfn.IFNA(_xlfn.XLOOKUP(Table3[[#This Row],[Product Type]],Lookups!$G$2:$G$4,Lookups!$H$2:$H$4),"CHECK PRODUCT"),Table3[[#This Row],[Min Speed (original, incomplete)]])</f>
        <v>20 mph</v>
      </c>
      <c r="I69" s="16" t="s">
        <v>25</v>
      </c>
      <c r="J69" s="16" t="s">
        <v>60</v>
      </c>
      <c r="K69" s="17">
        <f>ROUND(VALUE(SUBSTITUTE(Table3[[#This Row],[Min Speed (mph)]]," mph",""))*Lookups!$L$2,0)</f>
        <v>32</v>
      </c>
      <c r="L69" s="17">
        <f>ROUND(VALUE(SUBSTITUTE(Table3[[#This Row],[Speed]]," mph",""))*Lookups!$L$2,0)</f>
        <v>56</v>
      </c>
      <c r="M69" s="17" t="str">
        <f>Table3[[#This Row],[Min Speed (km/h)]]&amp;" – "&amp;Table3[[#This Row],[Max Speed (km/h)]]&amp;" km/h"</f>
        <v>32 – 56 km/h</v>
      </c>
      <c r="N69" s="18">
        <f>IF(ISNUMBER(SEARCH("mile",Table3[[#This Row],[Distance]])),ROUND(VALUE(SUBSTITUTE(Table3[[#This Row],[Distance]]," miles",""))*Lookups!$L$3,0),ROUND(VALUE(SUBSTITUTE(Table3[[#This Row],[Distance]]," meters",""))*Lookups!$L$4,0))</f>
        <v>64</v>
      </c>
      <c r="O69" s="16" t="s">
        <v>51</v>
      </c>
      <c r="P69" s="16" t="str">
        <f>TRIM(LEFT(Table3[[#This Row],[Shipping Address]],FIND(",",Table3[[#This Row],[Shipping Address]])-1))</f>
        <v>304 Ringstraße</v>
      </c>
      <c r="Q69" s="16" t="str">
        <f>TRIM(MID(Table3[[#This Row],[Shipping Address]],FIND(",",Table3[[#This Row],[Shipping Address]])+1,FIND(",",Table3[[#This Row],[Shipping Address]],FIND(",",Table3[[#This Row],[Shipping Address]])+1)-FIND(",",Table3[[#This Row],[Shipping Address]])-1))</f>
        <v>Hamburg</v>
      </c>
      <c r="R69" s="16" t="str">
        <f>TRIM(MID(Table3[[#This Row],[Shipping Address]],FIND(",",Table3[[#This Row],[Shipping Address]],FIND(",",Table3[[#This Row],[Shipping Address]])+1)+1,20))</f>
        <v>20095</v>
      </c>
      <c r="S69" s="16" t="s">
        <v>49</v>
      </c>
      <c r="T69" s="16" t="str">
        <f>_xlfn.IFNA(_xlfn.XLOOKUP(Table3[[#This Row],[Country Code]],Lookups!$A$2:$A$5,Lookups!$B$2:$B$5),"CHECK CODE")</f>
        <v>Germany</v>
      </c>
      <c r="U69" s="16" t="str">
        <f>_xlfn.IFNA(_xlfn.XLOOKUP(Table3[[#This Row],[Country Code]],Lookups!$A$2:$A$5,Lookups!$C$2:$C$5),"CHECK CODE")</f>
        <v>Europe</v>
      </c>
      <c r="V69" s="16" t="s">
        <v>52</v>
      </c>
      <c r="W69" s="16" t="str">
        <f>_xlfn.IFNA(_xlfn.XLOOKUP(Table3[[#This Row],[Country Code]],Lookups!$A$2:$A$5,Lookups!$D$2:$D$5),"CHECK CODE")</f>
        <v>EUR</v>
      </c>
      <c r="X69" s="16">
        <f>VALUE(MID(Table3[[#This Row],[Unit Price]],2,50))</f>
        <v>800</v>
      </c>
      <c r="Y69" s="19">
        <f>_xlfn.IFNA(_xlfn.XLOOKUP(Table3[[#This Row],[Country Code]],Lookups!$A$2:$A$5,Lookups!$E$2:$E$5),"")</f>
        <v>1</v>
      </c>
      <c r="Z69" s="87">
        <f>Table3[[#This Row],[Unit Price (local)]]/Table3[[#This Row],[FX Rate (per EUR)]]</f>
        <v>800</v>
      </c>
      <c r="AA69" s="16">
        <v>350</v>
      </c>
      <c r="AB69" s="20">
        <v>0</v>
      </c>
      <c r="AC69" s="21">
        <f>ROUND(Table3[[#This Row],[Unit Price (EUR)]]*Table3[[#This Row],[Units Sold]],0)</f>
        <v>280000</v>
      </c>
      <c r="AD69" s="22">
        <f>ROUND(Table3[[#This Row],[Gross Sales (EUR)]]*(1-Table3[[#This Row],[Discount (%)]]/100),0)</f>
        <v>280000</v>
      </c>
      <c r="AE69" s="22">
        <f>_xlfn.IFNA(_xlfn.XLOOKUP(Table3[[#This Row],[Month]],Lookups!$N$2:$N$13,Lookups!$O$2:$O$13),"CHECK MONTH")</f>
        <v>6</v>
      </c>
      <c r="AF69" s="22" t="str">
        <f>TEXT(Table3[[#This Row],[Month No]],"00")&amp;" - "&amp;Table3[[#This Row],[Month]]</f>
        <v>06 - June</v>
      </c>
      <c r="AG69" s="22" t="str">
        <f>_xlfn.IFNA(_xlfn.XLOOKUP(Table3[[#This Row],[Month]],Lookups!$N$2:$N$13,Lookups!$P$2:$P$13),"CHECK MONTH")</f>
        <v>Q2</v>
      </c>
      <c r="AH69" s="22">
        <f>Table3[[#This Row],[Gross Sales (EUR)]]-Table3[[#This Row],[Total Sales (EUR)]]</f>
        <v>0</v>
      </c>
      <c r="AI69" s="89">
        <f>DATE(Lookups!$O$15,Table3[[#This Row],[Month No]],1)</f>
        <v>45809</v>
      </c>
    </row>
    <row r="70" spans="1:35" x14ac:dyDescent="0.3">
      <c r="A70" s="15">
        <v>69</v>
      </c>
      <c r="B70" s="16" t="s">
        <v>45</v>
      </c>
      <c r="C70" s="16" t="s">
        <v>46</v>
      </c>
      <c r="D70" s="16" t="str">
        <f>TRIM(Table3[[#This Row],[Rep Last Name]])&amp;", "&amp;TRIM(Table3[[#This Row],[Rep First Name]])</f>
        <v>Fischer, Jonas</v>
      </c>
      <c r="E70" s="16" t="s">
        <v>69</v>
      </c>
      <c r="F70" s="16" t="s">
        <v>29</v>
      </c>
      <c r="G70" s="16" t="s">
        <v>30</v>
      </c>
      <c r="H70" s="16" t="str">
        <f>IF(Table3[[#This Row],[Min Speed (original, incomplete)]]="",_xlfn.IFNA(_xlfn.XLOOKUP(Table3[[#This Row],[Product Type]],Lookups!$G$2:$G$4,Lookups!$H$2:$H$4),"CHECK PRODUCT"),Table3[[#This Row],[Min Speed (original, incomplete)]])</f>
        <v>18 mph</v>
      </c>
      <c r="I70" s="16" t="s">
        <v>31</v>
      </c>
      <c r="J70" s="16" t="s">
        <v>42</v>
      </c>
      <c r="K70" s="17">
        <f>ROUND(VALUE(SUBSTITUTE(Table3[[#This Row],[Min Speed (mph)]]," mph",""))*Lookups!$L$2,0)</f>
        <v>29</v>
      </c>
      <c r="L70" s="17">
        <f>ROUND(VALUE(SUBSTITUTE(Table3[[#This Row],[Speed]]," mph",""))*Lookups!$L$2,0)</f>
        <v>45</v>
      </c>
      <c r="M70" s="17" t="str">
        <f>Table3[[#This Row],[Min Speed (km/h)]]&amp;" – "&amp;Table3[[#This Row],[Max Speed (km/h)]]&amp;" km/h"</f>
        <v>29 – 45 km/h</v>
      </c>
      <c r="N70" s="18">
        <f>IF(ISNUMBER(SEARCH("mile",Table3[[#This Row],[Distance]])),ROUND(VALUE(SUBSTITUTE(Table3[[#This Row],[Distance]]," miles",""))*Lookups!$L$3,0),ROUND(VALUE(SUBSTITUTE(Table3[[#This Row],[Distance]]," meters",""))*Lookups!$L$4,0))</f>
        <v>40</v>
      </c>
      <c r="O70" s="16" t="s">
        <v>53</v>
      </c>
      <c r="P70" s="16" t="str">
        <f>TRIM(LEFT(Table3[[#This Row],[Shipping Address]],FIND(",",Table3[[#This Row],[Shipping Address]])-1))</f>
        <v>305 Ringstraße</v>
      </c>
      <c r="Q70" s="16" t="str">
        <f>TRIM(MID(Table3[[#This Row],[Shipping Address]],FIND(",",Table3[[#This Row],[Shipping Address]])+1,FIND(",",Table3[[#This Row],[Shipping Address]],FIND(",",Table3[[#This Row],[Shipping Address]])+1)-FIND(",",Table3[[#This Row],[Shipping Address]])-1))</f>
        <v>Hamburg</v>
      </c>
      <c r="R70" s="16" t="str">
        <f>TRIM(MID(Table3[[#This Row],[Shipping Address]],FIND(",",Table3[[#This Row],[Shipping Address]],FIND(",",Table3[[#This Row],[Shipping Address]])+1)+1,20))</f>
        <v>20095</v>
      </c>
      <c r="S70" s="16" t="s">
        <v>49</v>
      </c>
      <c r="T70" s="16" t="str">
        <f>_xlfn.IFNA(_xlfn.XLOOKUP(Table3[[#This Row],[Country Code]],Lookups!$A$2:$A$5,Lookups!$B$2:$B$5),"CHECK CODE")</f>
        <v>Germany</v>
      </c>
      <c r="U70" s="16" t="str">
        <f>_xlfn.IFNA(_xlfn.XLOOKUP(Table3[[#This Row],[Country Code]],Lookups!$A$2:$A$5,Lookups!$C$2:$C$5),"CHECK CODE")</f>
        <v>Europe</v>
      </c>
      <c r="V70" s="16" t="s">
        <v>54</v>
      </c>
      <c r="W70" s="16" t="str">
        <f>_xlfn.IFNA(_xlfn.XLOOKUP(Table3[[#This Row],[Country Code]],Lookups!$A$2:$A$5,Lookups!$D$2:$D$5),"CHECK CODE")</f>
        <v>EUR</v>
      </c>
      <c r="X70" s="16">
        <f>VALUE(MID(Table3[[#This Row],[Unit Price]],2,50))</f>
        <v>950</v>
      </c>
      <c r="Y70" s="19">
        <f>_xlfn.IFNA(_xlfn.XLOOKUP(Table3[[#This Row],[Country Code]],Lookups!$A$2:$A$5,Lookups!$E$2:$E$5),"")</f>
        <v>1</v>
      </c>
      <c r="Z70" s="87">
        <f>Table3[[#This Row],[Unit Price (local)]]/Table3[[#This Row],[FX Rate (per EUR)]]</f>
        <v>950</v>
      </c>
      <c r="AA70" s="16">
        <v>250</v>
      </c>
      <c r="AB70" s="20">
        <v>0</v>
      </c>
      <c r="AC70" s="21">
        <f>ROUND(Table3[[#This Row],[Unit Price (EUR)]]*Table3[[#This Row],[Units Sold]],0)</f>
        <v>237500</v>
      </c>
      <c r="AD70" s="22">
        <f>ROUND(Table3[[#This Row],[Gross Sales (EUR)]]*(1-Table3[[#This Row],[Discount (%)]]/100),0)</f>
        <v>237500</v>
      </c>
      <c r="AE70" s="22">
        <f>_xlfn.IFNA(_xlfn.XLOOKUP(Table3[[#This Row],[Month]],Lookups!$N$2:$N$13,Lookups!$O$2:$O$13),"CHECK MONTH")</f>
        <v>6</v>
      </c>
      <c r="AF70" s="22" t="str">
        <f>TEXT(Table3[[#This Row],[Month No]],"00")&amp;" - "&amp;Table3[[#This Row],[Month]]</f>
        <v>06 - June</v>
      </c>
      <c r="AG70" s="22" t="str">
        <f>_xlfn.IFNA(_xlfn.XLOOKUP(Table3[[#This Row],[Month]],Lookups!$N$2:$N$13,Lookups!$P$2:$P$13),"CHECK MONTH")</f>
        <v>Q2</v>
      </c>
      <c r="AH70" s="22">
        <f>Table3[[#This Row],[Gross Sales (EUR)]]-Table3[[#This Row],[Total Sales (EUR)]]</f>
        <v>0</v>
      </c>
      <c r="AI70" s="89">
        <f>DATE(Lookups!$O$15,Table3[[#This Row],[Month No]],1)</f>
        <v>45809</v>
      </c>
    </row>
    <row r="71" spans="1:35" x14ac:dyDescent="0.3">
      <c r="A71" s="15">
        <v>70</v>
      </c>
      <c r="B71" s="16" t="s">
        <v>55</v>
      </c>
      <c r="C71" s="16" t="s">
        <v>56</v>
      </c>
      <c r="D71" s="16" t="str">
        <f>TRIM(Table3[[#This Row],[Rep Last Name]])&amp;", "&amp;TRIM(Table3[[#This Row],[Rep First Name]])</f>
        <v>Bernard, Théo</v>
      </c>
      <c r="E71" s="16" t="s">
        <v>69</v>
      </c>
      <c r="F71" s="16" t="s">
        <v>16</v>
      </c>
      <c r="G71" s="23"/>
      <c r="H71" s="16" t="str">
        <f>IF(Table3[[#This Row],[Min Speed (original, incomplete)]]="",_xlfn.IFNA(_xlfn.XLOOKUP(Table3[[#This Row],[Product Type]],Lookups!$G$2:$G$4,Lookups!$H$2:$H$4),"CHECK PRODUCT"),Table3[[#This Row],[Min Speed (original, incomplete)]])</f>
        <v>15 mph</v>
      </c>
      <c r="I71" s="16" t="s">
        <v>18</v>
      </c>
      <c r="J71" s="16" t="s">
        <v>19</v>
      </c>
      <c r="K71" s="17">
        <f>ROUND(VALUE(SUBSTITUTE(Table3[[#This Row],[Min Speed (mph)]]," mph",""))*Lookups!$L$2,0)</f>
        <v>24</v>
      </c>
      <c r="L71" s="17">
        <f>ROUND(VALUE(SUBSTITUTE(Table3[[#This Row],[Speed]]," mph",""))*Lookups!$L$2,0)</f>
        <v>48</v>
      </c>
      <c r="M71" s="17" t="str">
        <f>Table3[[#This Row],[Min Speed (km/h)]]&amp;" – "&amp;Table3[[#This Row],[Max Speed (km/h)]]&amp;" km/h"</f>
        <v>24 – 48 km/h</v>
      </c>
      <c r="N71" s="18">
        <f>IF(ISNUMBER(SEARCH("mile",Table3[[#This Row],[Distance]])),ROUND(VALUE(SUBSTITUTE(Table3[[#This Row],[Distance]]," miles",""))*Lookups!$L$3,0),ROUND(VALUE(SUBSTITUTE(Table3[[#This Row],[Distance]]," meters",""))*Lookups!$L$4,0))</f>
        <v>48</v>
      </c>
      <c r="O71" s="16" t="s">
        <v>57</v>
      </c>
      <c r="P71" s="16" t="str">
        <f>TRIM(LEFT(Table3[[#This Row],[Shipping Address]],FIND(",",Table3[[#This Row],[Shipping Address]])-1))</f>
        <v>56 Boulevard Saint-Germain</v>
      </c>
      <c r="Q71" s="16" t="str">
        <f>TRIM(MID(Table3[[#This Row],[Shipping Address]],FIND(",",Table3[[#This Row],[Shipping Address]])+1,FIND(",",Table3[[#This Row],[Shipping Address]],FIND(",",Table3[[#This Row],[Shipping Address]])+1)-FIND(",",Table3[[#This Row],[Shipping Address]])-1))</f>
        <v>Paris</v>
      </c>
      <c r="R71" s="16" t="str">
        <f>TRIM(MID(Table3[[#This Row],[Shipping Address]],FIND(",",Table3[[#This Row],[Shipping Address]],FIND(",",Table3[[#This Row],[Shipping Address]])+1)+1,20))</f>
        <v>75005</v>
      </c>
      <c r="S71" s="16" t="s">
        <v>58</v>
      </c>
      <c r="T71" s="16" t="str">
        <f>_xlfn.IFNA(_xlfn.XLOOKUP(Table3[[#This Row],[Country Code]],Lookups!$A$2:$A$5,Lookups!$B$2:$B$5),"CHECK CODE")</f>
        <v>France</v>
      </c>
      <c r="U71" s="16" t="str">
        <f>_xlfn.IFNA(_xlfn.XLOOKUP(Table3[[#This Row],[Country Code]],Lookups!$A$2:$A$5,Lookups!$C$2:$C$5),"CHECK CODE")</f>
        <v>Europe</v>
      </c>
      <c r="V71" s="16" t="s">
        <v>59</v>
      </c>
      <c r="W71" s="16" t="str">
        <f>_xlfn.IFNA(_xlfn.XLOOKUP(Table3[[#This Row],[Country Code]],Lookups!$A$2:$A$5,Lookups!$D$2:$D$5),"CHECK CODE")</f>
        <v>EUR</v>
      </c>
      <c r="X71" s="16">
        <f>VALUE(MID(Table3[[#This Row],[Unit Price]],2,50))</f>
        <v>1100</v>
      </c>
      <c r="Y71" s="19">
        <f>_xlfn.IFNA(_xlfn.XLOOKUP(Table3[[#This Row],[Country Code]],Lookups!$A$2:$A$5,Lookups!$E$2:$E$5),"")</f>
        <v>1</v>
      </c>
      <c r="Z71" s="87">
        <f>Table3[[#This Row],[Unit Price (local)]]/Table3[[#This Row],[FX Rate (per EUR)]]</f>
        <v>1100</v>
      </c>
      <c r="AA71" s="16">
        <v>150</v>
      </c>
      <c r="AB71" s="20">
        <v>0</v>
      </c>
      <c r="AC71" s="21">
        <f>ROUND(Table3[[#This Row],[Unit Price (EUR)]]*Table3[[#This Row],[Units Sold]],0)</f>
        <v>165000</v>
      </c>
      <c r="AD71" s="22">
        <f>ROUND(Table3[[#This Row],[Gross Sales (EUR)]]*(1-Table3[[#This Row],[Discount (%)]]/100),0)</f>
        <v>165000</v>
      </c>
      <c r="AE71" s="22">
        <f>_xlfn.IFNA(_xlfn.XLOOKUP(Table3[[#This Row],[Month]],Lookups!$N$2:$N$13,Lookups!$O$2:$O$13),"CHECK MONTH")</f>
        <v>6</v>
      </c>
      <c r="AF71" s="22" t="str">
        <f>TEXT(Table3[[#This Row],[Month No]],"00")&amp;" - "&amp;Table3[[#This Row],[Month]]</f>
        <v>06 - June</v>
      </c>
      <c r="AG71" s="22" t="str">
        <f>_xlfn.IFNA(_xlfn.XLOOKUP(Table3[[#This Row],[Month]],Lookups!$N$2:$N$13,Lookups!$P$2:$P$13),"CHECK MONTH")</f>
        <v>Q2</v>
      </c>
      <c r="AH71" s="22">
        <f>Table3[[#This Row],[Gross Sales (EUR)]]-Table3[[#This Row],[Total Sales (EUR)]]</f>
        <v>0</v>
      </c>
      <c r="AI71" s="89">
        <f>DATE(Lookups!$O$15,Table3[[#This Row],[Month No]],1)</f>
        <v>45809</v>
      </c>
    </row>
    <row r="72" spans="1:35" x14ac:dyDescent="0.3">
      <c r="A72" s="15">
        <v>71</v>
      </c>
      <c r="B72" s="16" t="s">
        <v>55</v>
      </c>
      <c r="C72" s="16" t="s">
        <v>56</v>
      </c>
      <c r="D72" s="16" t="str">
        <f>TRIM(Table3[[#This Row],[Rep Last Name]])&amp;", "&amp;TRIM(Table3[[#This Row],[Rep First Name]])</f>
        <v>Bernard, Théo</v>
      </c>
      <c r="E72" s="16" t="s">
        <v>69</v>
      </c>
      <c r="F72" s="16" t="s">
        <v>23</v>
      </c>
      <c r="G72" s="16" t="s">
        <v>24</v>
      </c>
      <c r="H72" s="16" t="str">
        <f>IF(Table3[[#This Row],[Min Speed (original, incomplete)]]="",_xlfn.IFNA(_xlfn.XLOOKUP(Table3[[#This Row],[Product Type]],Lookups!$G$2:$G$4,Lookups!$H$2:$H$4),"CHECK PRODUCT"),Table3[[#This Row],[Min Speed (original, incomplete)]])</f>
        <v>20 mph</v>
      </c>
      <c r="I72" s="16" t="s">
        <v>25</v>
      </c>
      <c r="J72" s="16" t="s">
        <v>26</v>
      </c>
      <c r="K72" s="17">
        <f>ROUND(VALUE(SUBSTITUTE(Table3[[#This Row],[Min Speed (mph)]]," mph",""))*Lookups!$L$2,0)</f>
        <v>32</v>
      </c>
      <c r="L72" s="17">
        <f>ROUND(VALUE(SUBSTITUTE(Table3[[#This Row],[Speed]]," mph",""))*Lookups!$L$2,0)</f>
        <v>56</v>
      </c>
      <c r="M72" s="17" t="str">
        <f>Table3[[#This Row],[Min Speed (km/h)]]&amp;" – "&amp;Table3[[#This Row],[Max Speed (km/h)]]&amp;" km/h"</f>
        <v>32 – 56 km/h</v>
      </c>
      <c r="N72" s="18">
        <f>IF(ISNUMBER(SEARCH("mile",Table3[[#This Row],[Distance]])),ROUND(VALUE(SUBSTITUTE(Table3[[#This Row],[Distance]]," miles",""))*Lookups!$L$3,0),ROUND(VALUE(SUBSTITUTE(Table3[[#This Row],[Distance]]," meters",""))*Lookups!$L$4,0))</f>
        <v>64</v>
      </c>
      <c r="O72" s="16" t="s">
        <v>61</v>
      </c>
      <c r="P72" s="16" t="str">
        <f>TRIM(LEFT(Table3[[#This Row],[Shipping Address]],FIND(",",Table3[[#This Row],[Shipping Address]])-1))</f>
        <v>57 Boulevard Saint-Germain</v>
      </c>
      <c r="Q72" s="16" t="str">
        <f>TRIM(MID(Table3[[#This Row],[Shipping Address]],FIND(",",Table3[[#This Row],[Shipping Address]])+1,FIND(",",Table3[[#This Row],[Shipping Address]],FIND(",",Table3[[#This Row],[Shipping Address]])+1)-FIND(",",Table3[[#This Row],[Shipping Address]])-1))</f>
        <v>Paris</v>
      </c>
      <c r="R72" s="16" t="str">
        <f>TRIM(MID(Table3[[#This Row],[Shipping Address]],FIND(",",Table3[[#This Row],[Shipping Address]],FIND(",",Table3[[#This Row],[Shipping Address]])+1)+1,20))</f>
        <v>75005</v>
      </c>
      <c r="S72" s="16" t="s">
        <v>58</v>
      </c>
      <c r="T72" s="16" t="str">
        <f>_xlfn.IFNA(_xlfn.XLOOKUP(Table3[[#This Row],[Country Code]],Lookups!$A$2:$A$5,Lookups!$B$2:$B$5),"CHECK CODE")</f>
        <v>France</v>
      </c>
      <c r="U72" s="16" t="str">
        <f>_xlfn.IFNA(_xlfn.XLOOKUP(Table3[[#This Row],[Country Code]],Lookups!$A$2:$A$5,Lookups!$C$2:$C$5),"CHECK CODE")</f>
        <v>Europe</v>
      </c>
      <c r="V72" s="16" t="s">
        <v>62</v>
      </c>
      <c r="W72" s="16" t="str">
        <f>_xlfn.IFNA(_xlfn.XLOOKUP(Table3[[#This Row],[Country Code]],Lookups!$A$2:$A$5,Lookups!$D$2:$D$5),"CHECK CODE")</f>
        <v>EUR</v>
      </c>
      <c r="X72" s="16">
        <f>VALUE(MID(Table3[[#This Row],[Unit Price]],2,50))</f>
        <v>900</v>
      </c>
      <c r="Y72" s="19">
        <f>_xlfn.IFNA(_xlfn.XLOOKUP(Table3[[#This Row],[Country Code]],Lookups!$A$2:$A$5,Lookups!$E$2:$E$5),"")</f>
        <v>1</v>
      </c>
      <c r="Z72" s="87">
        <f>Table3[[#This Row],[Unit Price (local)]]/Table3[[#This Row],[FX Rate (per EUR)]]</f>
        <v>900</v>
      </c>
      <c r="AA72" s="16">
        <v>350</v>
      </c>
      <c r="AB72" s="20">
        <v>0</v>
      </c>
      <c r="AC72" s="21">
        <f>ROUND(Table3[[#This Row],[Unit Price (EUR)]]*Table3[[#This Row],[Units Sold]],0)</f>
        <v>315000</v>
      </c>
      <c r="AD72" s="22">
        <f>ROUND(Table3[[#This Row],[Gross Sales (EUR)]]*(1-Table3[[#This Row],[Discount (%)]]/100),0)</f>
        <v>315000</v>
      </c>
      <c r="AE72" s="22">
        <f>_xlfn.IFNA(_xlfn.XLOOKUP(Table3[[#This Row],[Month]],Lookups!$N$2:$N$13,Lookups!$O$2:$O$13),"CHECK MONTH")</f>
        <v>6</v>
      </c>
      <c r="AF72" s="22" t="str">
        <f>TEXT(Table3[[#This Row],[Month No]],"00")&amp;" - "&amp;Table3[[#This Row],[Month]]</f>
        <v>06 - June</v>
      </c>
      <c r="AG72" s="22" t="str">
        <f>_xlfn.IFNA(_xlfn.XLOOKUP(Table3[[#This Row],[Month]],Lookups!$N$2:$N$13,Lookups!$P$2:$P$13),"CHECK MONTH")</f>
        <v>Q2</v>
      </c>
      <c r="AH72" s="22">
        <f>Table3[[#This Row],[Gross Sales (EUR)]]-Table3[[#This Row],[Total Sales (EUR)]]</f>
        <v>0</v>
      </c>
      <c r="AI72" s="89">
        <f>DATE(Lookups!$O$15,Table3[[#This Row],[Month No]],1)</f>
        <v>45809</v>
      </c>
    </row>
    <row r="73" spans="1:35" x14ac:dyDescent="0.3">
      <c r="A73" s="15">
        <v>72</v>
      </c>
      <c r="B73" s="16" t="s">
        <v>55</v>
      </c>
      <c r="C73" s="16" t="s">
        <v>56</v>
      </c>
      <c r="D73" s="16" t="str">
        <f>TRIM(Table3[[#This Row],[Rep Last Name]])&amp;", "&amp;TRIM(Table3[[#This Row],[Rep First Name]])</f>
        <v>Bernard, Théo</v>
      </c>
      <c r="E73" s="16" t="s">
        <v>69</v>
      </c>
      <c r="F73" s="16" t="s">
        <v>29</v>
      </c>
      <c r="G73" s="16" t="s">
        <v>30</v>
      </c>
      <c r="H73" s="16" t="str">
        <f>IF(Table3[[#This Row],[Min Speed (original, incomplete)]]="",_xlfn.IFNA(_xlfn.XLOOKUP(Table3[[#This Row],[Product Type]],Lookups!$G$2:$G$4,Lookups!$H$2:$H$4),"CHECK PRODUCT"),Table3[[#This Row],[Min Speed (original, incomplete)]])</f>
        <v>18 mph</v>
      </c>
      <c r="I73" s="16" t="s">
        <v>31</v>
      </c>
      <c r="J73" s="16" t="s">
        <v>32</v>
      </c>
      <c r="K73" s="17">
        <f>ROUND(VALUE(SUBSTITUTE(Table3[[#This Row],[Min Speed (mph)]]," mph",""))*Lookups!$L$2,0)</f>
        <v>29</v>
      </c>
      <c r="L73" s="17">
        <f>ROUND(VALUE(SUBSTITUTE(Table3[[#This Row],[Speed]]," mph",""))*Lookups!$L$2,0)</f>
        <v>45</v>
      </c>
      <c r="M73" s="17" t="str">
        <f>Table3[[#This Row],[Min Speed (km/h)]]&amp;" – "&amp;Table3[[#This Row],[Max Speed (km/h)]]&amp;" km/h"</f>
        <v>29 – 45 km/h</v>
      </c>
      <c r="N73" s="18">
        <f>IF(ISNUMBER(SEARCH("mile",Table3[[#This Row],[Distance]])),ROUND(VALUE(SUBSTITUTE(Table3[[#This Row],[Distance]]," miles",""))*Lookups!$L$3,0),ROUND(VALUE(SUBSTITUTE(Table3[[#This Row],[Distance]]," meters",""))*Lookups!$L$4,0))</f>
        <v>40</v>
      </c>
      <c r="O73" s="16" t="s">
        <v>63</v>
      </c>
      <c r="P73" s="16" t="str">
        <f>TRIM(LEFT(Table3[[#This Row],[Shipping Address]],FIND(",",Table3[[#This Row],[Shipping Address]])-1))</f>
        <v>58 Boulevard Saint-Germain</v>
      </c>
      <c r="Q73" s="16" t="str">
        <f>TRIM(MID(Table3[[#This Row],[Shipping Address]],FIND(",",Table3[[#This Row],[Shipping Address]])+1,FIND(",",Table3[[#This Row],[Shipping Address]],FIND(",",Table3[[#This Row],[Shipping Address]])+1)-FIND(",",Table3[[#This Row],[Shipping Address]])-1))</f>
        <v>Paris</v>
      </c>
      <c r="R73" s="16" t="str">
        <f>TRIM(MID(Table3[[#This Row],[Shipping Address]],FIND(",",Table3[[#This Row],[Shipping Address]],FIND(",",Table3[[#This Row],[Shipping Address]])+1)+1,20))</f>
        <v>75005</v>
      </c>
      <c r="S73" s="16" t="s">
        <v>58</v>
      </c>
      <c r="T73" s="16" t="str">
        <f>_xlfn.IFNA(_xlfn.XLOOKUP(Table3[[#This Row],[Country Code]],Lookups!$A$2:$A$5,Lookups!$B$2:$B$5),"CHECK CODE")</f>
        <v>France</v>
      </c>
      <c r="U73" s="16" t="str">
        <f>_xlfn.IFNA(_xlfn.XLOOKUP(Table3[[#This Row],[Country Code]],Lookups!$A$2:$A$5,Lookups!$C$2:$C$5),"CHECK CODE")</f>
        <v>Europe</v>
      </c>
      <c r="V73" s="16" t="s">
        <v>64</v>
      </c>
      <c r="W73" s="16" t="str">
        <f>_xlfn.IFNA(_xlfn.XLOOKUP(Table3[[#This Row],[Country Code]],Lookups!$A$2:$A$5,Lookups!$D$2:$D$5),"CHECK CODE")</f>
        <v>EUR</v>
      </c>
      <c r="X73" s="16">
        <f>VALUE(MID(Table3[[#This Row],[Unit Price]],2,50))</f>
        <v>1050</v>
      </c>
      <c r="Y73" s="19">
        <f>_xlfn.IFNA(_xlfn.XLOOKUP(Table3[[#This Row],[Country Code]],Lookups!$A$2:$A$5,Lookups!$E$2:$E$5),"")</f>
        <v>1</v>
      </c>
      <c r="Z73" s="87">
        <f>Table3[[#This Row],[Unit Price (local)]]/Table3[[#This Row],[FX Rate (per EUR)]]</f>
        <v>1050</v>
      </c>
      <c r="AA73" s="16">
        <v>300</v>
      </c>
      <c r="AB73" s="20">
        <v>0</v>
      </c>
      <c r="AC73" s="21">
        <f>ROUND(Table3[[#This Row],[Unit Price (EUR)]]*Table3[[#This Row],[Units Sold]],0)</f>
        <v>315000</v>
      </c>
      <c r="AD73" s="22">
        <f>ROUND(Table3[[#This Row],[Gross Sales (EUR)]]*(1-Table3[[#This Row],[Discount (%)]]/100),0)</f>
        <v>315000</v>
      </c>
      <c r="AE73" s="22">
        <f>_xlfn.IFNA(_xlfn.XLOOKUP(Table3[[#This Row],[Month]],Lookups!$N$2:$N$13,Lookups!$O$2:$O$13),"CHECK MONTH")</f>
        <v>6</v>
      </c>
      <c r="AF73" s="22" t="str">
        <f>TEXT(Table3[[#This Row],[Month No]],"00")&amp;" - "&amp;Table3[[#This Row],[Month]]</f>
        <v>06 - June</v>
      </c>
      <c r="AG73" s="22" t="str">
        <f>_xlfn.IFNA(_xlfn.XLOOKUP(Table3[[#This Row],[Month]],Lookups!$N$2:$N$13,Lookups!$P$2:$P$13),"CHECK MONTH")</f>
        <v>Q2</v>
      </c>
      <c r="AH73" s="22">
        <f>Table3[[#This Row],[Gross Sales (EUR)]]-Table3[[#This Row],[Total Sales (EUR)]]</f>
        <v>0</v>
      </c>
      <c r="AI73" s="89">
        <f>DATE(Lookups!$O$15,Table3[[#This Row],[Month No]],1)</f>
        <v>45809</v>
      </c>
    </row>
    <row r="74" spans="1:35" x14ac:dyDescent="0.3">
      <c r="A74" s="15">
        <v>73</v>
      </c>
      <c r="B74" s="16" t="s">
        <v>13</v>
      </c>
      <c r="C74" s="16" t="s">
        <v>14</v>
      </c>
      <c r="D74" s="16" t="str">
        <f>TRIM(Table3[[#This Row],[Rep Last Name]])&amp;", "&amp;TRIM(Table3[[#This Row],[Rep First Name]])</f>
        <v>Joshi, Sanya</v>
      </c>
      <c r="E74" s="16" t="s">
        <v>70</v>
      </c>
      <c r="F74" s="16" t="s">
        <v>16</v>
      </c>
      <c r="G74" s="16" t="s">
        <v>17</v>
      </c>
      <c r="H74" s="16" t="str">
        <f>IF(Table3[[#This Row],[Min Speed (original, incomplete)]]="",_xlfn.IFNA(_xlfn.XLOOKUP(Table3[[#This Row],[Product Type]],Lookups!$G$2:$G$4,Lookups!$H$2:$H$4),"CHECK PRODUCT"),Table3[[#This Row],[Min Speed (original, incomplete)]])</f>
        <v>15 mph</v>
      </c>
      <c r="I74" s="16" t="s">
        <v>18</v>
      </c>
      <c r="J74" s="16" t="s">
        <v>19</v>
      </c>
      <c r="K74" s="17">
        <f>ROUND(VALUE(SUBSTITUTE(Table3[[#This Row],[Min Speed (mph)]]," mph",""))*Lookups!$L$2,0)</f>
        <v>24</v>
      </c>
      <c r="L74" s="17">
        <f>ROUND(VALUE(SUBSTITUTE(Table3[[#This Row],[Speed]]," mph",""))*Lookups!$L$2,0)</f>
        <v>48</v>
      </c>
      <c r="M74" s="17" t="str">
        <f>Table3[[#This Row],[Min Speed (km/h)]]&amp;" – "&amp;Table3[[#This Row],[Max Speed (km/h)]]&amp;" km/h"</f>
        <v>24 – 48 km/h</v>
      </c>
      <c r="N74" s="18">
        <f>IF(ISNUMBER(SEARCH("mile",Table3[[#This Row],[Distance]])),ROUND(VALUE(SUBSTITUTE(Table3[[#This Row],[Distance]]," miles",""))*Lookups!$L$3,0),ROUND(VALUE(SUBSTITUTE(Table3[[#This Row],[Distance]]," meters",""))*Lookups!$L$4,0))</f>
        <v>48</v>
      </c>
      <c r="O74" s="16" t="s">
        <v>20</v>
      </c>
      <c r="P74" s="16" t="str">
        <f>TRIM(LEFT(Table3[[#This Row],[Shipping Address]],FIND(",",Table3[[#This Row],[Shipping Address]])-1))</f>
        <v>456 Brigade Road</v>
      </c>
      <c r="Q74" s="16" t="str">
        <f>TRIM(MID(Table3[[#This Row],[Shipping Address]],FIND(",",Table3[[#This Row],[Shipping Address]])+1,FIND(",",Table3[[#This Row],[Shipping Address]],FIND(",",Table3[[#This Row],[Shipping Address]])+1)-FIND(",",Table3[[#This Row],[Shipping Address]])-1))</f>
        <v>Bengaluru</v>
      </c>
      <c r="R74" s="16" t="str">
        <f>TRIM(MID(Table3[[#This Row],[Shipping Address]],FIND(",",Table3[[#This Row],[Shipping Address]],FIND(",",Table3[[#This Row],[Shipping Address]])+1)+1,20))</f>
        <v>560001</v>
      </c>
      <c r="S74" s="16" t="s">
        <v>21</v>
      </c>
      <c r="T74" s="16" t="str">
        <f>_xlfn.IFNA(_xlfn.XLOOKUP(Table3[[#This Row],[Country Code]],Lookups!$A$2:$A$5,Lookups!$B$2:$B$5),"CHECK CODE")</f>
        <v>India</v>
      </c>
      <c r="U74" s="16" t="str">
        <f>_xlfn.IFNA(_xlfn.XLOOKUP(Table3[[#This Row],[Country Code]],Lookups!$A$2:$A$5,Lookups!$C$2:$C$5),"CHECK CODE")</f>
        <v>Asia</v>
      </c>
      <c r="V74" s="16" t="s">
        <v>22</v>
      </c>
      <c r="W74" s="16" t="str">
        <f>_xlfn.IFNA(_xlfn.XLOOKUP(Table3[[#This Row],[Country Code]],Lookups!$A$2:$A$5,Lookups!$D$2:$D$5),"CHECK CODE")</f>
        <v>INR</v>
      </c>
      <c r="X74" s="16">
        <f>VALUE(MID(Table3[[#This Row],[Unit Price]],2,50))</f>
        <v>30000</v>
      </c>
      <c r="Y74" s="19">
        <f>_xlfn.IFNA(_xlfn.XLOOKUP(Table3[[#This Row],[Country Code]],Lookups!$A$2:$A$5,Lookups!$E$2:$E$5),"")</f>
        <v>109.88200000000001</v>
      </c>
      <c r="Z74" s="87">
        <f>Table3[[#This Row],[Unit Price (local)]]/Table3[[#This Row],[FX Rate (per EUR)]]</f>
        <v>273.02014888698784</v>
      </c>
      <c r="AA74" s="16">
        <v>250</v>
      </c>
      <c r="AB74" s="20">
        <v>0</v>
      </c>
      <c r="AC74" s="21">
        <f>ROUND(Table3[[#This Row],[Unit Price (EUR)]]*Table3[[#This Row],[Units Sold]],0)</f>
        <v>68255</v>
      </c>
      <c r="AD74" s="22">
        <f>ROUND(Table3[[#This Row],[Gross Sales (EUR)]]*(1-Table3[[#This Row],[Discount (%)]]/100),0)</f>
        <v>68255</v>
      </c>
      <c r="AE74" s="22">
        <f>_xlfn.IFNA(_xlfn.XLOOKUP(Table3[[#This Row],[Month]],Lookups!$N$2:$N$13,Lookups!$O$2:$O$13),"CHECK MONTH")</f>
        <v>7</v>
      </c>
      <c r="AF74" s="22" t="str">
        <f>TEXT(Table3[[#This Row],[Month No]],"00")&amp;" - "&amp;Table3[[#This Row],[Month]]</f>
        <v>07 - July</v>
      </c>
      <c r="AG74" s="22" t="str">
        <f>_xlfn.IFNA(_xlfn.XLOOKUP(Table3[[#This Row],[Month]],Lookups!$N$2:$N$13,Lookups!$P$2:$P$13),"CHECK MONTH")</f>
        <v>Q3</v>
      </c>
      <c r="AH74" s="22">
        <f>Table3[[#This Row],[Gross Sales (EUR)]]-Table3[[#This Row],[Total Sales (EUR)]]</f>
        <v>0</v>
      </c>
      <c r="AI74" s="89">
        <f>DATE(Lookups!$O$15,Table3[[#This Row],[Month No]],1)</f>
        <v>45839</v>
      </c>
    </row>
    <row r="75" spans="1:35" x14ac:dyDescent="0.3">
      <c r="A75" s="15">
        <v>74</v>
      </c>
      <c r="B75" s="16" t="s">
        <v>13</v>
      </c>
      <c r="C75" s="16" t="s">
        <v>14</v>
      </c>
      <c r="D75" s="16" t="str">
        <f>TRIM(Table3[[#This Row],[Rep Last Name]])&amp;", "&amp;TRIM(Table3[[#This Row],[Rep First Name]])</f>
        <v>Joshi, Sanya</v>
      </c>
      <c r="E75" s="16" t="s">
        <v>70</v>
      </c>
      <c r="F75" s="16" t="s">
        <v>23</v>
      </c>
      <c r="G75" s="16" t="s">
        <v>24</v>
      </c>
      <c r="H75" s="16" t="str">
        <f>IF(Table3[[#This Row],[Min Speed (original, incomplete)]]="",_xlfn.IFNA(_xlfn.XLOOKUP(Table3[[#This Row],[Product Type]],Lookups!$G$2:$G$4,Lookups!$H$2:$H$4),"CHECK PRODUCT"),Table3[[#This Row],[Min Speed (original, incomplete)]])</f>
        <v>20 mph</v>
      </c>
      <c r="I75" s="16" t="s">
        <v>25</v>
      </c>
      <c r="J75" s="16" t="s">
        <v>26</v>
      </c>
      <c r="K75" s="17">
        <f>ROUND(VALUE(SUBSTITUTE(Table3[[#This Row],[Min Speed (mph)]]," mph",""))*Lookups!$L$2,0)</f>
        <v>32</v>
      </c>
      <c r="L75" s="17">
        <f>ROUND(VALUE(SUBSTITUTE(Table3[[#This Row],[Speed]]," mph",""))*Lookups!$L$2,0)</f>
        <v>56</v>
      </c>
      <c r="M75" s="17" t="str">
        <f>Table3[[#This Row],[Min Speed (km/h)]]&amp;" – "&amp;Table3[[#This Row],[Max Speed (km/h)]]&amp;" km/h"</f>
        <v>32 – 56 km/h</v>
      </c>
      <c r="N75" s="18">
        <f>IF(ISNUMBER(SEARCH("mile",Table3[[#This Row],[Distance]])),ROUND(VALUE(SUBSTITUTE(Table3[[#This Row],[Distance]]," miles",""))*Lookups!$L$3,0),ROUND(VALUE(SUBSTITUTE(Table3[[#This Row],[Distance]]," meters",""))*Lookups!$L$4,0))</f>
        <v>64</v>
      </c>
      <c r="O75" s="16" t="s">
        <v>27</v>
      </c>
      <c r="P75" s="16" t="str">
        <f>TRIM(LEFT(Table3[[#This Row],[Shipping Address]],FIND(",",Table3[[#This Row],[Shipping Address]])-1))</f>
        <v>457 Brigade Road</v>
      </c>
      <c r="Q75" s="16" t="str">
        <f>TRIM(MID(Table3[[#This Row],[Shipping Address]],FIND(",",Table3[[#This Row],[Shipping Address]])+1,FIND(",",Table3[[#This Row],[Shipping Address]],FIND(",",Table3[[#This Row],[Shipping Address]])+1)-FIND(",",Table3[[#This Row],[Shipping Address]])-1))</f>
        <v>Bengaluru</v>
      </c>
      <c r="R75" s="16" t="str">
        <f>TRIM(MID(Table3[[#This Row],[Shipping Address]],FIND(",",Table3[[#This Row],[Shipping Address]],FIND(",",Table3[[#This Row],[Shipping Address]])+1)+1,20))</f>
        <v>560001</v>
      </c>
      <c r="S75" s="16" t="s">
        <v>21</v>
      </c>
      <c r="T75" s="16" t="str">
        <f>_xlfn.IFNA(_xlfn.XLOOKUP(Table3[[#This Row],[Country Code]],Lookups!$A$2:$A$5,Lookups!$B$2:$B$5),"CHECK CODE")</f>
        <v>India</v>
      </c>
      <c r="U75" s="16" t="str">
        <f>_xlfn.IFNA(_xlfn.XLOOKUP(Table3[[#This Row],[Country Code]],Lookups!$A$2:$A$5,Lookups!$C$2:$C$5),"CHECK CODE")</f>
        <v>Asia</v>
      </c>
      <c r="V75" s="16" t="s">
        <v>28</v>
      </c>
      <c r="W75" s="16" t="str">
        <f>_xlfn.IFNA(_xlfn.XLOOKUP(Table3[[#This Row],[Country Code]],Lookups!$A$2:$A$5,Lookups!$D$2:$D$5),"CHECK CODE")</f>
        <v>INR</v>
      </c>
      <c r="X75" s="16">
        <f>VALUE(MID(Table3[[#This Row],[Unit Price]],2,50))</f>
        <v>25000</v>
      </c>
      <c r="Y75" s="19">
        <f>_xlfn.IFNA(_xlfn.XLOOKUP(Table3[[#This Row],[Country Code]],Lookups!$A$2:$A$5,Lookups!$E$2:$E$5),"")</f>
        <v>109.88200000000001</v>
      </c>
      <c r="Z75" s="87">
        <f>Table3[[#This Row],[Unit Price (local)]]/Table3[[#This Row],[FX Rate (per EUR)]]</f>
        <v>227.51679073915653</v>
      </c>
      <c r="AA75" s="16">
        <v>500</v>
      </c>
      <c r="AB75" s="20">
        <v>0</v>
      </c>
      <c r="AC75" s="21">
        <f>ROUND(Table3[[#This Row],[Unit Price (EUR)]]*Table3[[#This Row],[Units Sold]],0)</f>
        <v>113758</v>
      </c>
      <c r="AD75" s="22">
        <f>ROUND(Table3[[#This Row],[Gross Sales (EUR)]]*(1-Table3[[#This Row],[Discount (%)]]/100),0)</f>
        <v>113758</v>
      </c>
      <c r="AE75" s="22">
        <f>_xlfn.IFNA(_xlfn.XLOOKUP(Table3[[#This Row],[Month]],Lookups!$N$2:$N$13,Lookups!$O$2:$O$13),"CHECK MONTH")</f>
        <v>7</v>
      </c>
      <c r="AF75" s="22" t="str">
        <f>TEXT(Table3[[#This Row],[Month No]],"00")&amp;" - "&amp;Table3[[#This Row],[Month]]</f>
        <v>07 - July</v>
      </c>
      <c r="AG75" s="22" t="str">
        <f>_xlfn.IFNA(_xlfn.XLOOKUP(Table3[[#This Row],[Month]],Lookups!$N$2:$N$13,Lookups!$P$2:$P$13),"CHECK MONTH")</f>
        <v>Q3</v>
      </c>
      <c r="AH75" s="22">
        <f>Table3[[#This Row],[Gross Sales (EUR)]]-Table3[[#This Row],[Total Sales (EUR)]]</f>
        <v>0</v>
      </c>
      <c r="AI75" s="89">
        <f>DATE(Lookups!$O$15,Table3[[#This Row],[Month No]],1)</f>
        <v>45839</v>
      </c>
    </row>
    <row r="76" spans="1:35" x14ac:dyDescent="0.3">
      <c r="A76" s="15">
        <v>75</v>
      </c>
      <c r="B76" s="16" t="s">
        <v>13</v>
      </c>
      <c r="C76" s="16" t="s">
        <v>14</v>
      </c>
      <c r="D76" s="16" t="str">
        <f>TRIM(Table3[[#This Row],[Rep Last Name]])&amp;", "&amp;TRIM(Table3[[#This Row],[Rep First Name]])</f>
        <v>Joshi, Sanya</v>
      </c>
      <c r="E76" s="16" t="s">
        <v>70</v>
      </c>
      <c r="F76" s="16" t="s">
        <v>29</v>
      </c>
      <c r="G76" s="16" t="s">
        <v>30</v>
      </c>
      <c r="H76" s="16" t="str">
        <f>IF(Table3[[#This Row],[Min Speed (original, incomplete)]]="",_xlfn.IFNA(_xlfn.XLOOKUP(Table3[[#This Row],[Product Type]],Lookups!$G$2:$G$4,Lookups!$H$2:$H$4),"CHECK PRODUCT"),Table3[[#This Row],[Min Speed (original, incomplete)]])</f>
        <v>18 mph</v>
      </c>
      <c r="I76" s="16" t="s">
        <v>31</v>
      </c>
      <c r="J76" s="16" t="s">
        <v>32</v>
      </c>
      <c r="K76" s="17">
        <f>ROUND(VALUE(SUBSTITUTE(Table3[[#This Row],[Min Speed (mph)]]," mph",""))*Lookups!$L$2,0)</f>
        <v>29</v>
      </c>
      <c r="L76" s="17">
        <f>ROUND(VALUE(SUBSTITUTE(Table3[[#This Row],[Speed]]," mph",""))*Lookups!$L$2,0)</f>
        <v>45</v>
      </c>
      <c r="M76" s="17" t="str">
        <f>Table3[[#This Row],[Min Speed (km/h)]]&amp;" – "&amp;Table3[[#This Row],[Max Speed (km/h)]]&amp;" km/h"</f>
        <v>29 – 45 km/h</v>
      </c>
      <c r="N76" s="18">
        <f>IF(ISNUMBER(SEARCH("mile",Table3[[#This Row],[Distance]])),ROUND(VALUE(SUBSTITUTE(Table3[[#This Row],[Distance]]," miles",""))*Lookups!$L$3,0),ROUND(VALUE(SUBSTITUTE(Table3[[#This Row],[Distance]]," meters",""))*Lookups!$L$4,0))</f>
        <v>40</v>
      </c>
      <c r="O76" s="16" t="s">
        <v>33</v>
      </c>
      <c r="P76" s="16" t="str">
        <f>TRIM(LEFT(Table3[[#This Row],[Shipping Address]],FIND(",",Table3[[#This Row],[Shipping Address]])-1))</f>
        <v>458 Brigade Road</v>
      </c>
      <c r="Q76" s="16" t="str">
        <f>TRIM(MID(Table3[[#This Row],[Shipping Address]],FIND(",",Table3[[#This Row],[Shipping Address]])+1,FIND(",",Table3[[#This Row],[Shipping Address]],FIND(",",Table3[[#This Row],[Shipping Address]])+1)-FIND(",",Table3[[#This Row],[Shipping Address]])-1))</f>
        <v>Bengaluru</v>
      </c>
      <c r="R76" s="16" t="str">
        <f>TRIM(MID(Table3[[#This Row],[Shipping Address]],FIND(",",Table3[[#This Row],[Shipping Address]],FIND(",",Table3[[#This Row],[Shipping Address]])+1)+1,20))</f>
        <v>560001</v>
      </c>
      <c r="S76" s="16" t="s">
        <v>21</v>
      </c>
      <c r="T76" s="16" t="str">
        <f>_xlfn.IFNA(_xlfn.XLOOKUP(Table3[[#This Row],[Country Code]],Lookups!$A$2:$A$5,Lookups!$B$2:$B$5),"CHECK CODE")</f>
        <v>India</v>
      </c>
      <c r="U76" s="16" t="str">
        <f>_xlfn.IFNA(_xlfn.XLOOKUP(Table3[[#This Row],[Country Code]],Lookups!$A$2:$A$5,Lookups!$C$2:$C$5),"CHECK CODE")</f>
        <v>Asia</v>
      </c>
      <c r="V76" s="16" t="s">
        <v>34</v>
      </c>
      <c r="W76" s="16" t="str">
        <f>_xlfn.IFNA(_xlfn.XLOOKUP(Table3[[#This Row],[Country Code]],Lookups!$A$2:$A$5,Lookups!$D$2:$D$5),"CHECK CODE")</f>
        <v>INR</v>
      </c>
      <c r="X76" s="16">
        <f>VALUE(MID(Table3[[#This Row],[Unit Price]],2,50))</f>
        <v>22000</v>
      </c>
      <c r="Y76" s="19">
        <f>_xlfn.IFNA(_xlfn.XLOOKUP(Table3[[#This Row],[Country Code]],Lookups!$A$2:$A$5,Lookups!$E$2:$E$5),"")</f>
        <v>109.88200000000001</v>
      </c>
      <c r="Z76" s="87">
        <f>Table3[[#This Row],[Unit Price (local)]]/Table3[[#This Row],[FX Rate (per EUR)]]</f>
        <v>200.21477585045776</v>
      </c>
      <c r="AA76" s="16">
        <v>400</v>
      </c>
      <c r="AB76" s="20">
        <v>0</v>
      </c>
      <c r="AC76" s="21">
        <f>ROUND(Table3[[#This Row],[Unit Price (EUR)]]*Table3[[#This Row],[Units Sold]],0)</f>
        <v>80086</v>
      </c>
      <c r="AD76" s="22">
        <f>ROUND(Table3[[#This Row],[Gross Sales (EUR)]]*(1-Table3[[#This Row],[Discount (%)]]/100),0)</f>
        <v>80086</v>
      </c>
      <c r="AE76" s="22">
        <f>_xlfn.IFNA(_xlfn.XLOOKUP(Table3[[#This Row],[Month]],Lookups!$N$2:$N$13,Lookups!$O$2:$O$13),"CHECK MONTH")</f>
        <v>7</v>
      </c>
      <c r="AF76" s="22" t="str">
        <f>TEXT(Table3[[#This Row],[Month No]],"00")&amp;" - "&amp;Table3[[#This Row],[Month]]</f>
        <v>07 - July</v>
      </c>
      <c r="AG76" s="22" t="str">
        <f>_xlfn.IFNA(_xlfn.XLOOKUP(Table3[[#This Row],[Month]],Lookups!$N$2:$N$13,Lookups!$P$2:$P$13),"CHECK MONTH")</f>
        <v>Q3</v>
      </c>
      <c r="AH76" s="22">
        <f>Table3[[#This Row],[Gross Sales (EUR)]]-Table3[[#This Row],[Total Sales (EUR)]]</f>
        <v>0</v>
      </c>
      <c r="AI76" s="89">
        <f>DATE(Lookups!$O$15,Table3[[#This Row],[Month No]],1)</f>
        <v>45839</v>
      </c>
    </row>
    <row r="77" spans="1:35" x14ac:dyDescent="0.3">
      <c r="A77" s="15">
        <v>76</v>
      </c>
      <c r="B77" s="16" t="s">
        <v>35</v>
      </c>
      <c r="C77" s="16" t="s">
        <v>36</v>
      </c>
      <c r="D77" s="16" t="str">
        <f>TRIM(Table3[[#This Row],[Rep Last Name]])&amp;", "&amp;TRIM(Table3[[#This Row],[Rep First Name]])</f>
        <v>Liu, Fang</v>
      </c>
      <c r="E77" s="16" t="s">
        <v>70</v>
      </c>
      <c r="F77" s="16" t="s">
        <v>16</v>
      </c>
      <c r="G77" s="16" t="s">
        <v>17</v>
      </c>
      <c r="H77" s="16" t="str">
        <f>IF(Table3[[#This Row],[Min Speed (original, incomplete)]]="",_xlfn.IFNA(_xlfn.XLOOKUP(Table3[[#This Row],[Product Type]],Lookups!$G$2:$G$4,Lookups!$H$2:$H$4),"CHECK PRODUCT"),Table3[[#This Row],[Min Speed (original, incomplete)]])</f>
        <v>15 mph</v>
      </c>
      <c r="I77" s="16" t="s">
        <v>18</v>
      </c>
      <c r="J77" s="16" t="s">
        <v>47</v>
      </c>
      <c r="K77" s="17">
        <f>ROUND(VALUE(SUBSTITUTE(Table3[[#This Row],[Min Speed (mph)]]," mph",""))*Lookups!$L$2,0)</f>
        <v>24</v>
      </c>
      <c r="L77" s="17">
        <f>ROUND(VALUE(SUBSTITUTE(Table3[[#This Row],[Speed]]," mph",""))*Lookups!$L$2,0)</f>
        <v>48</v>
      </c>
      <c r="M77" s="17" t="str">
        <f>Table3[[#This Row],[Min Speed (km/h)]]&amp;" – "&amp;Table3[[#This Row],[Max Speed (km/h)]]&amp;" km/h"</f>
        <v>24 – 48 km/h</v>
      </c>
      <c r="N77" s="18">
        <f>IF(ISNUMBER(SEARCH("mile",Table3[[#This Row],[Distance]])),ROUND(VALUE(SUBSTITUTE(Table3[[#This Row],[Distance]]," miles",""))*Lookups!$L$3,0),ROUND(VALUE(SUBSTITUTE(Table3[[#This Row],[Distance]]," meters",""))*Lookups!$L$4,0))</f>
        <v>48</v>
      </c>
      <c r="O77" s="16" t="s">
        <v>37</v>
      </c>
      <c r="P77" s="16" t="str">
        <f>TRIM(LEFT(Table3[[#This Row],[Shipping Address]],FIND(",",Table3[[#This Row],[Shipping Address]])-1))</f>
        <v>99 Nanjing Road</v>
      </c>
      <c r="Q77" s="16" t="str">
        <f>TRIM(MID(Table3[[#This Row],[Shipping Address]],FIND(",",Table3[[#This Row],[Shipping Address]])+1,FIND(",",Table3[[#This Row],[Shipping Address]],FIND(",",Table3[[#This Row],[Shipping Address]])+1)-FIND(",",Table3[[#This Row],[Shipping Address]])-1))</f>
        <v>Shanghai</v>
      </c>
      <c r="R77" s="16" t="str">
        <f>TRIM(MID(Table3[[#This Row],[Shipping Address]],FIND(",",Table3[[#This Row],[Shipping Address]],FIND(",",Table3[[#This Row],[Shipping Address]])+1)+1,20))</f>
        <v>200001</v>
      </c>
      <c r="S77" s="16" t="s">
        <v>38</v>
      </c>
      <c r="T77" s="16" t="str">
        <f>_xlfn.IFNA(_xlfn.XLOOKUP(Table3[[#This Row],[Country Code]],Lookups!$A$2:$A$5,Lookups!$B$2:$B$5),"CHECK CODE")</f>
        <v>China</v>
      </c>
      <c r="U77" s="16" t="str">
        <f>_xlfn.IFNA(_xlfn.XLOOKUP(Table3[[#This Row],[Country Code]],Lookups!$A$2:$A$5,Lookups!$C$2:$C$5),"CHECK CODE")</f>
        <v>Asia</v>
      </c>
      <c r="V77" s="16" t="s">
        <v>39</v>
      </c>
      <c r="W77" s="16" t="str">
        <f>_xlfn.IFNA(_xlfn.XLOOKUP(Table3[[#This Row],[Country Code]],Lookups!$A$2:$A$5,Lookups!$D$2:$D$5),"CHECK CODE")</f>
        <v>CNY</v>
      </c>
      <c r="X77" s="16">
        <f>VALUE(MID(Table3[[#This Row],[Unit Price]],2,50))</f>
        <v>5000</v>
      </c>
      <c r="Y77" s="19">
        <f>_xlfn.IFNA(_xlfn.XLOOKUP(Table3[[#This Row],[Country Code]],Lookups!$A$2:$A$5,Lookups!$E$2:$E$5),"")</f>
        <v>7.7255000000000003</v>
      </c>
      <c r="Z77" s="87">
        <f>Table3[[#This Row],[Unit Price (local)]]/Table3[[#This Row],[FX Rate (per EUR)]]</f>
        <v>647.20730049834958</v>
      </c>
      <c r="AA77" s="16">
        <v>800</v>
      </c>
      <c r="AB77" s="20">
        <v>0</v>
      </c>
      <c r="AC77" s="21">
        <f>ROUND(Table3[[#This Row],[Unit Price (EUR)]]*Table3[[#This Row],[Units Sold]],0)</f>
        <v>517766</v>
      </c>
      <c r="AD77" s="22">
        <f>ROUND(Table3[[#This Row],[Gross Sales (EUR)]]*(1-Table3[[#This Row],[Discount (%)]]/100),0)</f>
        <v>517766</v>
      </c>
      <c r="AE77" s="22">
        <f>_xlfn.IFNA(_xlfn.XLOOKUP(Table3[[#This Row],[Month]],Lookups!$N$2:$N$13,Lookups!$O$2:$O$13),"CHECK MONTH")</f>
        <v>7</v>
      </c>
      <c r="AF77" s="22" t="str">
        <f>TEXT(Table3[[#This Row],[Month No]],"00")&amp;" - "&amp;Table3[[#This Row],[Month]]</f>
        <v>07 - July</v>
      </c>
      <c r="AG77" s="22" t="str">
        <f>_xlfn.IFNA(_xlfn.XLOOKUP(Table3[[#This Row],[Month]],Lookups!$N$2:$N$13,Lookups!$P$2:$P$13),"CHECK MONTH")</f>
        <v>Q3</v>
      </c>
      <c r="AH77" s="22">
        <f>Table3[[#This Row],[Gross Sales (EUR)]]-Table3[[#This Row],[Total Sales (EUR)]]</f>
        <v>0</v>
      </c>
      <c r="AI77" s="89">
        <f>DATE(Lookups!$O$15,Table3[[#This Row],[Month No]],1)</f>
        <v>45839</v>
      </c>
    </row>
    <row r="78" spans="1:35" x14ac:dyDescent="0.3">
      <c r="A78" s="15">
        <v>77</v>
      </c>
      <c r="B78" s="16" t="s">
        <v>35</v>
      </c>
      <c r="C78" s="16" t="s">
        <v>36</v>
      </c>
      <c r="D78" s="16" t="str">
        <f>TRIM(Table3[[#This Row],[Rep Last Name]])&amp;", "&amp;TRIM(Table3[[#This Row],[Rep First Name]])</f>
        <v>Liu, Fang</v>
      </c>
      <c r="E78" s="16" t="s">
        <v>70</v>
      </c>
      <c r="F78" s="16" t="s">
        <v>23</v>
      </c>
      <c r="G78" s="16" t="s">
        <v>24</v>
      </c>
      <c r="H78" s="16" t="str">
        <f>IF(Table3[[#This Row],[Min Speed (original, incomplete)]]="",_xlfn.IFNA(_xlfn.XLOOKUP(Table3[[#This Row],[Product Type]],Lookups!$G$2:$G$4,Lookups!$H$2:$H$4),"CHECK PRODUCT"),Table3[[#This Row],[Min Speed (original, incomplete)]])</f>
        <v>20 mph</v>
      </c>
      <c r="I78" s="16" t="s">
        <v>25</v>
      </c>
      <c r="J78" s="16" t="s">
        <v>26</v>
      </c>
      <c r="K78" s="17">
        <f>ROUND(VALUE(SUBSTITUTE(Table3[[#This Row],[Min Speed (mph)]]," mph",""))*Lookups!$L$2,0)</f>
        <v>32</v>
      </c>
      <c r="L78" s="17">
        <f>ROUND(VALUE(SUBSTITUTE(Table3[[#This Row],[Speed]]," mph",""))*Lookups!$L$2,0)</f>
        <v>56</v>
      </c>
      <c r="M78" s="17" t="str">
        <f>Table3[[#This Row],[Min Speed (km/h)]]&amp;" – "&amp;Table3[[#This Row],[Max Speed (km/h)]]&amp;" km/h"</f>
        <v>32 – 56 km/h</v>
      </c>
      <c r="N78" s="18">
        <f>IF(ISNUMBER(SEARCH("mile",Table3[[#This Row],[Distance]])),ROUND(VALUE(SUBSTITUTE(Table3[[#This Row],[Distance]]," miles",""))*Lookups!$L$3,0),ROUND(VALUE(SUBSTITUTE(Table3[[#This Row],[Distance]]," meters",""))*Lookups!$L$4,0))</f>
        <v>64</v>
      </c>
      <c r="O78" s="16" t="s">
        <v>40</v>
      </c>
      <c r="P78" s="16" t="str">
        <f>TRIM(LEFT(Table3[[#This Row],[Shipping Address]],FIND(",",Table3[[#This Row],[Shipping Address]])-1))</f>
        <v>100 Nanjing Road</v>
      </c>
      <c r="Q78" s="16" t="str">
        <f>TRIM(MID(Table3[[#This Row],[Shipping Address]],FIND(",",Table3[[#This Row],[Shipping Address]])+1,FIND(",",Table3[[#This Row],[Shipping Address]],FIND(",",Table3[[#This Row],[Shipping Address]])+1)-FIND(",",Table3[[#This Row],[Shipping Address]])-1))</f>
        <v>Shanghai</v>
      </c>
      <c r="R78" s="16" t="str">
        <f>TRIM(MID(Table3[[#This Row],[Shipping Address]],FIND(",",Table3[[#This Row],[Shipping Address]],FIND(",",Table3[[#This Row],[Shipping Address]])+1)+1,20))</f>
        <v>200001</v>
      </c>
      <c r="S78" s="16" t="s">
        <v>38</v>
      </c>
      <c r="T78" s="16" t="str">
        <f>_xlfn.IFNA(_xlfn.XLOOKUP(Table3[[#This Row],[Country Code]],Lookups!$A$2:$A$5,Lookups!$B$2:$B$5),"CHECK CODE")</f>
        <v>China</v>
      </c>
      <c r="U78" s="16" t="str">
        <f>_xlfn.IFNA(_xlfn.XLOOKUP(Table3[[#This Row],[Country Code]],Lookups!$A$2:$A$5,Lookups!$C$2:$C$5),"CHECK CODE")</f>
        <v>Asia</v>
      </c>
      <c r="V78" s="16" t="s">
        <v>41</v>
      </c>
      <c r="W78" s="16" t="str">
        <f>_xlfn.IFNA(_xlfn.XLOOKUP(Table3[[#This Row],[Country Code]],Lookups!$A$2:$A$5,Lookups!$D$2:$D$5),"CHECK CODE")</f>
        <v>CNY</v>
      </c>
      <c r="X78" s="16">
        <f>VALUE(MID(Table3[[#This Row],[Unit Price]],2,50))</f>
        <v>3500</v>
      </c>
      <c r="Y78" s="19">
        <f>_xlfn.IFNA(_xlfn.XLOOKUP(Table3[[#This Row],[Country Code]],Lookups!$A$2:$A$5,Lookups!$E$2:$E$5),"")</f>
        <v>7.7255000000000003</v>
      </c>
      <c r="Z78" s="87">
        <f>Table3[[#This Row],[Unit Price (local)]]/Table3[[#This Row],[FX Rate (per EUR)]]</f>
        <v>453.04511034884473</v>
      </c>
      <c r="AA78" s="16">
        <v>1800</v>
      </c>
      <c r="AB78" s="20">
        <v>0</v>
      </c>
      <c r="AC78" s="21">
        <f>ROUND(Table3[[#This Row],[Unit Price (EUR)]]*Table3[[#This Row],[Units Sold]],0)</f>
        <v>815481</v>
      </c>
      <c r="AD78" s="22">
        <f>ROUND(Table3[[#This Row],[Gross Sales (EUR)]]*(1-Table3[[#This Row],[Discount (%)]]/100),0)</f>
        <v>815481</v>
      </c>
      <c r="AE78" s="22">
        <f>_xlfn.IFNA(_xlfn.XLOOKUP(Table3[[#This Row],[Month]],Lookups!$N$2:$N$13,Lookups!$O$2:$O$13),"CHECK MONTH")</f>
        <v>7</v>
      </c>
      <c r="AF78" s="22" t="str">
        <f>TEXT(Table3[[#This Row],[Month No]],"00")&amp;" - "&amp;Table3[[#This Row],[Month]]</f>
        <v>07 - July</v>
      </c>
      <c r="AG78" s="22" t="str">
        <f>_xlfn.IFNA(_xlfn.XLOOKUP(Table3[[#This Row],[Month]],Lookups!$N$2:$N$13,Lookups!$P$2:$P$13),"CHECK MONTH")</f>
        <v>Q3</v>
      </c>
      <c r="AH78" s="22">
        <f>Table3[[#This Row],[Gross Sales (EUR)]]-Table3[[#This Row],[Total Sales (EUR)]]</f>
        <v>0</v>
      </c>
      <c r="AI78" s="89">
        <f>DATE(Lookups!$O$15,Table3[[#This Row],[Month No]],1)</f>
        <v>45839</v>
      </c>
    </row>
    <row r="79" spans="1:35" x14ac:dyDescent="0.3">
      <c r="A79" s="15">
        <v>78</v>
      </c>
      <c r="B79" s="16" t="s">
        <v>35</v>
      </c>
      <c r="C79" s="16" t="s">
        <v>36</v>
      </c>
      <c r="D79" s="16" t="str">
        <f>TRIM(Table3[[#This Row],[Rep Last Name]])&amp;", "&amp;TRIM(Table3[[#This Row],[Rep First Name]])</f>
        <v>Liu, Fang</v>
      </c>
      <c r="E79" s="16" t="s">
        <v>70</v>
      </c>
      <c r="F79" s="16" t="s">
        <v>29</v>
      </c>
      <c r="G79" s="16" t="s">
        <v>30</v>
      </c>
      <c r="H79" s="16" t="str">
        <f>IF(Table3[[#This Row],[Min Speed (original, incomplete)]]="",_xlfn.IFNA(_xlfn.XLOOKUP(Table3[[#This Row],[Product Type]],Lookups!$G$2:$G$4,Lookups!$H$2:$H$4),"CHECK PRODUCT"),Table3[[#This Row],[Min Speed (original, incomplete)]])</f>
        <v>18 mph</v>
      </c>
      <c r="I79" s="16" t="s">
        <v>31</v>
      </c>
      <c r="J79" s="16" t="s">
        <v>32</v>
      </c>
      <c r="K79" s="17">
        <f>ROUND(VALUE(SUBSTITUTE(Table3[[#This Row],[Min Speed (mph)]]," mph",""))*Lookups!$L$2,0)</f>
        <v>29</v>
      </c>
      <c r="L79" s="17">
        <f>ROUND(VALUE(SUBSTITUTE(Table3[[#This Row],[Speed]]," mph",""))*Lookups!$L$2,0)</f>
        <v>45</v>
      </c>
      <c r="M79" s="17" t="str">
        <f>Table3[[#This Row],[Min Speed (km/h)]]&amp;" – "&amp;Table3[[#This Row],[Max Speed (km/h)]]&amp;" km/h"</f>
        <v>29 – 45 km/h</v>
      </c>
      <c r="N79" s="18">
        <f>IF(ISNUMBER(SEARCH("mile",Table3[[#This Row],[Distance]])),ROUND(VALUE(SUBSTITUTE(Table3[[#This Row],[Distance]]," miles",""))*Lookups!$L$3,0),ROUND(VALUE(SUBSTITUTE(Table3[[#This Row],[Distance]]," meters",""))*Lookups!$L$4,0))</f>
        <v>40</v>
      </c>
      <c r="O79" s="16" t="s">
        <v>43</v>
      </c>
      <c r="P79" s="16" t="str">
        <f>TRIM(LEFT(Table3[[#This Row],[Shipping Address]],FIND(",",Table3[[#This Row],[Shipping Address]])-1))</f>
        <v>101 Nanjing Road</v>
      </c>
      <c r="Q79" s="16" t="str">
        <f>TRIM(MID(Table3[[#This Row],[Shipping Address]],FIND(",",Table3[[#This Row],[Shipping Address]])+1,FIND(",",Table3[[#This Row],[Shipping Address]],FIND(",",Table3[[#This Row],[Shipping Address]])+1)-FIND(",",Table3[[#This Row],[Shipping Address]])-1))</f>
        <v>Shanghai</v>
      </c>
      <c r="R79" s="16" t="str">
        <f>TRIM(MID(Table3[[#This Row],[Shipping Address]],FIND(",",Table3[[#This Row],[Shipping Address]],FIND(",",Table3[[#This Row],[Shipping Address]])+1)+1,20))</f>
        <v>200001</v>
      </c>
      <c r="S79" s="16" t="s">
        <v>38</v>
      </c>
      <c r="T79" s="16" t="str">
        <f>_xlfn.IFNA(_xlfn.XLOOKUP(Table3[[#This Row],[Country Code]],Lookups!$A$2:$A$5,Lookups!$B$2:$B$5),"CHECK CODE")</f>
        <v>China</v>
      </c>
      <c r="U79" s="16" t="str">
        <f>_xlfn.IFNA(_xlfn.XLOOKUP(Table3[[#This Row],[Country Code]],Lookups!$A$2:$A$5,Lookups!$C$2:$C$5),"CHECK CODE")</f>
        <v>Asia</v>
      </c>
      <c r="V79" s="16" t="s">
        <v>44</v>
      </c>
      <c r="W79" s="16" t="str">
        <f>_xlfn.IFNA(_xlfn.XLOOKUP(Table3[[#This Row],[Country Code]],Lookups!$A$2:$A$5,Lookups!$D$2:$D$5),"CHECK CODE")</f>
        <v>CNY</v>
      </c>
      <c r="X79" s="16">
        <f>VALUE(MID(Table3[[#This Row],[Unit Price]],2,50))</f>
        <v>4200</v>
      </c>
      <c r="Y79" s="19">
        <f>_xlfn.IFNA(_xlfn.XLOOKUP(Table3[[#This Row],[Country Code]],Lookups!$A$2:$A$5,Lookups!$E$2:$E$5),"")</f>
        <v>7.7255000000000003</v>
      </c>
      <c r="Z79" s="87">
        <f>Table3[[#This Row],[Unit Price (local)]]/Table3[[#This Row],[FX Rate (per EUR)]]</f>
        <v>543.6541324186137</v>
      </c>
      <c r="AA79" s="16">
        <v>1200</v>
      </c>
      <c r="AB79" s="20">
        <v>0</v>
      </c>
      <c r="AC79" s="21">
        <f>ROUND(Table3[[#This Row],[Unit Price (EUR)]]*Table3[[#This Row],[Units Sold]],0)</f>
        <v>652385</v>
      </c>
      <c r="AD79" s="22">
        <f>ROUND(Table3[[#This Row],[Gross Sales (EUR)]]*(1-Table3[[#This Row],[Discount (%)]]/100),0)</f>
        <v>652385</v>
      </c>
      <c r="AE79" s="22">
        <f>_xlfn.IFNA(_xlfn.XLOOKUP(Table3[[#This Row],[Month]],Lookups!$N$2:$N$13,Lookups!$O$2:$O$13),"CHECK MONTH")</f>
        <v>7</v>
      </c>
      <c r="AF79" s="22" t="str">
        <f>TEXT(Table3[[#This Row],[Month No]],"00")&amp;" - "&amp;Table3[[#This Row],[Month]]</f>
        <v>07 - July</v>
      </c>
      <c r="AG79" s="22" t="str">
        <f>_xlfn.IFNA(_xlfn.XLOOKUP(Table3[[#This Row],[Month]],Lookups!$N$2:$N$13,Lookups!$P$2:$P$13),"CHECK MONTH")</f>
        <v>Q3</v>
      </c>
      <c r="AH79" s="22">
        <f>Table3[[#This Row],[Gross Sales (EUR)]]-Table3[[#This Row],[Total Sales (EUR)]]</f>
        <v>0</v>
      </c>
      <c r="AI79" s="89">
        <f>DATE(Lookups!$O$15,Table3[[#This Row],[Month No]],1)</f>
        <v>45839</v>
      </c>
    </row>
    <row r="80" spans="1:35" x14ac:dyDescent="0.3">
      <c r="A80" s="15">
        <v>79</v>
      </c>
      <c r="B80" s="16" t="s">
        <v>45</v>
      </c>
      <c r="C80" s="16" t="s">
        <v>46</v>
      </c>
      <c r="D80" s="16" t="str">
        <f>TRIM(Table3[[#This Row],[Rep Last Name]])&amp;", "&amp;TRIM(Table3[[#This Row],[Rep First Name]])</f>
        <v>Fischer, Jonas</v>
      </c>
      <c r="E80" s="16" t="s">
        <v>70</v>
      </c>
      <c r="F80" s="16" t="s">
        <v>16</v>
      </c>
      <c r="G80" s="16" t="s">
        <v>17</v>
      </c>
      <c r="H80" s="16" t="str">
        <f>IF(Table3[[#This Row],[Min Speed (original, incomplete)]]="",_xlfn.IFNA(_xlfn.XLOOKUP(Table3[[#This Row],[Product Type]],Lookups!$G$2:$G$4,Lookups!$H$2:$H$4),"CHECK PRODUCT"),Table3[[#This Row],[Min Speed (original, incomplete)]])</f>
        <v>15 mph</v>
      </c>
      <c r="I80" s="16" t="s">
        <v>18</v>
      </c>
      <c r="J80" s="16" t="s">
        <v>19</v>
      </c>
      <c r="K80" s="17">
        <f>ROUND(VALUE(SUBSTITUTE(Table3[[#This Row],[Min Speed (mph)]]," mph",""))*Lookups!$L$2,0)</f>
        <v>24</v>
      </c>
      <c r="L80" s="17">
        <f>ROUND(VALUE(SUBSTITUTE(Table3[[#This Row],[Speed]]," mph",""))*Lookups!$L$2,0)</f>
        <v>48</v>
      </c>
      <c r="M80" s="17" t="str">
        <f>Table3[[#This Row],[Min Speed (km/h)]]&amp;" – "&amp;Table3[[#This Row],[Max Speed (km/h)]]&amp;" km/h"</f>
        <v>24 – 48 km/h</v>
      </c>
      <c r="N80" s="18">
        <f>IF(ISNUMBER(SEARCH("mile",Table3[[#This Row],[Distance]])),ROUND(VALUE(SUBSTITUTE(Table3[[#This Row],[Distance]]," miles",""))*Lookups!$L$3,0),ROUND(VALUE(SUBSTITUTE(Table3[[#This Row],[Distance]]," meters",""))*Lookups!$L$4,0))</f>
        <v>48</v>
      </c>
      <c r="O80" s="16" t="s">
        <v>48</v>
      </c>
      <c r="P80" s="16" t="str">
        <f>TRIM(LEFT(Table3[[#This Row],[Shipping Address]],FIND(",",Table3[[#This Row],[Shipping Address]])-1))</f>
        <v>303 Ringstraße</v>
      </c>
      <c r="Q80" s="16" t="str">
        <f>TRIM(MID(Table3[[#This Row],[Shipping Address]],FIND(",",Table3[[#This Row],[Shipping Address]])+1,FIND(",",Table3[[#This Row],[Shipping Address]],FIND(",",Table3[[#This Row],[Shipping Address]])+1)-FIND(",",Table3[[#This Row],[Shipping Address]])-1))</f>
        <v>Hamburg</v>
      </c>
      <c r="R80" s="16" t="str">
        <f>TRIM(MID(Table3[[#This Row],[Shipping Address]],FIND(",",Table3[[#This Row],[Shipping Address]],FIND(",",Table3[[#This Row],[Shipping Address]])+1)+1,20))</f>
        <v>20095</v>
      </c>
      <c r="S80" s="16" t="s">
        <v>49</v>
      </c>
      <c r="T80" s="16" t="str">
        <f>_xlfn.IFNA(_xlfn.XLOOKUP(Table3[[#This Row],[Country Code]],Lookups!$A$2:$A$5,Lookups!$B$2:$B$5),"CHECK CODE")</f>
        <v>Germany</v>
      </c>
      <c r="U80" s="16" t="str">
        <f>_xlfn.IFNA(_xlfn.XLOOKUP(Table3[[#This Row],[Country Code]],Lookups!$A$2:$A$5,Lookups!$C$2:$C$5),"CHECK CODE")</f>
        <v>Europe</v>
      </c>
      <c r="V80" s="16" t="s">
        <v>50</v>
      </c>
      <c r="W80" s="16" t="str">
        <f>_xlfn.IFNA(_xlfn.XLOOKUP(Table3[[#This Row],[Country Code]],Lookups!$A$2:$A$5,Lookups!$D$2:$D$5),"CHECK CODE")</f>
        <v>EUR</v>
      </c>
      <c r="X80" s="16">
        <f>VALUE(MID(Table3[[#This Row],[Unit Price]],2,50))</f>
        <v>1000</v>
      </c>
      <c r="Y80" s="19">
        <f>_xlfn.IFNA(_xlfn.XLOOKUP(Table3[[#This Row],[Country Code]],Lookups!$A$2:$A$5,Lookups!$E$2:$E$5),"")</f>
        <v>1</v>
      </c>
      <c r="Z80" s="87">
        <f>Table3[[#This Row],[Unit Price (local)]]/Table3[[#This Row],[FX Rate (per EUR)]]</f>
        <v>1000</v>
      </c>
      <c r="AA80" s="16">
        <v>200</v>
      </c>
      <c r="AB80" s="20">
        <v>0</v>
      </c>
      <c r="AC80" s="21">
        <f>ROUND(Table3[[#This Row],[Unit Price (EUR)]]*Table3[[#This Row],[Units Sold]],0)</f>
        <v>200000</v>
      </c>
      <c r="AD80" s="22">
        <f>ROUND(Table3[[#This Row],[Gross Sales (EUR)]]*(1-Table3[[#This Row],[Discount (%)]]/100),0)</f>
        <v>200000</v>
      </c>
      <c r="AE80" s="22">
        <f>_xlfn.IFNA(_xlfn.XLOOKUP(Table3[[#This Row],[Month]],Lookups!$N$2:$N$13,Lookups!$O$2:$O$13),"CHECK MONTH")</f>
        <v>7</v>
      </c>
      <c r="AF80" s="22" t="str">
        <f>TEXT(Table3[[#This Row],[Month No]],"00")&amp;" - "&amp;Table3[[#This Row],[Month]]</f>
        <v>07 - July</v>
      </c>
      <c r="AG80" s="22" t="str">
        <f>_xlfn.IFNA(_xlfn.XLOOKUP(Table3[[#This Row],[Month]],Lookups!$N$2:$N$13,Lookups!$P$2:$P$13),"CHECK MONTH")</f>
        <v>Q3</v>
      </c>
      <c r="AH80" s="22">
        <f>Table3[[#This Row],[Gross Sales (EUR)]]-Table3[[#This Row],[Total Sales (EUR)]]</f>
        <v>0</v>
      </c>
      <c r="AI80" s="89">
        <f>DATE(Lookups!$O$15,Table3[[#This Row],[Month No]],1)</f>
        <v>45839</v>
      </c>
    </row>
    <row r="81" spans="1:35" x14ac:dyDescent="0.3">
      <c r="A81" s="15">
        <v>80</v>
      </c>
      <c r="B81" s="16" t="s">
        <v>45</v>
      </c>
      <c r="C81" s="16" t="s">
        <v>46</v>
      </c>
      <c r="D81" s="16" t="str">
        <f>TRIM(Table3[[#This Row],[Rep Last Name]])&amp;", "&amp;TRIM(Table3[[#This Row],[Rep First Name]])</f>
        <v>Fischer, Jonas</v>
      </c>
      <c r="E81" s="16" t="s">
        <v>70</v>
      </c>
      <c r="F81" s="16" t="s">
        <v>23</v>
      </c>
      <c r="G81" s="16" t="s">
        <v>24</v>
      </c>
      <c r="H81" s="16" t="str">
        <f>IF(Table3[[#This Row],[Min Speed (original, incomplete)]]="",_xlfn.IFNA(_xlfn.XLOOKUP(Table3[[#This Row],[Product Type]],Lookups!$G$2:$G$4,Lookups!$H$2:$H$4),"CHECK PRODUCT"),Table3[[#This Row],[Min Speed (original, incomplete)]])</f>
        <v>20 mph</v>
      </c>
      <c r="I81" s="16" t="s">
        <v>25</v>
      </c>
      <c r="J81" s="16" t="s">
        <v>26</v>
      </c>
      <c r="K81" s="17">
        <f>ROUND(VALUE(SUBSTITUTE(Table3[[#This Row],[Min Speed (mph)]]," mph",""))*Lookups!$L$2,0)</f>
        <v>32</v>
      </c>
      <c r="L81" s="17">
        <f>ROUND(VALUE(SUBSTITUTE(Table3[[#This Row],[Speed]]," mph",""))*Lookups!$L$2,0)</f>
        <v>56</v>
      </c>
      <c r="M81" s="17" t="str">
        <f>Table3[[#This Row],[Min Speed (km/h)]]&amp;" – "&amp;Table3[[#This Row],[Max Speed (km/h)]]&amp;" km/h"</f>
        <v>32 – 56 km/h</v>
      </c>
      <c r="N81" s="18">
        <f>IF(ISNUMBER(SEARCH("mile",Table3[[#This Row],[Distance]])),ROUND(VALUE(SUBSTITUTE(Table3[[#This Row],[Distance]]," miles",""))*Lookups!$L$3,0),ROUND(VALUE(SUBSTITUTE(Table3[[#This Row],[Distance]]," meters",""))*Lookups!$L$4,0))</f>
        <v>64</v>
      </c>
      <c r="O81" s="16" t="s">
        <v>51</v>
      </c>
      <c r="P81" s="16" t="str">
        <f>TRIM(LEFT(Table3[[#This Row],[Shipping Address]],FIND(",",Table3[[#This Row],[Shipping Address]])-1))</f>
        <v>304 Ringstraße</v>
      </c>
      <c r="Q81" s="16" t="str">
        <f>TRIM(MID(Table3[[#This Row],[Shipping Address]],FIND(",",Table3[[#This Row],[Shipping Address]])+1,FIND(",",Table3[[#This Row],[Shipping Address]],FIND(",",Table3[[#This Row],[Shipping Address]])+1)-FIND(",",Table3[[#This Row],[Shipping Address]])-1))</f>
        <v>Hamburg</v>
      </c>
      <c r="R81" s="16" t="str">
        <f>TRIM(MID(Table3[[#This Row],[Shipping Address]],FIND(",",Table3[[#This Row],[Shipping Address]],FIND(",",Table3[[#This Row],[Shipping Address]])+1)+1,20))</f>
        <v>20095</v>
      </c>
      <c r="S81" s="16" t="s">
        <v>49</v>
      </c>
      <c r="T81" s="16" t="str">
        <f>_xlfn.IFNA(_xlfn.XLOOKUP(Table3[[#This Row],[Country Code]],Lookups!$A$2:$A$5,Lookups!$B$2:$B$5),"CHECK CODE")</f>
        <v>Germany</v>
      </c>
      <c r="U81" s="16" t="str">
        <f>_xlfn.IFNA(_xlfn.XLOOKUP(Table3[[#This Row],[Country Code]],Lookups!$A$2:$A$5,Lookups!$C$2:$C$5),"CHECK CODE")</f>
        <v>Europe</v>
      </c>
      <c r="V81" s="16" t="s">
        <v>52</v>
      </c>
      <c r="W81" s="16" t="str">
        <f>_xlfn.IFNA(_xlfn.XLOOKUP(Table3[[#This Row],[Country Code]],Lookups!$A$2:$A$5,Lookups!$D$2:$D$5),"CHECK CODE")</f>
        <v>EUR</v>
      </c>
      <c r="X81" s="16">
        <f>VALUE(MID(Table3[[#This Row],[Unit Price]],2,50))</f>
        <v>800</v>
      </c>
      <c r="Y81" s="19">
        <f>_xlfn.IFNA(_xlfn.XLOOKUP(Table3[[#This Row],[Country Code]],Lookups!$A$2:$A$5,Lookups!$E$2:$E$5),"")</f>
        <v>1</v>
      </c>
      <c r="Z81" s="87">
        <f>Table3[[#This Row],[Unit Price (local)]]/Table3[[#This Row],[FX Rate (per EUR)]]</f>
        <v>800</v>
      </c>
      <c r="AA81" s="16">
        <v>350</v>
      </c>
      <c r="AB81" s="20">
        <v>0</v>
      </c>
      <c r="AC81" s="21">
        <f>ROUND(Table3[[#This Row],[Unit Price (EUR)]]*Table3[[#This Row],[Units Sold]],0)</f>
        <v>280000</v>
      </c>
      <c r="AD81" s="22">
        <f>ROUND(Table3[[#This Row],[Gross Sales (EUR)]]*(1-Table3[[#This Row],[Discount (%)]]/100),0)</f>
        <v>280000</v>
      </c>
      <c r="AE81" s="22">
        <f>_xlfn.IFNA(_xlfn.XLOOKUP(Table3[[#This Row],[Month]],Lookups!$N$2:$N$13,Lookups!$O$2:$O$13),"CHECK MONTH")</f>
        <v>7</v>
      </c>
      <c r="AF81" s="22" t="str">
        <f>TEXT(Table3[[#This Row],[Month No]],"00")&amp;" - "&amp;Table3[[#This Row],[Month]]</f>
        <v>07 - July</v>
      </c>
      <c r="AG81" s="22" t="str">
        <f>_xlfn.IFNA(_xlfn.XLOOKUP(Table3[[#This Row],[Month]],Lookups!$N$2:$N$13,Lookups!$P$2:$P$13),"CHECK MONTH")</f>
        <v>Q3</v>
      </c>
      <c r="AH81" s="22">
        <f>Table3[[#This Row],[Gross Sales (EUR)]]-Table3[[#This Row],[Total Sales (EUR)]]</f>
        <v>0</v>
      </c>
      <c r="AI81" s="89">
        <f>DATE(Lookups!$O$15,Table3[[#This Row],[Month No]],1)</f>
        <v>45839</v>
      </c>
    </row>
    <row r="82" spans="1:35" x14ac:dyDescent="0.3">
      <c r="A82" s="15">
        <v>81</v>
      </c>
      <c r="B82" s="16" t="s">
        <v>45</v>
      </c>
      <c r="C82" s="16" t="s">
        <v>46</v>
      </c>
      <c r="D82" s="16" t="str">
        <f>TRIM(Table3[[#This Row],[Rep Last Name]])&amp;", "&amp;TRIM(Table3[[#This Row],[Rep First Name]])</f>
        <v>Fischer, Jonas</v>
      </c>
      <c r="E82" s="16" t="s">
        <v>70</v>
      </c>
      <c r="F82" s="16" t="s">
        <v>29</v>
      </c>
      <c r="G82" s="16" t="s">
        <v>30</v>
      </c>
      <c r="H82" s="16" t="str">
        <f>IF(Table3[[#This Row],[Min Speed (original, incomplete)]]="",_xlfn.IFNA(_xlfn.XLOOKUP(Table3[[#This Row],[Product Type]],Lookups!$G$2:$G$4,Lookups!$H$2:$H$4),"CHECK PRODUCT"),Table3[[#This Row],[Min Speed (original, incomplete)]])</f>
        <v>18 mph</v>
      </c>
      <c r="I82" s="16" t="s">
        <v>31</v>
      </c>
      <c r="J82" s="16" t="s">
        <v>32</v>
      </c>
      <c r="K82" s="17">
        <f>ROUND(VALUE(SUBSTITUTE(Table3[[#This Row],[Min Speed (mph)]]," mph",""))*Lookups!$L$2,0)</f>
        <v>29</v>
      </c>
      <c r="L82" s="17">
        <f>ROUND(VALUE(SUBSTITUTE(Table3[[#This Row],[Speed]]," mph",""))*Lookups!$L$2,0)</f>
        <v>45</v>
      </c>
      <c r="M82" s="17" t="str">
        <f>Table3[[#This Row],[Min Speed (km/h)]]&amp;" – "&amp;Table3[[#This Row],[Max Speed (km/h)]]&amp;" km/h"</f>
        <v>29 – 45 km/h</v>
      </c>
      <c r="N82" s="18">
        <f>IF(ISNUMBER(SEARCH("mile",Table3[[#This Row],[Distance]])),ROUND(VALUE(SUBSTITUTE(Table3[[#This Row],[Distance]]," miles",""))*Lookups!$L$3,0),ROUND(VALUE(SUBSTITUTE(Table3[[#This Row],[Distance]]," meters",""))*Lookups!$L$4,0))</f>
        <v>40</v>
      </c>
      <c r="O82" s="16" t="s">
        <v>53</v>
      </c>
      <c r="P82" s="16" t="str">
        <f>TRIM(LEFT(Table3[[#This Row],[Shipping Address]],FIND(",",Table3[[#This Row],[Shipping Address]])-1))</f>
        <v>305 Ringstraße</v>
      </c>
      <c r="Q82" s="16" t="str">
        <f>TRIM(MID(Table3[[#This Row],[Shipping Address]],FIND(",",Table3[[#This Row],[Shipping Address]])+1,FIND(",",Table3[[#This Row],[Shipping Address]],FIND(",",Table3[[#This Row],[Shipping Address]])+1)-FIND(",",Table3[[#This Row],[Shipping Address]])-1))</f>
        <v>Hamburg</v>
      </c>
      <c r="R82" s="16" t="str">
        <f>TRIM(MID(Table3[[#This Row],[Shipping Address]],FIND(",",Table3[[#This Row],[Shipping Address]],FIND(",",Table3[[#This Row],[Shipping Address]])+1)+1,20))</f>
        <v>20095</v>
      </c>
      <c r="S82" s="16" t="s">
        <v>49</v>
      </c>
      <c r="T82" s="16" t="str">
        <f>_xlfn.IFNA(_xlfn.XLOOKUP(Table3[[#This Row],[Country Code]],Lookups!$A$2:$A$5,Lookups!$B$2:$B$5),"CHECK CODE")</f>
        <v>Germany</v>
      </c>
      <c r="U82" s="16" t="str">
        <f>_xlfn.IFNA(_xlfn.XLOOKUP(Table3[[#This Row],[Country Code]],Lookups!$A$2:$A$5,Lookups!$C$2:$C$5),"CHECK CODE")</f>
        <v>Europe</v>
      </c>
      <c r="V82" s="16" t="s">
        <v>54</v>
      </c>
      <c r="W82" s="16" t="str">
        <f>_xlfn.IFNA(_xlfn.XLOOKUP(Table3[[#This Row],[Country Code]],Lookups!$A$2:$A$5,Lookups!$D$2:$D$5),"CHECK CODE")</f>
        <v>EUR</v>
      </c>
      <c r="X82" s="16">
        <f>VALUE(MID(Table3[[#This Row],[Unit Price]],2,50))</f>
        <v>950</v>
      </c>
      <c r="Y82" s="19">
        <f>_xlfn.IFNA(_xlfn.XLOOKUP(Table3[[#This Row],[Country Code]],Lookups!$A$2:$A$5,Lookups!$E$2:$E$5),"")</f>
        <v>1</v>
      </c>
      <c r="Z82" s="87">
        <f>Table3[[#This Row],[Unit Price (local)]]/Table3[[#This Row],[FX Rate (per EUR)]]</f>
        <v>950</v>
      </c>
      <c r="AA82" s="16">
        <v>250</v>
      </c>
      <c r="AB82" s="20">
        <v>0</v>
      </c>
      <c r="AC82" s="21">
        <f>ROUND(Table3[[#This Row],[Unit Price (EUR)]]*Table3[[#This Row],[Units Sold]],0)</f>
        <v>237500</v>
      </c>
      <c r="AD82" s="22">
        <f>ROUND(Table3[[#This Row],[Gross Sales (EUR)]]*(1-Table3[[#This Row],[Discount (%)]]/100),0)</f>
        <v>237500</v>
      </c>
      <c r="AE82" s="22">
        <f>_xlfn.IFNA(_xlfn.XLOOKUP(Table3[[#This Row],[Month]],Lookups!$N$2:$N$13,Lookups!$O$2:$O$13),"CHECK MONTH")</f>
        <v>7</v>
      </c>
      <c r="AF82" s="22" t="str">
        <f>TEXT(Table3[[#This Row],[Month No]],"00")&amp;" - "&amp;Table3[[#This Row],[Month]]</f>
        <v>07 - July</v>
      </c>
      <c r="AG82" s="22" t="str">
        <f>_xlfn.IFNA(_xlfn.XLOOKUP(Table3[[#This Row],[Month]],Lookups!$N$2:$N$13,Lookups!$P$2:$P$13),"CHECK MONTH")</f>
        <v>Q3</v>
      </c>
      <c r="AH82" s="22">
        <f>Table3[[#This Row],[Gross Sales (EUR)]]-Table3[[#This Row],[Total Sales (EUR)]]</f>
        <v>0</v>
      </c>
      <c r="AI82" s="89">
        <f>DATE(Lookups!$O$15,Table3[[#This Row],[Month No]],1)</f>
        <v>45839</v>
      </c>
    </row>
    <row r="83" spans="1:35" x14ac:dyDescent="0.3">
      <c r="A83" s="15">
        <v>82</v>
      </c>
      <c r="B83" s="16" t="s">
        <v>55</v>
      </c>
      <c r="C83" s="16" t="s">
        <v>56</v>
      </c>
      <c r="D83" s="16" t="str">
        <f>TRIM(Table3[[#This Row],[Rep Last Name]])&amp;", "&amp;TRIM(Table3[[#This Row],[Rep First Name]])</f>
        <v>Bernard, Théo</v>
      </c>
      <c r="E83" s="16" t="s">
        <v>70</v>
      </c>
      <c r="F83" s="16" t="s">
        <v>16</v>
      </c>
      <c r="G83" s="16" t="s">
        <v>17</v>
      </c>
      <c r="H83" s="16" t="str">
        <f>IF(Table3[[#This Row],[Min Speed (original, incomplete)]]="",_xlfn.IFNA(_xlfn.XLOOKUP(Table3[[#This Row],[Product Type]],Lookups!$G$2:$G$4,Lookups!$H$2:$H$4),"CHECK PRODUCT"),Table3[[#This Row],[Min Speed (original, incomplete)]])</f>
        <v>15 mph</v>
      </c>
      <c r="I83" s="16" t="s">
        <v>18</v>
      </c>
      <c r="J83" s="16" t="s">
        <v>19</v>
      </c>
      <c r="K83" s="17">
        <f>ROUND(VALUE(SUBSTITUTE(Table3[[#This Row],[Min Speed (mph)]]," mph",""))*Lookups!$L$2,0)</f>
        <v>24</v>
      </c>
      <c r="L83" s="17">
        <f>ROUND(VALUE(SUBSTITUTE(Table3[[#This Row],[Speed]]," mph",""))*Lookups!$L$2,0)</f>
        <v>48</v>
      </c>
      <c r="M83" s="17" t="str">
        <f>Table3[[#This Row],[Min Speed (km/h)]]&amp;" – "&amp;Table3[[#This Row],[Max Speed (km/h)]]&amp;" km/h"</f>
        <v>24 – 48 km/h</v>
      </c>
      <c r="N83" s="18">
        <f>IF(ISNUMBER(SEARCH("mile",Table3[[#This Row],[Distance]])),ROUND(VALUE(SUBSTITUTE(Table3[[#This Row],[Distance]]," miles",""))*Lookups!$L$3,0),ROUND(VALUE(SUBSTITUTE(Table3[[#This Row],[Distance]]," meters",""))*Lookups!$L$4,0))</f>
        <v>48</v>
      </c>
      <c r="O83" s="16" t="s">
        <v>57</v>
      </c>
      <c r="P83" s="16" t="str">
        <f>TRIM(LEFT(Table3[[#This Row],[Shipping Address]],FIND(",",Table3[[#This Row],[Shipping Address]])-1))</f>
        <v>56 Boulevard Saint-Germain</v>
      </c>
      <c r="Q83" s="16" t="str">
        <f>TRIM(MID(Table3[[#This Row],[Shipping Address]],FIND(",",Table3[[#This Row],[Shipping Address]])+1,FIND(",",Table3[[#This Row],[Shipping Address]],FIND(",",Table3[[#This Row],[Shipping Address]])+1)-FIND(",",Table3[[#This Row],[Shipping Address]])-1))</f>
        <v>Paris</v>
      </c>
      <c r="R83" s="16" t="str">
        <f>TRIM(MID(Table3[[#This Row],[Shipping Address]],FIND(",",Table3[[#This Row],[Shipping Address]],FIND(",",Table3[[#This Row],[Shipping Address]])+1)+1,20))</f>
        <v>75005</v>
      </c>
      <c r="S83" s="16" t="s">
        <v>58</v>
      </c>
      <c r="T83" s="16" t="str">
        <f>_xlfn.IFNA(_xlfn.XLOOKUP(Table3[[#This Row],[Country Code]],Lookups!$A$2:$A$5,Lookups!$B$2:$B$5),"CHECK CODE")</f>
        <v>France</v>
      </c>
      <c r="U83" s="16" t="str">
        <f>_xlfn.IFNA(_xlfn.XLOOKUP(Table3[[#This Row],[Country Code]],Lookups!$A$2:$A$5,Lookups!$C$2:$C$5),"CHECK CODE")</f>
        <v>Europe</v>
      </c>
      <c r="V83" s="16" t="s">
        <v>59</v>
      </c>
      <c r="W83" s="16" t="str">
        <f>_xlfn.IFNA(_xlfn.XLOOKUP(Table3[[#This Row],[Country Code]],Lookups!$A$2:$A$5,Lookups!$D$2:$D$5),"CHECK CODE")</f>
        <v>EUR</v>
      </c>
      <c r="X83" s="16">
        <f>VALUE(MID(Table3[[#This Row],[Unit Price]],2,50))</f>
        <v>1100</v>
      </c>
      <c r="Y83" s="19">
        <f>_xlfn.IFNA(_xlfn.XLOOKUP(Table3[[#This Row],[Country Code]],Lookups!$A$2:$A$5,Lookups!$E$2:$E$5),"")</f>
        <v>1</v>
      </c>
      <c r="Z83" s="87">
        <f>Table3[[#This Row],[Unit Price (local)]]/Table3[[#This Row],[FX Rate (per EUR)]]</f>
        <v>1100</v>
      </c>
      <c r="AA83" s="16">
        <v>160</v>
      </c>
      <c r="AB83" s="20">
        <v>0</v>
      </c>
      <c r="AC83" s="21">
        <f>ROUND(Table3[[#This Row],[Unit Price (EUR)]]*Table3[[#This Row],[Units Sold]],0)</f>
        <v>176000</v>
      </c>
      <c r="AD83" s="22">
        <f>ROUND(Table3[[#This Row],[Gross Sales (EUR)]]*(1-Table3[[#This Row],[Discount (%)]]/100),0)</f>
        <v>176000</v>
      </c>
      <c r="AE83" s="22">
        <f>_xlfn.IFNA(_xlfn.XLOOKUP(Table3[[#This Row],[Month]],Lookups!$N$2:$N$13,Lookups!$O$2:$O$13),"CHECK MONTH")</f>
        <v>7</v>
      </c>
      <c r="AF83" s="22" t="str">
        <f>TEXT(Table3[[#This Row],[Month No]],"00")&amp;" - "&amp;Table3[[#This Row],[Month]]</f>
        <v>07 - July</v>
      </c>
      <c r="AG83" s="22" t="str">
        <f>_xlfn.IFNA(_xlfn.XLOOKUP(Table3[[#This Row],[Month]],Lookups!$N$2:$N$13,Lookups!$P$2:$P$13),"CHECK MONTH")</f>
        <v>Q3</v>
      </c>
      <c r="AH83" s="22">
        <f>Table3[[#This Row],[Gross Sales (EUR)]]-Table3[[#This Row],[Total Sales (EUR)]]</f>
        <v>0</v>
      </c>
      <c r="AI83" s="89">
        <f>DATE(Lookups!$O$15,Table3[[#This Row],[Month No]],1)</f>
        <v>45839</v>
      </c>
    </row>
    <row r="84" spans="1:35" x14ac:dyDescent="0.3">
      <c r="A84" s="15">
        <v>83</v>
      </c>
      <c r="B84" s="16" t="s">
        <v>55</v>
      </c>
      <c r="C84" s="16" t="s">
        <v>56</v>
      </c>
      <c r="D84" s="16" t="str">
        <f>TRIM(Table3[[#This Row],[Rep Last Name]])&amp;", "&amp;TRIM(Table3[[#This Row],[Rep First Name]])</f>
        <v>Bernard, Théo</v>
      </c>
      <c r="E84" s="16" t="s">
        <v>70</v>
      </c>
      <c r="F84" s="16" t="s">
        <v>23</v>
      </c>
      <c r="G84" s="16" t="s">
        <v>24</v>
      </c>
      <c r="H84" s="16" t="str">
        <f>IF(Table3[[#This Row],[Min Speed (original, incomplete)]]="",_xlfn.IFNA(_xlfn.XLOOKUP(Table3[[#This Row],[Product Type]],Lookups!$G$2:$G$4,Lookups!$H$2:$H$4),"CHECK PRODUCT"),Table3[[#This Row],[Min Speed (original, incomplete)]])</f>
        <v>20 mph</v>
      </c>
      <c r="I84" s="16" t="s">
        <v>25</v>
      </c>
      <c r="J84" s="16" t="s">
        <v>26</v>
      </c>
      <c r="K84" s="17">
        <f>ROUND(VALUE(SUBSTITUTE(Table3[[#This Row],[Min Speed (mph)]]," mph",""))*Lookups!$L$2,0)</f>
        <v>32</v>
      </c>
      <c r="L84" s="17">
        <f>ROUND(VALUE(SUBSTITUTE(Table3[[#This Row],[Speed]]," mph",""))*Lookups!$L$2,0)</f>
        <v>56</v>
      </c>
      <c r="M84" s="17" t="str">
        <f>Table3[[#This Row],[Min Speed (km/h)]]&amp;" – "&amp;Table3[[#This Row],[Max Speed (km/h)]]&amp;" km/h"</f>
        <v>32 – 56 km/h</v>
      </c>
      <c r="N84" s="18">
        <f>IF(ISNUMBER(SEARCH("mile",Table3[[#This Row],[Distance]])),ROUND(VALUE(SUBSTITUTE(Table3[[#This Row],[Distance]]," miles",""))*Lookups!$L$3,0),ROUND(VALUE(SUBSTITUTE(Table3[[#This Row],[Distance]]," meters",""))*Lookups!$L$4,0))</f>
        <v>64</v>
      </c>
      <c r="O84" s="16" t="s">
        <v>61</v>
      </c>
      <c r="P84" s="16" t="str">
        <f>TRIM(LEFT(Table3[[#This Row],[Shipping Address]],FIND(",",Table3[[#This Row],[Shipping Address]])-1))</f>
        <v>57 Boulevard Saint-Germain</v>
      </c>
      <c r="Q84" s="16" t="str">
        <f>TRIM(MID(Table3[[#This Row],[Shipping Address]],FIND(",",Table3[[#This Row],[Shipping Address]])+1,FIND(",",Table3[[#This Row],[Shipping Address]],FIND(",",Table3[[#This Row],[Shipping Address]])+1)-FIND(",",Table3[[#This Row],[Shipping Address]])-1))</f>
        <v>Paris</v>
      </c>
      <c r="R84" s="16" t="str">
        <f>TRIM(MID(Table3[[#This Row],[Shipping Address]],FIND(",",Table3[[#This Row],[Shipping Address]],FIND(",",Table3[[#This Row],[Shipping Address]])+1)+1,20))</f>
        <v>75005</v>
      </c>
      <c r="S84" s="16" t="s">
        <v>58</v>
      </c>
      <c r="T84" s="16" t="str">
        <f>_xlfn.IFNA(_xlfn.XLOOKUP(Table3[[#This Row],[Country Code]],Lookups!$A$2:$A$5,Lookups!$B$2:$B$5),"CHECK CODE")</f>
        <v>France</v>
      </c>
      <c r="U84" s="16" t="str">
        <f>_xlfn.IFNA(_xlfn.XLOOKUP(Table3[[#This Row],[Country Code]],Lookups!$A$2:$A$5,Lookups!$C$2:$C$5),"CHECK CODE")</f>
        <v>Europe</v>
      </c>
      <c r="V84" s="16" t="s">
        <v>62</v>
      </c>
      <c r="W84" s="16" t="str">
        <f>_xlfn.IFNA(_xlfn.XLOOKUP(Table3[[#This Row],[Country Code]],Lookups!$A$2:$A$5,Lookups!$D$2:$D$5),"CHECK CODE")</f>
        <v>EUR</v>
      </c>
      <c r="X84" s="16">
        <f>VALUE(MID(Table3[[#This Row],[Unit Price]],2,50))</f>
        <v>900</v>
      </c>
      <c r="Y84" s="19">
        <f>_xlfn.IFNA(_xlfn.XLOOKUP(Table3[[#This Row],[Country Code]],Lookups!$A$2:$A$5,Lookups!$E$2:$E$5),"")</f>
        <v>1</v>
      </c>
      <c r="Z84" s="87">
        <f>Table3[[#This Row],[Unit Price (local)]]/Table3[[#This Row],[FX Rate (per EUR)]]</f>
        <v>900</v>
      </c>
      <c r="AA84" s="16">
        <v>320</v>
      </c>
      <c r="AB84" s="20">
        <v>0</v>
      </c>
      <c r="AC84" s="21">
        <f>ROUND(Table3[[#This Row],[Unit Price (EUR)]]*Table3[[#This Row],[Units Sold]],0)</f>
        <v>288000</v>
      </c>
      <c r="AD84" s="22">
        <f>ROUND(Table3[[#This Row],[Gross Sales (EUR)]]*(1-Table3[[#This Row],[Discount (%)]]/100),0)</f>
        <v>288000</v>
      </c>
      <c r="AE84" s="22">
        <f>_xlfn.IFNA(_xlfn.XLOOKUP(Table3[[#This Row],[Month]],Lookups!$N$2:$N$13,Lookups!$O$2:$O$13),"CHECK MONTH")</f>
        <v>7</v>
      </c>
      <c r="AF84" s="22" t="str">
        <f>TEXT(Table3[[#This Row],[Month No]],"00")&amp;" - "&amp;Table3[[#This Row],[Month]]</f>
        <v>07 - July</v>
      </c>
      <c r="AG84" s="22" t="str">
        <f>_xlfn.IFNA(_xlfn.XLOOKUP(Table3[[#This Row],[Month]],Lookups!$N$2:$N$13,Lookups!$P$2:$P$13),"CHECK MONTH")</f>
        <v>Q3</v>
      </c>
      <c r="AH84" s="22">
        <f>Table3[[#This Row],[Gross Sales (EUR)]]-Table3[[#This Row],[Total Sales (EUR)]]</f>
        <v>0</v>
      </c>
      <c r="AI84" s="89">
        <f>DATE(Lookups!$O$15,Table3[[#This Row],[Month No]],1)</f>
        <v>45839</v>
      </c>
    </row>
    <row r="85" spans="1:35" x14ac:dyDescent="0.3">
      <c r="A85" s="15">
        <v>84</v>
      </c>
      <c r="B85" s="16" t="s">
        <v>55</v>
      </c>
      <c r="C85" s="16" t="s">
        <v>56</v>
      </c>
      <c r="D85" s="16" t="str">
        <f>TRIM(Table3[[#This Row],[Rep Last Name]])&amp;", "&amp;TRIM(Table3[[#This Row],[Rep First Name]])</f>
        <v>Bernard, Théo</v>
      </c>
      <c r="E85" s="16" t="s">
        <v>70</v>
      </c>
      <c r="F85" s="16" t="s">
        <v>29</v>
      </c>
      <c r="G85" s="16" t="s">
        <v>30</v>
      </c>
      <c r="H85" s="16" t="str">
        <f>IF(Table3[[#This Row],[Min Speed (original, incomplete)]]="",_xlfn.IFNA(_xlfn.XLOOKUP(Table3[[#This Row],[Product Type]],Lookups!$G$2:$G$4,Lookups!$H$2:$H$4),"CHECK PRODUCT"),Table3[[#This Row],[Min Speed (original, incomplete)]])</f>
        <v>18 mph</v>
      </c>
      <c r="I85" s="16" t="s">
        <v>31</v>
      </c>
      <c r="J85" s="16" t="s">
        <v>32</v>
      </c>
      <c r="K85" s="17">
        <f>ROUND(VALUE(SUBSTITUTE(Table3[[#This Row],[Min Speed (mph)]]," mph",""))*Lookups!$L$2,0)</f>
        <v>29</v>
      </c>
      <c r="L85" s="17">
        <f>ROUND(VALUE(SUBSTITUTE(Table3[[#This Row],[Speed]]," mph",""))*Lookups!$L$2,0)</f>
        <v>45</v>
      </c>
      <c r="M85" s="17" t="str">
        <f>Table3[[#This Row],[Min Speed (km/h)]]&amp;" – "&amp;Table3[[#This Row],[Max Speed (km/h)]]&amp;" km/h"</f>
        <v>29 – 45 km/h</v>
      </c>
      <c r="N85" s="18">
        <f>IF(ISNUMBER(SEARCH("mile",Table3[[#This Row],[Distance]])),ROUND(VALUE(SUBSTITUTE(Table3[[#This Row],[Distance]]," miles",""))*Lookups!$L$3,0),ROUND(VALUE(SUBSTITUTE(Table3[[#This Row],[Distance]]," meters",""))*Lookups!$L$4,0))</f>
        <v>40</v>
      </c>
      <c r="O85" s="16" t="s">
        <v>63</v>
      </c>
      <c r="P85" s="16" t="str">
        <f>TRIM(LEFT(Table3[[#This Row],[Shipping Address]],FIND(",",Table3[[#This Row],[Shipping Address]])-1))</f>
        <v>58 Boulevard Saint-Germain</v>
      </c>
      <c r="Q85" s="16" t="str">
        <f>TRIM(MID(Table3[[#This Row],[Shipping Address]],FIND(",",Table3[[#This Row],[Shipping Address]])+1,FIND(",",Table3[[#This Row],[Shipping Address]],FIND(",",Table3[[#This Row],[Shipping Address]])+1)-FIND(",",Table3[[#This Row],[Shipping Address]])-1))</f>
        <v>Paris</v>
      </c>
      <c r="R85" s="16" t="str">
        <f>TRIM(MID(Table3[[#This Row],[Shipping Address]],FIND(",",Table3[[#This Row],[Shipping Address]],FIND(",",Table3[[#This Row],[Shipping Address]])+1)+1,20))</f>
        <v>75005</v>
      </c>
      <c r="S85" s="16" t="s">
        <v>58</v>
      </c>
      <c r="T85" s="16" t="str">
        <f>_xlfn.IFNA(_xlfn.XLOOKUP(Table3[[#This Row],[Country Code]],Lookups!$A$2:$A$5,Lookups!$B$2:$B$5),"CHECK CODE")</f>
        <v>France</v>
      </c>
      <c r="U85" s="16" t="str">
        <f>_xlfn.IFNA(_xlfn.XLOOKUP(Table3[[#This Row],[Country Code]],Lookups!$A$2:$A$5,Lookups!$C$2:$C$5),"CHECK CODE")</f>
        <v>Europe</v>
      </c>
      <c r="V85" s="16" t="s">
        <v>64</v>
      </c>
      <c r="W85" s="16" t="str">
        <f>_xlfn.IFNA(_xlfn.XLOOKUP(Table3[[#This Row],[Country Code]],Lookups!$A$2:$A$5,Lookups!$D$2:$D$5),"CHECK CODE")</f>
        <v>EUR</v>
      </c>
      <c r="X85" s="16">
        <f>VALUE(MID(Table3[[#This Row],[Unit Price]],2,50))</f>
        <v>1050</v>
      </c>
      <c r="Y85" s="19">
        <f>_xlfn.IFNA(_xlfn.XLOOKUP(Table3[[#This Row],[Country Code]],Lookups!$A$2:$A$5,Lookups!$E$2:$E$5),"")</f>
        <v>1</v>
      </c>
      <c r="Z85" s="87">
        <f>Table3[[#This Row],[Unit Price (local)]]/Table3[[#This Row],[FX Rate (per EUR)]]</f>
        <v>1050</v>
      </c>
      <c r="AA85" s="16">
        <v>300</v>
      </c>
      <c r="AB85" s="20">
        <v>0</v>
      </c>
      <c r="AC85" s="21">
        <f>ROUND(Table3[[#This Row],[Unit Price (EUR)]]*Table3[[#This Row],[Units Sold]],0)</f>
        <v>315000</v>
      </c>
      <c r="AD85" s="22">
        <f>ROUND(Table3[[#This Row],[Gross Sales (EUR)]]*(1-Table3[[#This Row],[Discount (%)]]/100),0)</f>
        <v>315000</v>
      </c>
      <c r="AE85" s="22">
        <f>_xlfn.IFNA(_xlfn.XLOOKUP(Table3[[#This Row],[Month]],Lookups!$N$2:$N$13,Lookups!$O$2:$O$13),"CHECK MONTH")</f>
        <v>7</v>
      </c>
      <c r="AF85" s="22" t="str">
        <f>TEXT(Table3[[#This Row],[Month No]],"00")&amp;" - "&amp;Table3[[#This Row],[Month]]</f>
        <v>07 - July</v>
      </c>
      <c r="AG85" s="22" t="str">
        <f>_xlfn.IFNA(_xlfn.XLOOKUP(Table3[[#This Row],[Month]],Lookups!$N$2:$N$13,Lookups!$P$2:$P$13),"CHECK MONTH")</f>
        <v>Q3</v>
      </c>
      <c r="AH85" s="22">
        <f>Table3[[#This Row],[Gross Sales (EUR)]]-Table3[[#This Row],[Total Sales (EUR)]]</f>
        <v>0</v>
      </c>
      <c r="AI85" s="89">
        <f>DATE(Lookups!$O$15,Table3[[#This Row],[Month No]],1)</f>
        <v>45839</v>
      </c>
    </row>
    <row r="86" spans="1:35" x14ac:dyDescent="0.3">
      <c r="A86" s="15">
        <v>85</v>
      </c>
      <c r="B86" s="16" t="s">
        <v>13</v>
      </c>
      <c r="C86" s="16" t="s">
        <v>14</v>
      </c>
      <c r="D86" s="16" t="str">
        <f>TRIM(Table3[[#This Row],[Rep Last Name]])&amp;", "&amp;TRIM(Table3[[#This Row],[Rep First Name]])</f>
        <v>Joshi, Sanya</v>
      </c>
      <c r="E86" s="16" t="s">
        <v>71</v>
      </c>
      <c r="F86" s="16" t="s">
        <v>16</v>
      </c>
      <c r="G86" s="16" t="s">
        <v>17</v>
      </c>
      <c r="H86" s="16" t="str">
        <f>IF(Table3[[#This Row],[Min Speed (original, incomplete)]]="",_xlfn.IFNA(_xlfn.XLOOKUP(Table3[[#This Row],[Product Type]],Lookups!$G$2:$G$4,Lookups!$H$2:$H$4),"CHECK PRODUCT"),Table3[[#This Row],[Min Speed (original, incomplete)]])</f>
        <v>15 mph</v>
      </c>
      <c r="I86" s="16" t="s">
        <v>18</v>
      </c>
      <c r="J86" s="16" t="s">
        <v>19</v>
      </c>
      <c r="K86" s="17">
        <f>ROUND(VALUE(SUBSTITUTE(Table3[[#This Row],[Min Speed (mph)]]," mph",""))*Lookups!$L$2,0)</f>
        <v>24</v>
      </c>
      <c r="L86" s="17">
        <f>ROUND(VALUE(SUBSTITUTE(Table3[[#This Row],[Speed]]," mph",""))*Lookups!$L$2,0)</f>
        <v>48</v>
      </c>
      <c r="M86" s="17" t="str">
        <f>Table3[[#This Row],[Min Speed (km/h)]]&amp;" – "&amp;Table3[[#This Row],[Max Speed (km/h)]]&amp;" km/h"</f>
        <v>24 – 48 km/h</v>
      </c>
      <c r="N86" s="18">
        <f>IF(ISNUMBER(SEARCH("mile",Table3[[#This Row],[Distance]])),ROUND(VALUE(SUBSTITUTE(Table3[[#This Row],[Distance]]," miles",""))*Lookups!$L$3,0),ROUND(VALUE(SUBSTITUTE(Table3[[#This Row],[Distance]]," meters",""))*Lookups!$L$4,0))</f>
        <v>48</v>
      </c>
      <c r="O86" s="16" t="s">
        <v>20</v>
      </c>
      <c r="P86" s="16" t="str">
        <f>TRIM(LEFT(Table3[[#This Row],[Shipping Address]],FIND(",",Table3[[#This Row],[Shipping Address]])-1))</f>
        <v>456 Brigade Road</v>
      </c>
      <c r="Q86" s="16" t="str">
        <f>TRIM(MID(Table3[[#This Row],[Shipping Address]],FIND(",",Table3[[#This Row],[Shipping Address]])+1,FIND(",",Table3[[#This Row],[Shipping Address]],FIND(",",Table3[[#This Row],[Shipping Address]])+1)-FIND(",",Table3[[#This Row],[Shipping Address]])-1))</f>
        <v>Bengaluru</v>
      </c>
      <c r="R86" s="16" t="str">
        <f>TRIM(MID(Table3[[#This Row],[Shipping Address]],FIND(",",Table3[[#This Row],[Shipping Address]],FIND(",",Table3[[#This Row],[Shipping Address]])+1)+1,20))</f>
        <v>560001</v>
      </c>
      <c r="S86" s="16" t="s">
        <v>21</v>
      </c>
      <c r="T86" s="16" t="str">
        <f>_xlfn.IFNA(_xlfn.XLOOKUP(Table3[[#This Row],[Country Code]],Lookups!$A$2:$A$5,Lookups!$B$2:$B$5),"CHECK CODE")</f>
        <v>India</v>
      </c>
      <c r="U86" s="16" t="str">
        <f>_xlfn.IFNA(_xlfn.XLOOKUP(Table3[[#This Row],[Country Code]],Lookups!$A$2:$A$5,Lookups!$C$2:$C$5),"CHECK CODE")</f>
        <v>Asia</v>
      </c>
      <c r="V86" s="16" t="s">
        <v>22</v>
      </c>
      <c r="W86" s="16" t="str">
        <f>_xlfn.IFNA(_xlfn.XLOOKUP(Table3[[#This Row],[Country Code]],Lookups!$A$2:$A$5,Lookups!$D$2:$D$5),"CHECK CODE")</f>
        <v>INR</v>
      </c>
      <c r="X86" s="16">
        <f>VALUE(MID(Table3[[#This Row],[Unit Price]],2,50))</f>
        <v>30000</v>
      </c>
      <c r="Y86" s="19">
        <f>_xlfn.IFNA(_xlfn.XLOOKUP(Table3[[#This Row],[Country Code]],Lookups!$A$2:$A$5,Lookups!$E$2:$E$5),"")</f>
        <v>109.88200000000001</v>
      </c>
      <c r="Z86" s="87">
        <f>Table3[[#This Row],[Unit Price (local)]]/Table3[[#This Row],[FX Rate (per EUR)]]</f>
        <v>273.02014888698784</v>
      </c>
      <c r="AA86" s="16">
        <v>200</v>
      </c>
      <c r="AB86" s="20">
        <v>0</v>
      </c>
      <c r="AC86" s="21">
        <f>ROUND(Table3[[#This Row],[Unit Price (EUR)]]*Table3[[#This Row],[Units Sold]],0)</f>
        <v>54604</v>
      </c>
      <c r="AD86" s="22">
        <f>ROUND(Table3[[#This Row],[Gross Sales (EUR)]]*(1-Table3[[#This Row],[Discount (%)]]/100),0)</f>
        <v>54604</v>
      </c>
      <c r="AE86" s="22">
        <f>_xlfn.IFNA(_xlfn.XLOOKUP(Table3[[#This Row],[Month]],Lookups!$N$2:$N$13,Lookups!$O$2:$O$13),"CHECK MONTH")</f>
        <v>8</v>
      </c>
      <c r="AF86" s="22" t="str">
        <f>TEXT(Table3[[#This Row],[Month No]],"00")&amp;" - "&amp;Table3[[#This Row],[Month]]</f>
        <v>08 - August</v>
      </c>
      <c r="AG86" s="22" t="str">
        <f>_xlfn.IFNA(_xlfn.XLOOKUP(Table3[[#This Row],[Month]],Lookups!$N$2:$N$13,Lookups!$P$2:$P$13),"CHECK MONTH")</f>
        <v>Q3</v>
      </c>
      <c r="AH86" s="22">
        <f>Table3[[#This Row],[Gross Sales (EUR)]]-Table3[[#This Row],[Total Sales (EUR)]]</f>
        <v>0</v>
      </c>
      <c r="AI86" s="89">
        <f>DATE(Lookups!$O$15,Table3[[#This Row],[Month No]],1)</f>
        <v>45870</v>
      </c>
    </row>
    <row r="87" spans="1:35" x14ac:dyDescent="0.3">
      <c r="A87" s="15">
        <v>86</v>
      </c>
      <c r="B87" s="16" t="s">
        <v>13</v>
      </c>
      <c r="C87" s="16" t="s">
        <v>14</v>
      </c>
      <c r="D87" s="16" t="str">
        <f>TRIM(Table3[[#This Row],[Rep Last Name]])&amp;", "&amp;TRIM(Table3[[#This Row],[Rep First Name]])</f>
        <v>Joshi, Sanya</v>
      </c>
      <c r="E87" s="16" t="s">
        <v>71</v>
      </c>
      <c r="F87" s="16" t="s">
        <v>23</v>
      </c>
      <c r="G87" s="16" t="s">
        <v>24</v>
      </c>
      <c r="H87" s="16" t="str">
        <f>IF(Table3[[#This Row],[Min Speed (original, incomplete)]]="",_xlfn.IFNA(_xlfn.XLOOKUP(Table3[[#This Row],[Product Type]],Lookups!$G$2:$G$4,Lookups!$H$2:$H$4),"CHECK PRODUCT"),Table3[[#This Row],[Min Speed (original, incomplete)]])</f>
        <v>20 mph</v>
      </c>
      <c r="I87" s="16" t="s">
        <v>25</v>
      </c>
      <c r="J87" s="16" t="s">
        <v>26</v>
      </c>
      <c r="K87" s="17">
        <f>ROUND(VALUE(SUBSTITUTE(Table3[[#This Row],[Min Speed (mph)]]," mph",""))*Lookups!$L$2,0)</f>
        <v>32</v>
      </c>
      <c r="L87" s="17">
        <f>ROUND(VALUE(SUBSTITUTE(Table3[[#This Row],[Speed]]," mph",""))*Lookups!$L$2,0)</f>
        <v>56</v>
      </c>
      <c r="M87" s="17" t="str">
        <f>Table3[[#This Row],[Min Speed (km/h)]]&amp;" – "&amp;Table3[[#This Row],[Max Speed (km/h)]]&amp;" km/h"</f>
        <v>32 – 56 km/h</v>
      </c>
      <c r="N87" s="18">
        <f>IF(ISNUMBER(SEARCH("mile",Table3[[#This Row],[Distance]])),ROUND(VALUE(SUBSTITUTE(Table3[[#This Row],[Distance]]," miles",""))*Lookups!$L$3,0),ROUND(VALUE(SUBSTITUTE(Table3[[#This Row],[Distance]]," meters",""))*Lookups!$L$4,0))</f>
        <v>64</v>
      </c>
      <c r="O87" s="16" t="s">
        <v>27</v>
      </c>
      <c r="P87" s="16" t="str">
        <f>TRIM(LEFT(Table3[[#This Row],[Shipping Address]],FIND(",",Table3[[#This Row],[Shipping Address]])-1))</f>
        <v>457 Brigade Road</v>
      </c>
      <c r="Q87" s="16" t="str">
        <f>TRIM(MID(Table3[[#This Row],[Shipping Address]],FIND(",",Table3[[#This Row],[Shipping Address]])+1,FIND(",",Table3[[#This Row],[Shipping Address]],FIND(",",Table3[[#This Row],[Shipping Address]])+1)-FIND(",",Table3[[#This Row],[Shipping Address]])-1))</f>
        <v>Bengaluru</v>
      </c>
      <c r="R87" s="16" t="str">
        <f>TRIM(MID(Table3[[#This Row],[Shipping Address]],FIND(",",Table3[[#This Row],[Shipping Address]],FIND(",",Table3[[#This Row],[Shipping Address]])+1)+1,20))</f>
        <v>560001</v>
      </c>
      <c r="S87" s="16" t="s">
        <v>21</v>
      </c>
      <c r="T87" s="16" t="str">
        <f>_xlfn.IFNA(_xlfn.XLOOKUP(Table3[[#This Row],[Country Code]],Lookups!$A$2:$A$5,Lookups!$B$2:$B$5),"CHECK CODE")</f>
        <v>India</v>
      </c>
      <c r="U87" s="16" t="str">
        <f>_xlfn.IFNA(_xlfn.XLOOKUP(Table3[[#This Row],[Country Code]],Lookups!$A$2:$A$5,Lookups!$C$2:$C$5),"CHECK CODE")</f>
        <v>Asia</v>
      </c>
      <c r="V87" s="16" t="s">
        <v>28</v>
      </c>
      <c r="W87" s="16" t="str">
        <f>_xlfn.IFNA(_xlfn.XLOOKUP(Table3[[#This Row],[Country Code]],Lookups!$A$2:$A$5,Lookups!$D$2:$D$5),"CHECK CODE")</f>
        <v>INR</v>
      </c>
      <c r="X87" s="16">
        <f>VALUE(MID(Table3[[#This Row],[Unit Price]],2,50))</f>
        <v>25000</v>
      </c>
      <c r="Y87" s="19">
        <f>_xlfn.IFNA(_xlfn.XLOOKUP(Table3[[#This Row],[Country Code]],Lookups!$A$2:$A$5,Lookups!$E$2:$E$5),"")</f>
        <v>109.88200000000001</v>
      </c>
      <c r="Z87" s="87">
        <f>Table3[[#This Row],[Unit Price (local)]]/Table3[[#This Row],[FX Rate (per EUR)]]</f>
        <v>227.51679073915653</v>
      </c>
      <c r="AA87" s="16">
        <v>450</v>
      </c>
      <c r="AB87" s="20">
        <v>0</v>
      </c>
      <c r="AC87" s="21">
        <f>ROUND(Table3[[#This Row],[Unit Price (EUR)]]*Table3[[#This Row],[Units Sold]],0)</f>
        <v>102383</v>
      </c>
      <c r="AD87" s="22">
        <f>ROUND(Table3[[#This Row],[Gross Sales (EUR)]]*(1-Table3[[#This Row],[Discount (%)]]/100),0)</f>
        <v>102383</v>
      </c>
      <c r="AE87" s="22">
        <f>_xlfn.IFNA(_xlfn.XLOOKUP(Table3[[#This Row],[Month]],Lookups!$N$2:$N$13,Lookups!$O$2:$O$13),"CHECK MONTH")</f>
        <v>8</v>
      </c>
      <c r="AF87" s="22" t="str">
        <f>TEXT(Table3[[#This Row],[Month No]],"00")&amp;" - "&amp;Table3[[#This Row],[Month]]</f>
        <v>08 - August</v>
      </c>
      <c r="AG87" s="22" t="str">
        <f>_xlfn.IFNA(_xlfn.XLOOKUP(Table3[[#This Row],[Month]],Lookups!$N$2:$N$13,Lookups!$P$2:$P$13),"CHECK MONTH")</f>
        <v>Q3</v>
      </c>
      <c r="AH87" s="22">
        <f>Table3[[#This Row],[Gross Sales (EUR)]]-Table3[[#This Row],[Total Sales (EUR)]]</f>
        <v>0</v>
      </c>
      <c r="AI87" s="89">
        <f>DATE(Lookups!$O$15,Table3[[#This Row],[Month No]],1)</f>
        <v>45870</v>
      </c>
    </row>
    <row r="88" spans="1:35" x14ac:dyDescent="0.3">
      <c r="A88" s="15">
        <v>87</v>
      </c>
      <c r="B88" s="16" t="s">
        <v>13</v>
      </c>
      <c r="C88" s="16" t="s">
        <v>14</v>
      </c>
      <c r="D88" s="16" t="str">
        <f>TRIM(Table3[[#This Row],[Rep Last Name]])&amp;", "&amp;TRIM(Table3[[#This Row],[Rep First Name]])</f>
        <v>Joshi, Sanya</v>
      </c>
      <c r="E88" s="16" t="s">
        <v>71</v>
      </c>
      <c r="F88" s="16" t="s">
        <v>29</v>
      </c>
      <c r="G88" s="16" t="s">
        <v>30</v>
      </c>
      <c r="H88" s="16" t="str">
        <f>IF(Table3[[#This Row],[Min Speed (original, incomplete)]]="",_xlfn.IFNA(_xlfn.XLOOKUP(Table3[[#This Row],[Product Type]],Lookups!$G$2:$G$4,Lookups!$H$2:$H$4),"CHECK PRODUCT"),Table3[[#This Row],[Min Speed (original, incomplete)]])</f>
        <v>18 mph</v>
      </c>
      <c r="I88" s="16" t="s">
        <v>31</v>
      </c>
      <c r="J88" s="16" t="s">
        <v>42</v>
      </c>
      <c r="K88" s="17">
        <f>ROUND(VALUE(SUBSTITUTE(Table3[[#This Row],[Min Speed (mph)]]," mph",""))*Lookups!$L$2,0)</f>
        <v>29</v>
      </c>
      <c r="L88" s="17">
        <f>ROUND(VALUE(SUBSTITUTE(Table3[[#This Row],[Speed]]," mph",""))*Lookups!$L$2,0)</f>
        <v>45</v>
      </c>
      <c r="M88" s="17" t="str">
        <f>Table3[[#This Row],[Min Speed (km/h)]]&amp;" – "&amp;Table3[[#This Row],[Max Speed (km/h)]]&amp;" km/h"</f>
        <v>29 – 45 km/h</v>
      </c>
      <c r="N88" s="18">
        <f>IF(ISNUMBER(SEARCH("mile",Table3[[#This Row],[Distance]])),ROUND(VALUE(SUBSTITUTE(Table3[[#This Row],[Distance]]," miles",""))*Lookups!$L$3,0),ROUND(VALUE(SUBSTITUTE(Table3[[#This Row],[Distance]]," meters",""))*Lookups!$L$4,0))</f>
        <v>40</v>
      </c>
      <c r="O88" s="16" t="s">
        <v>33</v>
      </c>
      <c r="P88" s="16" t="str">
        <f>TRIM(LEFT(Table3[[#This Row],[Shipping Address]],FIND(",",Table3[[#This Row],[Shipping Address]])-1))</f>
        <v>458 Brigade Road</v>
      </c>
      <c r="Q88" s="16" t="str">
        <f>TRIM(MID(Table3[[#This Row],[Shipping Address]],FIND(",",Table3[[#This Row],[Shipping Address]])+1,FIND(",",Table3[[#This Row],[Shipping Address]],FIND(",",Table3[[#This Row],[Shipping Address]])+1)-FIND(",",Table3[[#This Row],[Shipping Address]])-1))</f>
        <v>Bengaluru</v>
      </c>
      <c r="R88" s="16" t="str">
        <f>TRIM(MID(Table3[[#This Row],[Shipping Address]],FIND(",",Table3[[#This Row],[Shipping Address]],FIND(",",Table3[[#This Row],[Shipping Address]])+1)+1,20))</f>
        <v>560001</v>
      </c>
      <c r="S88" s="16" t="s">
        <v>21</v>
      </c>
      <c r="T88" s="16" t="str">
        <f>_xlfn.IFNA(_xlfn.XLOOKUP(Table3[[#This Row],[Country Code]],Lookups!$A$2:$A$5,Lookups!$B$2:$B$5),"CHECK CODE")</f>
        <v>India</v>
      </c>
      <c r="U88" s="16" t="str">
        <f>_xlfn.IFNA(_xlfn.XLOOKUP(Table3[[#This Row],[Country Code]],Lookups!$A$2:$A$5,Lookups!$C$2:$C$5),"CHECK CODE")</f>
        <v>Asia</v>
      </c>
      <c r="V88" s="16" t="s">
        <v>34</v>
      </c>
      <c r="W88" s="16" t="str">
        <f>_xlfn.IFNA(_xlfn.XLOOKUP(Table3[[#This Row],[Country Code]],Lookups!$A$2:$A$5,Lookups!$D$2:$D$5),"CHECK CODE")</f>
        <v>INR</v>
      </c>
      <c r="X88" s="16">
        <f>VALUE(MID(Table3[[#This Row],[Unit Price]],2,50))</f>
        <v>22000</v>
      </c>
      <c r="Y88" s="19">
        <f>_xlfn.IFNA(_xlfn.XLOOKUP(Table3[[#This Row],[Country Code]],Lookups!$A$2:$A$5,Lookups!$E$2:$E$5),"")</f>
        <v>109.88200000000001</v>
      </c>
      <c r="Z88" s="87">
        <f>Table3[[#This Row],[Unit Price (local)]]/Table3[[#This Row],[FX Rate (per EUR)]]</f>
        <v>200.21477585045776</v>
      </c>
      <c r="AA88" s="16">
        <v>350</v>
      </c>
      <c r="AB88" s="20">
        <v>0</v>
      </c>
      <c r="AC88" s="21">
        <f>ROUND(Table3[[#This Row],[Unit Price (EUR)]]*Table3[[#This Row],[Units Sold]],0)</f>
        <v>70075</v>
      </c>
      <c r="AD88" s="22">
        <f>ROUND(Table3[[#This Row],[Gross Sales (EUR)]]*(1-Table3[[#This Row],[Discount (%)]]/100),0)</f>
        <v>70075</v>
      </c>
      <c r="AE88" s="22">
        <f>_xlfn.IFNA(_xlfn.XLOOKUP(Table3[[#This Row],[Month]],Lookups!$N$2:$N$13,Lookups!$O$2:$O$13),"CHECK MONTH")</f>
        <v>8</v>
      </c>
      <c r="AF88" s="22" t="str">
        <f>TEXT(Table3[[#This Row],[Month No]],"00")&amp;" - "&amp;Table3[[#This Row],[Month]]</f>
        <v>08 - August</v>
      </c>
      <c r="AG88" s="22" t="str">
        <f>_xlfn.IFNA(_xlfn.XLOOKUP(Table3[[#This Row],[Month]],Lookups!$N$2:$N$13,Lookups!$P$2:$P$13),"CHECK MONTH")</f>
        <v>Q3</v>
      </c>
      <c r="AH88" s="22">
        <f>Table3[[#This Row],[Gross Sales (EUR)]]-Table3[[#This Row],[Total Sales (EUR)]]</f>
        <v>0</v>
      </c>
      <c r="AI88" s="89">
        <f>DATE(Lookups!$O$15,Table3[[#This Row],[Month No]],1)</f>
        <v>45870</v>
      </c>
    </row>
    <row r="89" spans="1:35" x14ac:dyDescent="0.3">
      <c r="A89" s="15">
        <v>88</v>
      </c>
      <c r="B89" s="16" t="s">
        <v>35</v>
      </c>
      <c r="C89" s="16" t="s">
        <v>36</v>
      </c>
      <c r="D89" s="16" t="str">
        <f>TRIM(Table3[[#This Row],[Rep Last Name]])&amp;", "&amp;TRIM(Table3[[#This Row],[Rep First Name]])</f>
        <v>Liu, Fang</v>
      </c>
      <c r="E89" s="16" t="s">
        <v>71</v>
      </c>
      <c r="F89" s="16" t="s">
        <v>16</v>
      </c>
      <c r="G89" s="23"/>
      <c r="H89" s="16" t="str">
        <f>IF(Table3[[#This Row],[Min Speed (original, incomplete)]]="",_xlfn.IFNA(_xlfn.XLOOKUP(Table3[[#This Row],[Product Type]],Lookups!$G$2:$G$4,Lookups!$H$2:$H$4),"CHECK PRODUCT"),Table3[[#This Row],[Min Speed (original, incomplete)]])</f>
        <v>15 mph</v>
      </c>
      <c r="I89" s="16" t="s">
        <v>18</v>
      </c>
      <c r="J89" s="16" t="s">
        <v>19</v>
      </c>
      <c r="K89" s="17">
        <f>ROUND(VALUE(SUBSTITUTE(Table3[[#This Row],[Min Speed (mph)]]," mph",""))*Lookups!$L$2,0)</f>
        <v>24</v>
      </c>
      <c r="L89" s="17">
        <f>ROUND(VALUE(SUBSTITUTE(Table3[[#This Row],[Speed]]," mph",""))*Lookups!$L$2,0)</f>
        <v>48</v>
      </c>
      <c r="M89" s="17" t="str">
        <f>Table3[[#This Row],[Min Speed (km/h)]]&amp;" – "&amp;Table3[[#This Row],[Max Speed (km/h)]]&amp;" km/h"</f>
        <v>24 – 48 km/h</v>
      </c>
      <c r="N89" s="18">
        <f>IF(ISNUMBER(SEARCH("mile",Table3[[#This Row],[Distance]])),ROUND(VALUE(SUBSTITUTE(Table3[[#This Row],[Distance]]," miles",""))*Lookups!$L$3,0),ROUND(VALUE(SUBSTITUTE(Table3[[#This Row],[Distance]]," meters",""))*Lookups!$L$4,0))</f>
        <v>48</v>
      </c>
      <c r="O89" s="16" t="s">
        <v>37</v>
      </c>
      <c r="P89" s="16" t="str">
        <f>TRIM(LEFT(Table3[[#This Row],[Shipping Address]],FIND(",",Table3[[#This Row],[Shipping Address]])-1))</f>
        <v>99 Nanjing Road</v>
      </c>
      <c r="Q89" s="16" t="str">
        <f>TRIM(MID(Table3[[#This Row],[Shipping Address]],FIND(",",Table3[[#This Row],[Shipping Address]])+1,FIND(",",Table3[[#This Row],[Shipping Address]],FIND(",",Table3[[#This Row],[Shipping Address]])+1)-FIND(",",Table3[[#This Row],[Shipping Address]])-1))</f>
        <v>Shanghai</v>
      </c>
      <c r="R89" s="16" t="str">
        <f>TRIM(MID(Table3[[#This Row],[Shipping Address]],FIND(",",Table3[[#This Row],[Shipping Address]],FIND(",",Table3[[#This Row],[Shipping Address]])+1)+1,20))</f>
        <v>200001</v>
      </c>
      <c r="S89" s="16" t="s">
        <v>38</v>
      </c>
      <c r="T89" s="16" t="str">
        <f>_xlfn.IFNA(_xlfn.XLOOKUP(Table3[[#This Row],[Country Code]],Lookups!$A$2:$A$5,Lookups!$B$2:$B$5),"CHECK CODE")</f>
        <v>China</v>
      </c>
      <c r="U89" s="16" t="str">
        <f>_xlfn.IFNA(_xlfn.XLOOKUP(Table3[[#This Row],[Country Code]],Lookups!$A$2:$A$5,Lookups!$C$2:$C$5),"CHECK CODE")</f>
        <v>Asia</v>
      </c>
      <c r="V89" s="16" t="s">
        <v>39</v>
      </c>
      <c r="W89" s="16" t="str">
        <f>_xlfn.IFNA(_xlfn.XLOOKUP(Table3[[#This Row],[Country Code]],Lookups!$A$2:$A$5,Lookups!$D$2:$D$5),"CHECK CODE")</f>
        <v>CNY</v>
      </c>
      <c r="X89" s="16">
        <f>VALUE(MID(Table3[[#This Row],[Unit Price]],2,50))</f>
        <v>5000</v>
      </c>
      <c r="Y89" s="19">
        <f>_xlfn.IFNA(_xlfn.XLOOKUP(Table3[[#This Row],[Country Code]],Lookups!$A$2:$A$5,Lookups!$E$2:$E$5),"")</f>
        <v>7.7255000000000003</v>
      </c>
      <c r="Z89" s="87">
        <f>Table3[[#This Row],[Unit Price (local)]]/Table3[[#This Row],[FX Rate (per EUR)]]</f>
        <v>647.20730049834958</v>
      </c>
      <c r="AA89" s="16">
        <v>700</v>
      </c>
      <c r="AB89" s="20">
        <v>0</v>
      </c>
      <c r="AC89" s="21">
        <f>ROUND(Table3[[#This Row],[Unit Price (EUR)]]*Table3[[#This Row],[Units Sold]],0)</f>
        <v>453045</v>
      </c>
      <c r="AD89" s="22">
        <f>ROUND(Table3[[#This Row],[Gross Sales (EUR)]]*(1-Table3[[#This Row],[Discount (%)]]/100),0)</f>
        <v>453045</v>
      </c>
      <c r="AE89" s="22">
        <f>_xlfn.IFNA(_xlfn.XLOOKUP(Table3[[#This Row],[Month]],Lookups!$N$2:$N$13,Lookups!$O$2:$O$13),"CHECK MONTH")</f>
        <v>8</v>
      </c>
      <c r="AF89" s="22" t="str">
        <f>TEXT(Table3[[#This Row],[Month No]],"00")&amp;" - "&amp;Table3[[#This Row],[Month]]</f>
        <v>08 - August</v>
      </c>
      <c r="AG89" s="22" t="str">
        <f>_xlfn.IFNA(_xlfn.XLOOKUP(Table3[[#This Row],[Month]],Lookups!$N$2:$N$13,Lookups!$P$2:$P$13),"CHECK MONTH")</f>
        <v>Q3</v>
      </c>
      <c r="AH89" s="22">
        <f>Table3[[#This Row],[Gross Sales (EUR)]]-Table3[[#This Row],[Total Sales (EUR)]]</f>
        <v>0</v>
      </c>
      <c r="AI89" s="89">
        <f>DATE(Lookups!$O$15,Table3[[#This Row],[Month No]],1)</f>
        <v>45870</v>
      </c>
    </row>
    <row r="90" spans="1:35" x14ac:dyDescent="0.3">
      <c r="A90" s="15">
        <v>89</v>
      </c>
      <c r="B90" s="16" t="s">
        <v>35</v>
      </c>
      <c r="C90" s="16" t="s">
        <v>36</v>
      </c>
      <c r="D90" s="16" t="str">
        <f>TRIM(Table3[[#This Row],[Rep Last Name]])&amp;", "&amp;TRIM(Table3[[#This Row],[Rep First Name]])</f>
        <v>Liu, Fang</v>
      </c>
      <c r="E90" s="16" t="s">
        <v>71</v>
      </c>
      <c r="F90" s="16" t="s">
        <v>23</v>
      </c>
      <c r="G90" s="16" t="s">
        <v>24</v>
      </c>
      <c r="H90" s="16" t="str">
        <f>IF(Table3[[#This Row],[Min Speed (original, incomplete)]]="",_xlfn.IFNA(_xlfn.XLOOKUP(Table3[[#This Row],[Product Type]],Lookups!$G$2:$G$4,Lookups!$H$2:$H$4),"CHECK PRODUCT"),Table3[[#This Row],[Min Speed (original, incomplete)]])</f>
        <v>20 mph</v>
      </c>
      <c r="I90" s="16" t="s">
        <v>25</v>
      </c>
      <c r="J90" s="16" t="s">
        <v>26</v>
      </c>
      <c r="K90" s="17">
        <f>ROUND(VALUE(SUBSTITUTE(Table3[[#This Row],[Min Speed (mph)]]," mph",""))*Lookups!$L$2,0)</f>
        <v>32</v>
      </c>
      <c r="L90" s="17">
        <f>ROUND(VALUE(SUBSTITUTE(Table3[[#This Row],[Speed]]," mph",""))*Lookups!$L$2,0)</f>
        <v>56</v>
      </c>
      <c r="M90" s="17" t="str">
        <f>Table3[[#This Row],[Min Speed (km/h)]]&amp;" – "&amp;Table3[[#This Row],[Max Speed (km/h)]]&amp;" km/h"</f>
        <v>32 – 56 km/h</v>
      </c>
      <c r="N90" s="18">
        <f>IF(ISNUMBER(SEARCH("mile",Table3[[#This Row],[Distance]])),ROUND(VALUE(SUBSTITUTE(Table3[[#This Row],[Distance]]," miles",""))*Lookups!$L$3,0),ROUND(VALUE(SUBSTITUTE(Table3[[#This Row],[Distance]]," meters",""))*Lookups!$L$4,0))</f>
        <v>64</v>
      </c>
      <c r="O90" s="16" t="s">
        <v>40</v>
      </c>
      <c r="P90" s="16" t="str">
        <f>TRIM(LEFT(Table3[[#This Row],[Shipping Address]],FIND(",",Table3[[#This Row],[Shipping Address]])-1))</f>
        <v>100 Nanjing Road</v>
      </c>
      <c r="Q90" s="16" t="str">
        <f>TRIM(MID(Table3[[#This Row],[Shipping Address]],FIND(",",Table3[[#This Row],[Shipping Address]])+1,FIND(",",Table3[[#This Row],[Shipping Address]],FIND(",",Table3[[#This Row],[Shipping Address]])+1)-FIND(",",Table3[[#This Row],[Shipping Address]])-1))</f>
        <v>Shanghai</v>
      </c>
      <c r="R90" s="16" t="str">
        <f>TRIM(MID(Table3[[#This Row],[Shipping Address]],FIND(",",Table3[[#This Row],[Shipping Address]],FIND(",",Table3[[#This Row],[Shipping Address]])+1)+1,20))</f>
        <v>200001</v>
      </c>
      <c r="S90" s="16" t="s">
        <v>38</v>
      </c>
      <c r="T90" s="16" t="str">
        <f>_xlfn.IFNA(_xlfn.XLOOKUP(Table3[[#This Row],[Country Code]],Lookups!$A$2:$A$5,Lookups!$B$2:$B$5),"CHECK CODE")</f>
        <v>China</v>
      </c>
      <c r="U90" s="16" t="str">
        <f>_xlfn.IFNA(_xlfn.XLOOKUP(Table3[[#This Row],[Country Code]],Lookups!$A$2:$A$5,Lookups!$C$2:$C$5),"CHECK CODE")</f>
        <v>Asia</v>
      </c>
      <c r="V90" s="16" t="s">
        <v>41</v>
      </c>
      <c r="W90" s="16" t="str">
        <f>_xlfn.IFNA(_xlfn.XLOOKUP(Table3[[#This Row],[Country Code]],Lookups!$A$2:$A$5,Lookups!$D$2:$D$5),"CHECK CODE")</f>
        <v>CNY</v>
      </c>
      <c r="X90" s="16">
        <f>VALUE(MID(Table3[[#This Row],[Unit Price]],2,50))</f>
        <v>3500</v>
      </c>
      <c r="Y90" s="19">
        <f>_xlfn.IFNA(_xlfn.XLOOKUP(Table3[[#This Row],[Country Code]],Lookups!$A$2:$A$5,Lookups!$E$2:$E$5),"")</f>
        <v>7.7255000000000003</v>
      </c>
      <c r="Z90" s="87">
        <f>Table3[[#This Row],[Unit Price (local)]]/Table3[[#This Row],[FX Rate (per EUR)]]</f>
        <v>453.04511034884473</v>
      </c>
      <c r="AA90" s="16">
        <v>1600</v>
      </c>
      <c r="AB90" s="20">
        <v>0</v>
      </c>
      <c r="AC90" s="21">
        <f>ROUND(Table3[[#This Row],[Unit Price (EUR)]]*Table3[[#This Row],[Units Sold]],0)</f>
        <v>724872</v>
      </c>
      <c r="AD90" s="22">
        <f>ROUND(Table3[[#This Row],[Gross Sales (EUR)]]*(1-Table3[[#This Row],[Discount (%)]]/100),0)</f>
        <v>724872</v>
      </c>
      <c r="AE90" s="22">
        <f>_xlfn.IFNA(_xlfn.XLOOKUP(Table3[[#This Row],[Month]],Lookups!$N$2:$N$13,Lookups!$O$2:$O$13),"CHECK MONTH")</f>
        <v>8</v>
      </c>
      <c r="AF90" s="22" t="str">
        <f>TEXT(Table3[[#This Row],[Month No]],"00")&amp;" - "&amp;Table3[[#This Row],[Month]]</f>
        <v>08 - August</v>
      </c>
      <c r="AG90" s="22" t="str">
        <f>_xlfn.IFNA(_xlfn.XLOOKUP(Table3[[#This Row],[Month]],Lookups!$N$2:$N$13,Lookups!$P$2:$P$13),"CHECK MONTH")</f>
        <v>Q3</v>
      </c>
      <c r="AH90" s="22">
        <f>Table3[[#This Row],[Gross Sales (EUR)]]-Table3[[#This Row],[Total Sales (EUR)]]</f>
        <v>0</v>
      </c>
      <c r="AI90" s="89">
        <f>DATE(Lookups!$O$15,Table3[[#This Row],[Month No]],1)</f>
        <v>45870</v>
      </c>
    </row>
    <row r="91" spans="1:35" x14ac:dyDescent="0.3">
      <c r="A91" s="15">
        <v>90</v>
      </c>
      <c r="B91" s="16" t="s">
        <v>35</v>
      </c>
      <c r="C91" s="16" t="s">
        <v>36</v>
      </c>
      <c r="D91" s="16" t="str">
        <f>TRIM(Table3[[#This Row],[Rep Last Name]])&amp;", "&amp;TRIM(Table3[[#This Row],[Rep First Name]])</f>
        <v>Liu, Fang</v>
      </c>
      <c r="E91" s="16" t="s">
        <v>71</v>
      </c>
      <c r="F91" s="16" t="s">
        <v>29</v>
      </c>
      <c r="G91" s="16" t="s">
        <v>30</v>
      </c>
      <c r="H91" s="16" t="str">
        <f>IF(Table3[[#This Row],[Min Speed (original, incomplete)]]="",_xlfn.IFNA(_xlfn.XLOOKUP(Table3[[#This Row],[Product Type]],Lookups!$G$2:$G$4,Lookups!$H$2:$H$4),"CHECK PRODUCT"),Table3[[#This Row],[Min Speed (original, incomplete)]])</f>
        <v>18 mph</v>
      </c>
      <c r="I91" s="16" t="s">
        <v>31</v>
      </c>
      <c r="J91" s="16" t="s">
        <v>32</v>
      </c>
      <c r="K91" s="17">
        <f>ROUND(VALUE(SUBSTITUTE(Table3[[#This Row],[Min Speed (mph)]]," mph",""))*Lookups!$L$2,0)</f>
        <v>29</v>
      </c>
      <c r="L91" s="17">
        <f>ROUND(VALUE(SUBSTITUTE(Table3[[#This Row],[Speed]]," mph",""))*Lookups!$L$2,0)</f>
        <v>45</v>
      </c>
      <c r="M91" s="17" t="str">
        <f>Table3[[#This Row],[Min Speed (km/h)]]&amp;" – "&amp;Table3[[#This Row],[Max Speed (km/h)]]&amp;" km/h"</f>
        <v>29 – 45 km/h</v>
      </c>
      <c r="N91" s="18">
        <f>IF(ISNUMBER(SEARCH("mile",Table3[[#This Row],[Distance]])),ROUND(VALUE(SUBSTITUTE(Table3[[#This Row],[Distance]]," miles",""))*Lookups!$L$3,0),ROUND(VALUE(SUBSTITUTE(Table3[[#This Row],[Distance]]," meters",""))*Lookups!$L$4,0))</f>
        <v>40</v>
      </c>
      <c r="O91" s="16" t="s">
        <v>43</v>
      </c>
      <c r="P91" s="16" t="str">
        <f>TRIM(LEFT(Table3[[#This Row],[Shipping Address]],FIND(",",Table3[[#This Row],[Shipping Address]])-1))</f>
        <v>101 Nanjing Road</v>
      </c>
      <c r="Q91" s="16" t="str">
        <f>TRIM(MID(Table3[[#This Row],[Shipping Address]],FIND(",",Table3[[#This Row],[Shipping Address]])+1,FIND(",",Table3[[#This Row],[Shipping Address]],FIND(",",Table3[[#This Row],[Shipping Address]])+1)-FIND(",",Table3[[#This Row],[Shipping Address]])-1))</f>
        <v>Shanghai</v>
      </c>
      <c r="R91" s="16" t="str">
        <f>TRIM(MID(Table3[[#This Row],[Shipping Address]],FIND(",",Table3[[#This Row],[Shipping Address]],FIND(",",Table3[[#This Row],[Shipping Address]])+1)+1,20))</f>
        <v>200001</v>
      </c>
      <c r="S91" s="16" t="s">
        <v>38</v>
      </c>
      <c r="T91" s="16" t="str">
        <f>_xlfn.IFNA(_xlfn.XLOOKUP(Table3[[#This Row],[Country Code]],Lookups!$A$2:$A$5,Lookups!$B$2:$B$5),"CHECK CODE")</f>
        <v>China</v>
      </c>
      <c r="U91" s="16" t="str">
        <f>_xlfn.IFNA(_xlfn.XLOOKUP(Table3[[#This Row],[Country Code]],Lookups!$A$2:$A$5,Lookups!$C$2:$C$5),"CHECK CODE")</f>
        <v>Asia</v>
      </c>
      <c r="V91" s="16" t="s">
        <v>44</v>
      </c>
      <c r="W91" s="16" t="str">
        <f>_xlfn.IFNA(_xlfn.XLOOKUP(Table3[[#This Row],[Country Code]],Lookups!$A$2:$A$5,Lookups!$D$2:$D$5),"CHECK CODE")</f>
        <v>CNY</v>
      </c>
      <c r="X91" s="16">
        <f>VALUE(MID(Table3[[#This Row],[Unit Price]],2,50))</f>
        <v>4200</v>
      </c>
      <c r="Y91" s="19">
        <f>_xlfn.IFNA(_xlfn.XLOOKUP(Table3[[#This Row],[Country Code]],Lookups!$A$2:$A$5,Lookups!$E$2:$E$5),"")</f>
        <v>7.7255000000000003</v>
      </c>
      <c r="Z91" s="87">
        <f>Table3[[#This Row],[Unit Price (local)]]/Table3[[#This Row],[FX Rate (per EUR)]]</f>
        <v>543.6541324186137</v>
      </c>
      <c r="AA91" s="16">
        <v>1000</v>
      </c>
      <c r="AB91" s="20">
        <v>0</v>
      </c>
      <c r="AC91" s="21">
        <f>ROUND(Table3[[#This Row],[Unit Price (EUR)]]*Table3[[#This Row],[Units Sold]],0)</f>
        <v>543654</v>
      </c>
      <c r="AD91" s="22">
        <f>ROUND(Table3[[#This Row],[Gross Sales (EUR)]]*(1-Table3[[#This Row],[Discount (%)]]/100),0)</f>
        <v>543654</v>
      </c>
      <c r="AE91" s="22">
        <f>_xlfn.IFNA(_xlfn.XLOOKUP(Table3[[#This Row],[Month]],Lookups!$N$2:$N$13,Lookups!$O$2:$O$13),"CHECK MONTH")</f>
        <v>8</v>
      </c>
      <c r="AF91" s="22" t="str">
        <f>TEXT(Table3[[#This Row],[Month No]],"00")&amp;" - "&amp;Table3[[#This Row],[Month]]</f>
        <v>08 - August</v>
      </c>
      <c r="AG91" s="22" t="str">
        <f>_xlfn.IFNA(_xlfn.XLOOKUP(Table3[[#This Row],[Month]],Lookups!$N$2:$N$13,Lookups!$P$2:$P$13),"CHECK MONTH")</f>
        <v>Q3</v>
      </c>
      <c r="AH91" s="22">
        <f>Table3[[#This Row],[Gross Sales (EUR)]]-Table3[[#This Row],[Total Sales (EUR)]]</f>
        <v>0</v>
      </c>
      <c r="AI91" s="89">
        <f>DATE(Lookups!$O$15,Table3[[#This Row],[Month No]],1)</f>
        <v>45870</v>
      </c>
    </row>
    <row r="92" spans="1:35" x14ac:dyDescent="0.3">
      <c r="A92" s="15">
        <v>91</v>
      </c>
      <c r="B92" s="16" t="s">
        <v>45</v>
      </c>
      <c r="C92" s="16" t="s">
        <v>46</v>
      </c>
      <c r="D92" s="16" t="str">
        <f>TRIM(Table3[[#This Row],[Rep Last Name]])&amp;", "&amp;TRIM(Table3[[#This Row],[Rep First Name]])</f>
        <v>Fischer, Jonas</v>
      </c>
      <c r="E92" s="16" t="s">
        <v>71</v>
      </c>
      <c r="F92" s="16" t="s">
        <v>16</v>
      </c>
      <c r="G92" s="16" t="s">
        <v>17</v>
      </c>
      <c r="H92" s="16" t="str">
        <f>IF(Table3[[#This Row],[Min Speed (original, incomplete)]]="",_xlfn.IFNA(_xlfn.XLOOKUP(Table3[[#This Row],[Product Type]],Lookups!$G$2:$G$4,Lookups!$H$2:$H$4),"CHECK PRODUCT"),Table3[[#This Row],[Min Speed (original, incomplete)]])</f>
        <v>15 mph</v>
      </c>
      <c r="I92" s="16" t="s">
        <v>18</v>
      </c>
      <c r="J92" s="16" t="s">
        <v>19</v>
      </c>
      <c r="K92" s="17">
        <f>ROUND(VALUE(SUBSTITUTE(Table3[[#This Row],[Min Speed (mph)]]," mph",""))*Lookups!$L$2,0)</f>
        <v>24</v>
      </c>
      <c r="L92" s="17">
        <f>ROUND(VALUE(SUBSTITUTE(Table3[[#This Row],[Speed]]," mph",""))*Lookups!$L$2,0)</f>
        <v>48</v>
      </c>
      <c r="M92" s="17" t="str">
        <f>Table3[[#This Row],[Min Speed (km/h)]]&amp;" – "&amp;Table3[[#This Row],[Max Speed (km/h)]]&amp;" km/h"</f>
        <v>24 – 48 km/h</v>
      </c>
      <c r="N92" s="18">
        <f>IF(ISNUMBER(SEARCH("mile",Table3[[#This Row],[Distance]])),ROUND(VALUE(SUBSTITUTE(Table3[[#This Row],[Distance]]," miles",""))*Lookups!$L$3,0),ROUND(VALUE(SUBSTITUTE(Table3[[#This Row],[Distance]]," meters",""))*Lookups!$L$4,0))</f>
        <v>48</v>
      </c>
      <c r="O92" s="16" t="s">
        <v>48</v>
      </c>
      <c r="P92" s="16" t="str">
        <f>TRIM(LEFT(Table3[[#This Row],[Shipping Address]],FIND(",",Table3[[#This Row],[Shipping Address]])-1))</f>
        <v>303 Ringstraße</v>
      </c>
      <c r="Q92" s="16" t="str">
        <f>TRIM(MID(Table3[[#This Row],[Shipping Address]],FIND(",",Table3[[#This Row],[Shipping Address]])+1,FIND(",",Table3[[#This Row],[Shipping Address]],FIND(",",Table3[[#This Row],[Shipping Address]])+1)-FIND(",",Table3[[#This Row],[Shipping Address]])-1))</f>
        <v>Hamburg</v>
      </c>
      <c r="R92" s="16" t="str">
        <f>TRIM(MID(Table3[[#This Row],[Shipping Address]],FIND(",",Table3[[#This Row],[Shipping Address]],FIND(",",Table3[[#This Row],[Shipping Address]])+1)+1,20))</f>
        <v>20095</v>
      </c>
      <c r="S92" s="16" t="s">
        <v>49</v>
      </c>
      <c r="T92" s="16" t="str">
        <f>_xlfn.IFNA(_xlfn.XLOOKUP(Table3[[#This Row],[Country Code]],Lookups!$A$2:$A$5,Lookups!$B$2:$B$5),"CHECK CODE")</f>
        <v>Germany</v>
      </c>
      <c r="U92" s="16" t="str">
        <f>_xlfn.IFNA(_xlfn.XLOOKUP(Table3[[#This Row],[Country Code]],Lookups!$A$2:$A$5,Lookups!$C$2:$C$5),"CHECK CODE")</f>
        <v>Europe</v>
      </c>
      <c r="V92" s="16" t="s">
        <v>50</v>
      </c>
      <c r="W92" s="16" t="str">
        <f>_xlfn.IFNA(_xlfn.XLOOKUP(Table3[[#This Row],[Country Code]],Lookups!$A$2:$A$5,Lookups!$D$2:$D$5),"CHECK CODE")</f>
        <v>EUR</v>
      </c>
      <c r="X92" s="16">
        <f>VALUE(MID(Table3[[#This Row],[Unit Price]],2,50))</f>
        <v>1000</v>
      </c>
      <c r="Y92" s="19">
        <f>_xlfn.IFNA(_xlfn.XLOOKUP(Table3[[#This Row],[Country Code]],Lookups!$A$2:$A$5,Lookups!$E$2:$E$5),"")</f>
        <v>1</v>
      </c>
      <c r="Z92" s="87">
        <f>Table3[[#This Row],[Unit Price (local)]]/Table3[[#This Row],[FX Rate (per EUR)]]</f>
        <v>1000</v>
      </c>
      <c r="AA92" s="16">
        <v>180</v>
      </c>
      <c r="AB92" s="20">
        <v>0</v>
      </c>
      <c r="AC92" s="21">
        <f>ROUND(Table3[[#This Row],[Unit Price (EUR)]]*Table3[[#This Row],[Units Sold]],0)</f>
        <v>180000</v>
      </c>
      <c r="AD92" s="22">
        <f>ROUND(Table3[[#This Row],[Gross Sales (EUR)]]*(1-Table3[[#This Row],[Discount (%)]]/100),0)</f>
        <v>180000</v>
      </c>
      <c r="AE92" s="22">
        <f>_xlfn.IFNA(_xlfn.XLOOKUP(Table3[[#This Row],[Month]],Lookups!$N$2:$N$13,Lookups!$O$2:$O$13),"CHECK MONTH")</f>
        <v>8</v>
      </c>
      <c r="AF92" s="22" t="str">
        <f>TEXT(Table3[[#This Row],[Month No]],"00")&amp;" - "&amp;Table3[[#This Row],[Month]]</f>
        <v>08 - August</v>
      </c>
      <c r="AG92" s="22" t="str">
        <f>_xlfn.IFNA(_xlfn.XLOOKUP(Table3[[#This Row],[Month]],Lookups!$N$2:$N$13,Lookups!$P$2:$P$13),"CHECK MONTH")</f>
        <v>Q3</v>
      </c>
      <c r="AH92" s="22">
        <f>Table3[[#This Row],[Gross Sales (EUR)]]-Table3[[#This Row],[Total Sales (EUR)]]</f>
        <v>0</v>
      </c>
      <c r="AI92" s="89">
        <f>DATE(Lookups!$O$15,Table3[[#This Row],[Month No]],1)</f>
        <v>45870</v>
      </c>
    </row>
    <row r="93" spans="1:35" x14ac:dyDescent="0.3">
      <c r="A93" s="15">
        <v>92</v>
      </c>
      <c r="B93" s="16" t="s">
        <v>45</v>
      </c>
      <c r="C93" s="16" t="s">
        <v>46</v>
      </c>
      <c r="D93" s="16" t="str">
        <f>TRIM(Table3[[#This Row],[Rep Last Name]])&amp;", "&amp;TRIM(Table3[[#This Row],[Rep First Name]])</f>
        <v>Fischer, Jonas</v>
      </c>
      <c r="E93" s="16" t="s">
        <v>71</v>
      </c>
      <c r="F93" s="16" t="s">
        <v>23</v>
      </c>
      <c r="G93" s="16" t="s">
        <v>24</v>
      </c>
      <c r="H93" s="16" t="str">
        <f>IF(Table3[[#This Row],[Min Speed (original, incomplete)]]="",_xlfn.IFNA(_xlfn.XLOOKUP(Table3[[#This Row],[Product Type]],Lookups!$G$2:$G$4,Lookups!$H$2:$H$4),"CHECK PRODUCT"),Table3[[#This Row],[Min Speed (original, incomplete)]])</f>
        <v>20 mph</v>
      </c>
      <c r="I93" s="16" t="s">
        <v>25</v>
      </c>
      <c r="J93" s="16" t="s">
        <v>60</v>
      </c>
      <c r="K93" s="17">
        <f>ROUND(VALUE(SUBSTITUTE(Table3[[#This Row],[Min Speed (mph)]]," mph",""))*Lookups!$L$2,0)</f>
        <v>32</v>
      </c>
      <c r="L93" s="17">
        <f>ROUND(VALUE(SUBSTITUTE(Table3[[#This Row],[Speed]]," mph",""))*Lookups!$L$2,0)</f>
        <v>56</v>
      </c>
      <c r="M93" s="17" t="str">
        <f>Table3[[#This Row],[Min Speed (km/h)]]&amp;" – "&amp;Table3[[#This Row],[Max Speed (km/h)]]&amp;" km/h"</f>
        <v>32 – 56 km/h</v>
      </c>
      <c r="N93" s="18">
        <f>IF(ISNUMBER(SEARCH("mile",Table3[[#This Row],[Distance]])),ROUND(VALUE(SUBSTITUTE(Table3[[#This Row],[Distance]]," miles",""))*Lookups!$L$3,0),ROUND(VALUE(SUBSTITUTE(Table3[[#This Row],[Distance]]," meters",""))*Lookups!$L$4,0))</f>
        <v>64</v>
      </c>
      <c r="O93" s="16" t="s">
        <v>51</v>
      </c>
      <c r="P93" s="16" t="str">
        <f>TRIM(LEFT(Table3[[#This Row],[Shipping Address]],FIND(",",Table3[[#This Row],[Shipping Address]])-1))</f>
        <v>304 Ringstraße</v>
      </c>
      <c r="Q93" s="16" t="str">
        <f>TRIM(MID(Table3[[#This Row],[Shipping Address]],FIND(",",Table3[[#This Row],[Shipping Address]])+1,FIND(",",Table3[[#This Row],[Shipping Address]],FIND(",",Table3[[#This Row],[Shipping Address]])+1)-FIND(",",Table3[[#This Row],[Shipping Address]])-1))</f>
        <v>Hamburg</v>
      </c>
      <c r="R93" s="16" t="str">
        <f>TRIM(MID(Table3[[#This Row],[Shipping Address]],FIND(",",Table3[[#This Row],[Shipping Address]],FIND(",",Table3[[#This Row],[Shipping Address]])+1)+1,20))</f>
        <v>20095</v>
      </c>
      <c r="S93" s="16" t="s">
        <v>49</v>
      </c>
      <c r="T93" s="16" t="str">
        <f>_xlfn.IFNA(_xlfn.XLOOKUP(Table3[[#This Row],[Country Code]],Lookups!$A$2:$A$5,Lookups!$B$2:$B$5),"CHECK CODE")</f>
        <v>Germany</v>
      </c>
      <c r="U93" s="16" t="str">
        <f>_xlfn.IFNA(_xlfn.XLOOKUP(Table3[[#This Row],[Country Code]],Lookups!$A$2:$A$5,Lookups!$C$2:$C$5),"CHECK CODE")</f>
        <v>Europe</v>
      </c>
      <c r="V93" s="16" t="s">
        <v>52</v>
      </c>
      <c r="W93" s="16" t="str">
        <f>_xlfn.IFNA(_xlfn.XLOOKUP(Table3[[#This Row],[Country Code]],Lookups!$A$2:$A$5,Lookups!$D$2:$D$5),"CHECK CODE")</f>
        <v>EUR</v>
      </c>
      <c r="X93" s="16">
        <f>VALUE(MID(Table3[[#This Row],[Unit Price]],2,50))</f>
        <v>800</v>
      </c>
      <c r="Y93" s="19">
        <f>_xlfn.IFNA(_xlfn.XLOOKUP(Table3[[#This Row],[Country Code]],Lookups!$A$2:$A$5,Lookups!$E$2:$E$5),"")</f>
        <v>1</v>
      </c>
      <c r="Z93" s="87">
        <f>Table3[[#This Row],[Unit Price (local)]]/Table3[[#This Row],[FX Rate (per EUR)]]</f>
        <v>800</v>
      </c>
      <c r="AA93" s="16">
        <v>300</v>
      </c>
      <c r="AB93" s="20">
        <v>0</v>
      </c>
      <c r="AC93" s="21">
        <f>ROUND(Table3[[#This Row],[Unit Price (EUR)]]*Table3[[#This Row],[Units Sold]],0)</f>
        <v>240000</v>
      </c>
      <c r="AD93" s="22">
        <f>ROUND(Table3[[#This Row],[Gross Sales (EUR)]]*(1-Table3[[#This Row],[Discount (%)]]/100),0)</f>
        <v>240000</v>
      </c>
      <c r="AE93" s="22">
        <f>_xlfn.IFNA(_xlfn.XLOOKUP(Table3[[#This Row],[Month]],Lookups!$N$2:$N$13,Lookups!$O$2:$O$13),"CHECK MONTH")</f>
        <v>8</v>
      </c>
      <c r="AF93" s="22" t="str">
        <f>TEXT(Table3[[#This Row],[Month No]],"00")&amp;" - "&amp;Table3[[#This Row],[Month]]</f>
        <v>08 - August</v>
      </c>
      <c r="AG93" s="22" t="str">
        <f>_xlfn.IFNA(_xlfn.XLOOKUP(Table3[[#This Row],[Month]],Lookups!$N$2:$N$13,Lookups!$P$2:$P$13),"CHECK MONTH")</f>
        <v>Q3</v>
      </c>
      <c r="AH93" s="22">
        <f>Table3[[#This Row],[Gross Sales (EUR)]]-Table3[[#This Row],[Total Sales (EUR)]]</f>
        <v>0</v>
      </c>
      <c r="AI93" s="89">
        <f>DATE(Lookups!$O$15,Table3[[#This Row],[Month No]],1)</f>
        <v>45870</v>
      </c>
    </row>
    <row r="94" spans="1:35" x14ac:dyDescent="0.3">
      <c r="A94" s="15">
        <v>93</v>
      </c>
      <c r="B94" s="16" t="s">
        <v>45</v>
      </c>
      <c r="C94" s="16" t="s">
        <v>46</v>
      </c>
      <c r="D94" s="16" t="str">
        <f>TRIM(Table3[[#This Row],[Rep Last Name]])&amp;", "&amp;TRIM(Table3[[#This Row],[Rep First Name]])</f>
        <v>Fischer, Jonas</v>
      </c>
      <c r="E94" s="16" t="s">
        <v>71</v>
      </c>
      <c r="F94" s="16" t="s">
        <v>29</v>
      </c>
      <c r="G94" s="16" t="s">
        <v>30</v>
      </c>
      <c r="H94" s="16" t="str">
        <f>IF(Table3[[#This Row],[Min Speed (original, incomplete)]]="",_xlfn.IFNA(_xlfn.XLOOKUP(Table3[[#This Row],[Product Type]],Lookups!$G$2:$G$4,Lookups!$H$2:$H$4),"CHECK PRODUCT"),Table3[[#This Row],[Min Speed (original, incomplete)]])</f>
        <v>18 mph</v>
      </c>
      <c r="I94" s="16" t="s">
        <v>31</v>
      </c>
      <c r="J94" s="16" t="s">
        <v>32</v>
      </c>
      <c r="K94" s="17">
        <f>ROUND(VALUE(SUBSTITUTE(Table3[[#This Row],[Min Speed (mph)]]," mph",""))*Lookups!$L$2,0)</f>
        <v>29</v>
      </c>
      <c r="L94" s="17">
        <f>ROUND(VALUE(SUBSTITUTE(Table3[[#This Row],[Speed]]," mph",""))*Lookups!$L$2,0)</f>
        <v>45</v>
      </c>
      <c r="M94" s="17" t="str">
        <f>Table3[[#This Row],[Min Speed (km/h)]]&amp;" – "&amp;Table3[[#This Row],[Max Speed (km/h)]]&amp;" km/h"</f>
        <v>29 – 45 km/h</v>
      </c>
      <c r="N94" s="18">
        <f>IF(ISNUMBER(SEARCH("mile",Table3[[#This Row],[Distance]])),ROUND(VALUE(SUBSTITUTE(Table3[[#This Row],[Distance]]," miles",""))*Lookups!$L$3,0),ROUND(VALUE(SUBSTITUTE(Table3[[#This Row],[Distance]]," meters",""))*Lookups!$L$4,0))</f>
        <v>40</v>
      </c>
      <c r="O94" s="16" t="s">
        <v>53</v>
      </c>
      <c r="P94" s="16" t="str">
        <f>TRIM(LEFT(Table3[[#This Row],[Shipping Address]],FIND(",",Table3[[#This Row],[Shipping Address]])-1))</f>
        <v>305 Ringstraße</v>
      </c>
      <c r="Q94" s="16" t="str">
        <f>TRIM(MID(Table3[[#This Row],[Shipping Address]],FIND(",",Table3[[#This Row],[Shipping Address]])+1,FIND(",",Table3[[#This Row],[Shipping Address]],FIND(",",Table3[[#This Row],[Shipping Address]])+1)-FIND(",",Table3[[#This Row],[Shipping Address]])-1))</f>
        <v>Hamburg</v>
      </c>
      <c r="R94" s="16" t="str">
        <f>TRIM(MID(Table3[[#This Row],[Shipping Address]],FIND(",",Table3[[#This Row],[Shipping Address]],FIND(",",Table3[[#This Row],[Shipping Address]])+1)+1,20))</f>
        <v>20095</v>
      </c>
      <c r="S94" s="16" t="s">
        <v>49</v>
      </c>
      <c r="T94" s="16" t="str">
        <f>_xlfn.IFNA(_xlfn.XLOOKUP(Table3[[#This Row],[Country Code]],Lookups!$A$2:$A$5,Lookups!$B$2:$B$5),"CHECK CODE")</f>
        <v>Germany</v>
      </c>
      <c r="U94" s="16" t="str">
        <f>_xlfn.IFNA(_xlfn.XLOOKUP(Table3[[#This Row],[Country Code]],Lookups!$A$2:$A$5,Lookups!$C$2:$C$5),"CHECK CODE")</f>
        <v>Europe</v>
      </c>
      <c r="V94" s="16" t="s">
        <v>54</v>
      </c>
      <c r="W94" s="16" t="str">
        <f>_xlfn.IFNA(_xlfn.XLOOKUP(Table3[[#This Row],[Country Code]],Lookups!$A$2:$A$5,Lookups!$D$2:$D$5),"CHECK CODE")</f>
        <v>EUR</v>
      </c>
      <c r="X94" s="16">
        <f>VALUE(MID(Table3[[#This Row],[Unit Price]],2,50))</f>
        <v>950</v>
      </c>
      <c r="Y94" s="19">
        <f>_xlfn.IFNA(_xlfn.XLOOKUP(Table3[[#This Row],[Country Code]],Lookups!$A$2:$A$5,Lookups!$E$2:$E$5),"")</f>
        <v>1</v>
      </c>
      <c r="Z94" s="87">
        <f>Table3[[#This Row],[Unit Price (local)]]/Table3[[#This Row],[FX Rate (per EUR)]]</f>
        <v>950</v>
      </c>
      <c r="AA94" s="16">
        <v>230</v>
      </c>
      <c r="AB94" s="20">
        <v>0</v>
      </c>
      <c r="AC94" s="21">
        <f>ROUND(Table3[[#This Row],[Unit Price (EUR)]]*Table3[[#This Row],[Units Sold]],0)</f>
        <v>218500</v>
      </c>
      <c r="AD94" s="22">
        <f>ROUND(Table3[[#This Row],[Gross Sales (EUR)]]*(1-Table3[[#This Row],[Discount (%)]]/100),0)</f>
        <v>218500</v>
      </c>
      <c r="AE94" s="22">
        <f>_xlfn.IFNA(_xlfn.XLOOKUP(Table3[[#This Row],[Month]],Lookups!$N$2:$N$13,Lookups!$O$2:$O$13),"CHECK MONTH")</f>
        <v>8</v>
      </c>
      <c r="AF94" s="22" t="str">
        <f>TEXT(Table3[[#This Row],[Month No]],"00")&amp;" - "&amp;Table3[[#This Row],[Month]]</f>
        <v>08 - August</v>
      </c>
      <c r="AG94" s="22" t="str">
        <f>_xlfn.IFNA(_xlfn.XLOOKUP(Table3[[#This Row],[Month]],Lookups!$N$2:$N$13,Lookups!$P$2:$P$13),"CHECK MONTH")</f>
        <v>Q3</v>
      </c>
      <c r="AH94" s="22">
        <f>Table3[[#This Row],[Gross Sales (EUR)]]-Table3[[#This Row],[Total Sales (EUR)]]</f>
        <v>0</v>
      </c>
      <c r="AI94" s="89">
        <f>DATE(Lookups!$O$15,Table3[[#This Row],[Month No]],1)</f>
        <v>45870</v>
      </c>
    </row>
    <row r="95" spans="1:35" x14ac:dyDescent="0.3">
      <c r="A95" s="15">
        <v>94</v>
      </c>
      <c r="B95" s="16" t="s">
        <v>55</v>
      </c>
      <c r="C95" s="16" t="s">
        <v>56</v>
      </c>
      <c r="D95" s="16" t="str">
        <f>TRIM(Table3[[#This Row],[Rep Last Name]])&amp;", "&amp;TRIM(Table3[[#This Row],[Rep First Name]])</f>
        <v>Bernard, Théo</v>
      </c>
      <c r="E95" s="16" t="s">
        <v>71</v>
      </c>
      <c r="F95" s="16" t="s">
        <v>16</v>
      </c>
      <c r="G95" s="16" t="s">
        <v>17</v>
      </c>
      <c r="H95" s="16" t="str">
        <f>IF(Table3[[#This Row],[Min Speed (original, incomplete)]]="",_xlfn.IFNA(_xlfn.XLOOKUP(Table3[[#This Row],[Product Type]],Lookups!$G$2:$G$4,Lookups!$H$2:$H$4),"CHECK PRODUCT"),Table3[[#This Row],[Min Speed (original, incomplete)]])</f>
        <v>15 mph</v>
      </c>
      <c r="I95" s="16" t="s">
        <v>18</v>
      </c>
      <c r="J95" s="16" t="s">
        <v>19</v>
      </c>
      <c r="K95" s="17">
        <f>ROUND(VALUE(SUBSTITUTE(Table3[[#This Row],[Min Speed (mph)]]," mph",""))*Lookups!$L$2,0)</f>
        <v>24</v>
      </c>
      <c r="L95" s="17">
        <f>ROUND(VALUE(SUBSTITUTE(Table3[[#This Row],[Speed]]," mph",""))*Lookups!$L$2,0)</f>
        <v>48</v>
      </c>
      <c r="M95" s="17" t="str">
        <f>Table3[[#This Row],[Min Speed (km/h)]]&amp;" – "&amp;Table3[[#This Row],[Max Speed (km/h)]]&amp;" km/h"</f>
        <v>24 – 48 km/h</v>
      </c>
      <c r="N95" s="18">
        <f>IF(ISNUMBER(SEARCH("mile",Table3[[#This Row],[Distance]])),ROUND(VALUE(SUBSTITUTE(Table3[[#This Row],[Distance]]," miles",""))*Lookups!$L$3,0),ROUND(VALUE(SUBSTITUTE(Table3[[#This Row],[Distance]]," meters",""))*Lookups!$L$4,0))</f>
        <v>48</v>
      </c>
      <c r="O95" s="16" t="s">
        <v>57</v>
      </c>
      <c r="P95" s="16" t="str">
        <f>TRIM(LEFT(Table3[[#This Row],[Shipping Address]],FIND(",",Table3[[#This Row],[Shipping Address]])-1))</f>
        <v>56 Boulevard Saint-Germain</v>
      </c>
      <c r="Q95" s="16" t="str">
        <f>TRIM(MID(Table3[[#This Row],[Shipping Address]],FIND(",",Table3[[#This Row],[Shipping Address]])+1,FIND(",",Table3[[#This Row],[Shipping Address]],FIND(",",Table3[[#This Row],[Shipping Address]])+1)-FIND(",",Table3[[#This Row],[Shipping Address]])-1))</f>
        <v>Paris</v>
      </c>
      <c r="R95" s="16" t="str">
        <f>TRIM(MID(Table3[[#This Row],[Shipping Address]],FIND(",",Table3[[#This Row],[Shipping Address]],FIND(",",Table3[[#This Row],[Shipping Address]])+1)+1,20))</f>
        <v>75005</v>
      </c>
      <c r="S95" s="16" t="s">
        <v>58</v>
      </c>
      <c r="T95" s="16" t="str">
        <f>_xlfn.IFNA(_xlfn.XLOOKUP(Table3[[#This Row],[Country Code]],Lookups!$A$2:$A$5,Lookups!$B$2:$B$5),"CHECK CODE")</f>
        <v>France</v>
      </c>
      <c r="U95" s="16" t="str">
        <f>_xlfn.IFNA(_xlfn.XLOOKUP(Table3[[#This Row],[Country Code]],Lookups!$A$2:$A$5,Lookups!$C$2:$C$5),"CHECK CODE")</f>
        <v>Europe</v>
      </c>
      <c r="V95" s="16" t="s">
        <v>59</v>
      </c>
      <c r="W95" s="16" t="str">
        <f>_xlfn.IFNA(_xlfn.XLOOKUP(Table3[[#This Row],[Country Code]],Lookups!$A$2:$A$5,Lookups!$D$2:$D$5),"CHECK CODE")</f>
        <v>EUR</v>
      </c>
      <c r="X95" s="16">
        <f>VALUE(MID(Table3[[#This Row],[Unit Price]],2,50))</f>
        <v>1100</v>
      </c>
      <c r="Y95" s="19">
        <f>_xlfn.IFNA(_xlfn.XLOOKUP(Table3[[#This Row],[Country Code]],Lookups!$A$2:$A$5,Lookups!$E$2:$E$5),"")</f>
        <v>1</v>
      </c>
      <c r="Z95" s="87">
        <f>Table3[[#This Row],[Unit Price (local)]]/Table3[[#This Row],[FX Rate (per EUR)]]</f>
        <v>1100</v>
      </c>
      <c r="AA95" s="16">
        <v>150</v>
      </c>
      <c r="AB95" s="20">
        <v>0</v>
      </c>
      <c r="AC95" s="21">
        <f>ROUND(Table3[[#This Row],[Unit Price (EUR)]]*Table3[[#This Row],[Units Sold]],0)</f>
        <v>165000</v>
      </c>
      <c r="AD95" s="22">
        <f>ROUND(Table3[[#This Row],[Gross Sales (EUR)]]*(1-Table3[[#This Row],[Discount (%)]]/100),0)</f>
        <v>165000</v>
      </c>
      <c r="AE95" s="22">
        <f>_xlfn.IFNA(_xlfn.XLOOKUP(Table3[[#This Row],[Month]],Lookups!$N$2:$N$13,Lookups!$O$2:$O$13),"CHECK MONTH")</f>
        <v>8</v>
      </c>
      <c r="AF95" s="22" t="str">
        <f>TEXT(Table3[[#This Row],[Month No]],"00")&amp;" - "&amp;Table3[[#This Row],[Month]]</f>
        <v>08 - August</v>
      </c>
      <c r="AG95" s="22" t="str">
        <f>_xlfn.IFNA(_xlfn.XLOOKUP(Table3[[#This Row],[Month]],Lookups!$N$2:$N$13,Lookups!$P$2:$P$13),"CHECK MONTH")</f>
        <v>Q3</v>
      </c>
      <c r="AH95" s="22">
        <f>Table3[[#This Row],[Gross Sales (EUR)]]-Table3[[#This Row],[Total Sales (EUR)]]</f>
        <v>0</v>
      </c>
      <c r="AI95" s="89">
        <f>DATE(Lookups!$O$15,Table3[[#This Row],[Month No]],1)</f>
        <v>45870</v>
      </c>
    </row>
    <row r="96" spans="1:35" x14ac:dyDescent="0.3">
      <c r="A96" s="15">
        <v>95</v>
      </c>
      <c r="B96" s="16" t="s">
        <v>55</v>
      </c>
      <c r="C96" s="16" t="s">
        <v>56</v>
      </c>
      <c r="D96" s="16" t="str">
        <f>TRIM(Table3[[#This Row],[Rep Last Name]])&amp;", "&amp;TRIM(Table3[[#This Row],[Rep First Name]])</f>
        <v>Bernard, Théo</v>
      </c>
      <c r="E96" s="16" t="s">
        <v>71</v>
      </c>
      <c r="F96" s="16" t="s">
        <v>23</v>
      </c>
      <c r="G96" s="16" t="s">
        <v>24</v>
      </c>
      <c r="H96" s="16" t="str">
        <f>IF(Table3[[#This Row],[Min Speed (original, incomplete)]]="",_xlfn.IFNA(_xlfn.XLOOKUP(Table3[[#This Row],[Product Type]],Lookups!$G$2:$G$4,Lookups!$H$2:$H$4),"CHECK PRODUCT"),Table3[[#This Row],[Min Speed (original, incomplete)]])</f>
        <v>20 mph</v>
      </c>
      <c r="I96" s="16" t="s">
        <v>25</v>
      </c>
      <c r="J96" s="16" t="s">
        <v>26</v>
      </c>
      <c r="K96" s="17">
        <f>ROUND(VALUE(SUBSTITUTE(Table3[[#This Row],[Min Speed (mph)]]," mph",""))*Lookups!$L$2,0)</f>
        <v>32</v>
      </c>
      <c r="L96" s="17">
        <f>ROUND(VALUE(SUBSTITUTE(Table3[[#This Row],[Speed]]," mph",""))*Lookups!$L$2,0)</f>
        <v>56</v>
      </c>
      <c r="M96" s="17" t="str">
        <f>Table3[[#This Row],[Min Speed (km/h)]]&amp;" – "&amp;Table3[[#This Row],[Max Speed (km/h)]]&amp;" km/h"</f>
        <v>32 – 56 km/h</v>
      </c>
      <c r="N96" s="18">
        <f>IF(ISNUMBER(SEARCH("mile",Table3[[#This Row],[Distance]])),ROUND(VALUE(SUBSTITUTE(Table3[[#This Row],[Distance]]," miles",""))*Lookups!$L$3,0),ROUND(VALUE(SUBSTITUTE(Table3[[#This Row],[Distance]]," meters",""))*Lookups!$L$4,0))</f>
        <v>64</v>
      </c>
      <c r="O96" s="16" t="s">
        <v>61</v>
      </c>
      <c r="P96" s="16" t="str">
        <f>TRIM(LEFT(Table3[[#This Row],[Shipping Address]],FIND(",",Table3[[#This Row],[Shipping Address]])-1))</f>
        <v>57 Boulevard Saint-Germain</v>
      </c>
      <c r="Q96" s="16" t="str">
        <f>TRIM(MID(Table3[[#This Row],[Shipping Address]],FIND(",",Table3[[#This Row],[Shipping Address]])+1,FIND(",",Table3[[#This Row],[Shipping Address]],FIND(",",Table3[[#This Row],[Shipping Address]])+1)-FIND(",",Table3[[#This Row],[Shipping Address]])-1))</f>
        <v>Paris</v>
      </c>
      <c r="R96" s="16" t="str">
        <f>TRIM(MID(Table3[[#This Row],[Shipping Address]],FIND(",",Table3[[#This Row],[Shipping Address]],FIND(",",Table3[[#This Row],[Shipping Address]])+1)+1,20))</f>
        <v>75005</v>
      </c>
      <c r="S96" s="16" t="s">
        <v>58</v>
      </c>
      <c r="T96" s="16" t="str">
        <f>_xlfn.IFNA(_xlfn.XLOOKUP(Table3[[#This Row],[Country Code]],Lookups!$A$2:$A$5,Lookups!$B$2:$B$5),"CHECK CODE")</f>
        <v>France</v>
      </c>
      <c r="U96" s="16" t="str">
        <f>_xlfn.IFNA(_xlfn.XLOOKUP(Table3[[#This Row],[Country Code]],Lookups!$A$2:$A$5,Lookups!$C$2:$C$5),"CHECK CODE")</f>
        <v>Europe</v>
      </c>
      <c r="V96" s="16" t="s">
        <v>62</v>
      </c>
      <c r="W96" s="16" t="str">
        <f>_xlfn.IFNA(_xlfn.XLOOKUP(Table3[[#This Row],[Country Code]],Lookups!$A$2:$A$5,Lookups!$D$2:$D$5),"CHECK CODE")</f>
        <v>EUR</v>
      </c>
      <c r="X96" s="16">
        <f>VALUE(MID(Table3[[#This Row],[Unit Price]],2,50))</f>
        <v>900</v>
      </c>
      <c r="Y96" s="19">
        <f>_xlfn.IFNA(_xlfn.XLOOKUP(Table3[[#This Row],[Country Code]],Lookups!$A$2:$A$5,Lookups!$E$2:$E$5),"")</f>
        <v>1</v>
      </c>
      <c r="Z96" s="87">
        <f>Table3[[#This Row],[Unit Price (local)]]/Table3[[#This Row],[FX Rate (per EUR)]]</f>
        <v>900</v>
      </c>
      <c r="AA96" s="16">
        <v>280</v>
      </c>
      <c r="AB96" s="20">
        <v>0</v>
      </c>
      <c r="AC96" s="21">
        <f>ROUND(Table3[[#This Row],[Unit Price (EUR)]]*Table3[[#This Row],[Units Sold]],0)</f>
        <v>252000</v>
      </c>
      <c r="AD96" s="22">
        <f>ROUND(Table3[[#This Row],[Gross Sales (EUR)]]*(1-Table3[[#This Row],[Discount (%)]]/100),0)</f>
        <v>252000</v>
      </c>
      <c r="AE96" s="22">
        <f>_xlfn.IFNA(_xlfn.XLOOKUP(Table3[[#This Row],[Month]],Lookups!$N$2:$N$13,Lookups!$O$2:$O$13),"CHECK MONTH")</f>
        <v>8</v>
      </c>
      <c r="AF96" s="22" t="str">
        <f>TEXT(Table3[[#This Row],[Month No]],"00")&amp;" - "&amp;Table3[[#This Row],[Month]]</f>
        <v>08 - August</v>
      </c>
      <c r="AG96" s="22" t="str">
        <f>_xlfn.IFNA(_xlfn.XLOOKUP(Table3[[#This Row],[Month]],Lookups!$N$2:$N$13,Lookups!$P$2:$P$13),"CHECK MONTH")</f>
        <v>Q3</v>
      </c>
      <c r="AH96" s="22">
        <f>Table3[[#This Row],[Gross Sales (EUR)]]-Table3[[#This Row],[Total Sales (EUR)]]</f>
        <v>0</v>
      </c>
      <c r="AI96" s="89">
        <f>DATE(Lookups!$O$15,Table3[[#This Row],[Month No]],1)</f>
        <v>45870</v>
      </c>
    </row>
    <row r="97" spans="1:35" x14ac:dyDescent="0.3">
      <c r="A97" s="15">
        <v>96</v>
      </c>
      <c r="B97" s="16" t="s">
        <v>55</v>
      </c>
      <c r="C97" s="16" t="s">
        <v>56</v>
      </c>
      <c r="D97" s="16" t="str">
        <f>TRIM(Table3[[#This Row],[Rep Last Name]])&amp;", "&amp;TRIM(Table3[[#This Row],[Rep First Name]])</f>
        <v>Bernard, Théo</v>
      </c>
      <c r="E97" s="16" t="s">
        <v>71</v>
      </c>
      <c r="F97" s="16" t="s">
        <v>29</v>
      </c>
      <c r="G97" s="16" t="s">
        <v>30</v>
      </c>
      <c r="H97" s="16" t="str">
        <f>IF(Table3[[#This Row],[Min Speed (original, incomplete)]]="",_xlfn.IFNA(_xlfn.XLOOKUP(Table3[[#This Row],[Product Type]],Lookups!$G$2:$G$4,Lookups!$H$2:$H$4),"CHECK PRODUCT"),Table3[[#This Row],[Min Speed (original, incomplete)]])</f>
        <v>18 mph</v>
      </c>
      <c r="I97" s="16" t="s">
        <v>31</v>
      </c>
      <c r="J97" s="16" t="s">
        <v>32</v>
      </c>
      <c r="K97" s="17">
        <f>ROUND(VALUE(SUBSTITUTE(Table3[[#This Row],[Min Speed (mph)]]," mph",""))*Lookups!$L$2,0)</f>
        <v>29</v>
      </c>
      <c r="L97" s="17">
        <f>ROUND(VALUE(SUBSTITUTE(Table3[[#This Row],[Speed]]," mph",""))*Lookups!$L$2,0)</f>
        <v>45</v>
      </c>
      <c r="M97" s="17" t="str">
        <f>Table3[[#This Row],[Min Speed (km/h)]]&amp;" – "&amp;Table3[[#This Row],[Max Speed (km/h)]]&amp;" km/h"</f>
        <v>29 – 45 km/h</v>
      </c>
      <c r="N97" s="18">
        <f>IF(ISNUMBER(SEARCH("mile",Table3[[#This Row],[Distance]])),ROUND(VALUE(SUBSTITUTE(Table3[[#This Row],[Distance]]," miles",""))*Lookups!$L$3,0),ROUND(VALUE(SUBSTITUTE(Table3[[#This Row],[Distance]]," meters",""))*Lookups!$L$4,0))</f>
        <v>40</v>
      </c>
      <c r="O97" s="16" t="s">
        <v>63</v>
      </c>
      <c r="P97" s="16" t="str">
        <f>TRIM(LEFT(Table3[[#This Row],[Shipping Address]],FIND(",",Table3[[#This Row],[Shipping Address]])-1))</f>
        <v>58 Boulevard Saint-Germain</v>
      </c>
      <c r="Q97" s="16" t="str">
        <f>TRIM(MID(Table3[[#This Row],[Shipping Address]],FIND(",",Table3[[#This Row],[Shipping Address]])+1,FIND(",",Table3[[#This Row],[Shipping Address]],FIND(",",Table3[[#This Row],[Shipping Address]])+1)-FIND(",",Table3[[#This Row],[Shipping Address]])-1))</f>
        <v>Paris</v>
      </c>
      <c r="R97" s="16" t="str">
        <f>TRIM(MID(Table3[[#This Row],[Shipping Address]],FIND(",",Table3[[#This Row],[Shipping Address]],FIND(",",Table3[[#This Row],[Shipping Address]])+1)+1,20))</f>
        <v>75005</v>
      </c>
      <c r="S97" s="16" t="s">
        <v>58</v>
      </c>
      <c r="T97" s="16" t="str">
        <f>_xlfn.IFNA(_xlfn.XLOOKUP(Table3[[#This Row],[Country Code]],Lookups!$A$2:$A$5,Lookups!$B$2:$B$5),"CHECK CODE")</f>
        <v>France</v>
      </c>
      <c r="U97" s="16" t="str">
        <f>_xlfn.IFNA(_xlfn.XLOOKUP(Table3[[#This Row],[Country Code]],Lookups!$A$2:$A$5,Lookups!$C$2:$C$5),"CHECK CODE")</f>
        <v>Europe</v>
      </c>
      <c r="V97" s="16" t="s">
        <v>64</v>
      </c>
      <c r="W97" s="16" t="str">
        <f>_xlfn.IFNA(_xlfn.XLOOKUP(Table3[[#This Row],[Country Code]],Lookups!$A$2:$A$5,Lookups!$D$2:$D$5),"CHECK CODE")</f>
        <v>EUR</v>
      </c>
      <c r="X97" s="16">
        <f>VALUE(MID(Table3[[#This Row],[Unit Price]],2,50))</f>
        <v>1050</v>
      </c>
      <c r="Y97" s="19">
        <f>_xlfn.IFNA(_xlfn.XLOOKUP(Table3[[#This Row],[Country Code]],Lookups!$A$2:$A$5,Lookups!$E$2:$E$5),"")</f>
        <v>1</v>
      </c>
      <c r="Z97" s="87">
        <f>Table3[[#This Row],[Unit Price (local)]]/Table3[[#This Row],[FX Rate (per EUR)]]</f>
        <v>1050</v>
      </c>
      <c r="AA97" s="16">
        <v>290</v>
      </c>
      <c r="AB97" s="20">
        <v>0</v>
      </c>
      <c r="AC97" s="21">
        <f>ROUND(Table3[[#This Row],[Unit Price (EUR)]]*Table3[[#This Row],[Units Sold]],0)</f>
        <v>304500</v>
      </c>
      <c r="AD97" s="22">
        <f>ROUND(Table3[[#This Row],[Gross Sales (EUR)]]*(1-Table3[[#This Row],[Discount (%)]]/100),0)</f>
        <v>304500</v>
      </c>
      <c r="AE97" s="22">
        <f>_xlfn.IFNA(_xlfn.XLOOKUP(Table3[[#This Row],[Month]],Lookups!$N$2:$N$13,Lookups!$O$2:$O$13),"CHECK MONTH")</f>
        <v>8</v>
      </c>
      <c r="AF97" s="22" t="str">
        <f>TEXT(Table3[[#This Row],[Month No]],"00")&amp;" - "&amp;Table3[[#This Row],[Month]]</f>
        <v>08 - August</v>
      </c>
      <c r="AG97" s="22" t="str">
        <f>_xlfn.IFNA(_xlfn.XLOOKUP(Table3[[#This Row],[Month]],Lookups!$N$2:$N$13,Lookups!$P$2:$P$13),"CHECK MONTH")</f>
        <v>Q3</v>
      </c>
      <c r="AH97" s="22">
        <f>Table3[[#This Row],[Gross Sales (EUR)]]-Table3[[#This Row],[Total Sales (EUR)]]</f>
        <v>0</v>
      </c>
      <c r="AI97" s="89">
        <f>DATE(Lookups!$O$15,Table3[[#This Row],[Month No]],1)</f>
        <v>45870</v>
      </c>
    </row>
    <row r="98" spans="1:35" x14ac:dyDescent="0.3">
      <c r="A98" s="15">
        <v>97</v>
      </c>
      <c r="B98" s="16" t="s">
        <v>13</v>
      </c>
      <c r="C98" s="16" t="s">
        <v>14</v>
      </c>
      <c r="D98" s="16" t="str">
        <f>TRIM(Table3[[#This Row],[Rep Last Name]])&amp;", "&amp;TRIM(Table3[[#This Row],[Rep First Name]])</f>
        <v>Joshi, Sanya</v>
      </c>
      <c r="E98" s="16" t="s">
        <v>72</v>
      </c>
      <c r="F98" s="16" t="s">
        <v>16</v>
      </c>
      <c r="G98" s="16" t="s">
        <v>17</v>
      </c>
      <c r="H98" s="16" t="str">
        <f>IF(Table3[[#This Row],[Min Speed (original, incomplete)]]="",_xlfn.IFNA(_xlfn.XLOOKUP(Table3[[#This Row],[Product Type]],Lookups!$G$2:$G$4,Lookups!$H$2:$H$4),"CHECK PRODUCT"),Table3[[#This Row],[Min Speed (original, incomplete)]])</f>
        <v>15 mph</v>
      </c>
      <c r="I98" s="16" t="s">
        <v>18</v>
      </c>
      <c r="J98" s="16" t="s">
        <v>19</v>
      </c>
      <c r="K98" s="17">
        <f>ROUND(VALUE(SUBSTITUTE(Table3[[#This Row],[Min Speed (mph)]]," mph",""))*Lookups!$L$2,0)</f>
        <v>24</v>
      </c>
      <c r="L98" s="17">
        <f>ROUND(VALUE(SUBSTITUTE(Table3[[#This Row],[Speed]]," mph",""))*Lookups!$L$2,0)</f>
        <v>48</v>
      </c>
      <c r="M98" s="17" t="str">
        <f>Table3[[#This Row],[Min Speed (km/h)]]&amp;" – "&amp;Table3[[#This Row],[Max Speed (km/h)]]&amp;" km/h"</f>
        <v>24 – 48 km/h</v>
      </c>
      <c r="N98" s="18">
        <f>IF(ISNUMBER(SEARCH("mile",Table3[[#This Row],[Distance]])),ROUND(VALUE(SUBSTITUTE(Table3[[#This Row],[Distance]]," miles",""))*Lookups!$L$3,0),ROUND(VALUE(SUBSTITUTE(Table3[[#This Row],[Distance]]," meters",""))*Lookups!$L$4,0))</f>
        <v>48</v>
      </c>
      <c r="O98" s="16" t="s">
        <v>20</v>
      </c>
      <c r="P98" s="16" t="str">
        <f>TRIM(LEFT(Table3[[#This Row],[Shipping Address]],FIND(",",Table3[[#This Row],[Shipping Address]])-1))</f>
        <v>456 Brigade Road</v>
      </c>
      <c r="Q98" s="16" t="str">
        <f>TRIM(MID(Table3[[#This Row],[Shipping Address]],FIND(",",Table3[[#This Row],[Shipping Address]])+1,FIND(",",Table3[[#This Row],[Shipping Address]],FIND(",",Table3[[#This Row],[Shipping Address]])+1)-FIND(",",Table3[[#This Row],[Shipping Address]])-1))</f>
        <v>Bengaluru</v>
      </c>
      <c r="R98" s="16" t="str">
        <f>TRIM(MID(Table3[[#This Row],[Shipping Address]],FIND(",",Table3[[#This Row],[Shipping Address]],FIND(",",Table3[[#This Row],[Shipping Address]])+1)+1,20))</f>
        <v>560001</v>
      </c>
      <c r="S98" s="16" t="s">
        <v>21</v>
      </c>
      <c r="T98" s="16" t="str">
        <f>_xlfn.IFNA(_xlfn.XLOOKUP(Table3[[#This Row],[Country Code]],Lookups!$A$2:$A$5,Lookups!$B$2:$B$5),"CHECK CODE")</f>
        <v>India</v>
      </c>
      <c r="U98" s="16" t="str">
        <f>_xlfn.IFNA(_xlfn.XLOOKUP(Table3[[#This Row],[Country Code]],Lookups!$A$2:$A$5,Lookups!$C$2:$C$5),"CHECK CODE")</f>
        <v>Asia</v>
      </c>
      <c r="V98" s="16" t="s">
        <v>22</v>
      </c>
      <c r="W98" s="16" t="str">
        <f>_xlfn.IFNA(_xlfn.XLOOKUP(Table3[[#This Row],[Country Code]],Lookups!$A$2:$A$5,Lookups!$D$2:$D$5),"CHECK CODE")</f>
        <v>INR</v>
      </c>
      <c r="X98" s="16">
        <f>VALUE(MID(Table3[[#This Row],[Unit Price]],2,50))</f>
        <v>30000</v>
      </c>
      <c r="Y98" s="19">
        <f>_xlfn.IFNA(_xlfn.XLOOKUP(Table3[[#This Row],[Country Code]],Lookups!$A$2:$A$5,Lookups!$E$2:$E$5),"")</f>
        <v>109.88200000000001</v>
      </c>
      <c r="Z98" s="87">
        <f>Table3[[#This Row],[Unit Price (local)]]/Table3[[#This Row],[FX Rate (per EUR)]]</f>
        <v>273.02014888698784</v>
      </c>
      <c r="AA98" s="16">
        <v>180</v>
      </c>
      <c r="AB98" s="20">
        <v>0</v>
      </c>
      <c r="AC98" s="21">
        <f>ROUND(Table3[[#This Row],[Unit Price (EUR)]]*Table3[[#This Row],[Units Sold]],0)</f>
        <v>49144</v>
      </c>
      <c r="AD98" s="22">
        <f>ROUND(Table3[[#This Row],[Gross Sales (EUR)]]*(1-Table3[[#This Row],[Discount (%)]]/100),0)</f>
        <v>49144</v>
      </c>
      <c r="AE98" s="22">
        <f>_xlfn.IFNA(_xlfn.XLOOKUP(Table3[[#This Row],[Month]],Lookups!$N$2:$N$13,Lookups!$O$2:$O$13),"CHECK MONTH")</f>
        <v>9</v>
      </c>
      <c r="AF98" s="22" t="str">
        <f>TEXT(Table3[[#This Row],[Month No]],"00")&amp;" - "&amp;Table3[[#This Row],[Month]]</f>
        <v>09 - September</v>
      </c>
      <c r="AG98" s="22" t="str">
        <f>_xlfn.IFNA(_xlfn.XLOOKUP(Table3[[#This Row],[Month]],Lookups!$N$2:$N$13,Lookups!$P$2:$P$13),"CHECK MONTH")</f>
        <v>Q3</v>
      </c>
      <c r="AH98" s="22">
        <f>Table3[[#This Row],[Gross Sales (EUR)]]-Table3[[#This Row],[Total Sales (EUR)]]</f>
        <v>0</v>
      </c>
      <c r="AI98" s="89">
        <f>DATE(Lookups!$O$15,Table3[[#This Row],[Month No]],1)</f>
        <v>45901</v>
      </c>
    </row>
    <row r="99" spans="1:35" x14ac:dyDescent="0.3">
      <c r="A99" s="15">
        <v>98</v>
      </c>
      <c r="B99" s="16" t="s">
        <v>13</v>
      </c>
      <c r="C99" s="16" t="s">
        <v>14</v>
      </c>
      <c r="D99" s="16" t="str">
        <f>TRIM(Table3[[#This Row],[Rep Last Name]])&amp;", "&amp;TRIM(Table3[[#This Row],[Rep First Name]])</f>
        <v>Joshi, Sanya</v>
      </c>
      <c r="E99" s="16" t="s">
        <v>72</v>
      </c>
      <c r="F99" s="16" t="s">
        <v>23</v>
      </c>
      <c r="G99" s="16" t="s">
        <v>24</v>
      </c>
      <c r="H99" s="16" t="str">
        <f>IF(Table3[[#This Row],[Min Speed (original, incomplete)]]="",_xlfn.IFNA(_xlfn.XLOOKUP(Table3[[#This Row],[Product Type]],Lookups!$G$2:$G$4,Lookups!$H$2:$H$4),"CHECK PRODUCT"),Table3[[#This Row],[Min Speed (original, incomplete)]])</f>
        <v>20 mph</v>
      </c>
      <c r="I99" s="16" t="s">
        <v>25</v>
      </c>
      <c r="J99" s="16" t="s">
        <v>26</v>
      </c>
      <c r="K99" s="17">
        <f>ROUND(VALUE(SUBSTITUTE(Table3[[#This Row],[Min Speed (mph)]]," mph",""))*Lookups!$L$2,0)</f>
        <v>32</v>
      </c>
      <c r="L99" s="17">
        <f>ROUND(VALUE(SUBSTITUTE(Table3[[#This Row],[Speed]]," mph",""))*Lookups!$L$2,0)</f>
        <v>56</v>
      </c>
      <c r="M99" s="17" t="str">
        <f>Table3[[#This Row],[Min Speed (km/h)]]&amp;" – "&amp;Table3[[#This Row],[Max Speed (km/h)]]&amp;" km/h"</f>
        <v>32 – 56 km/h</v>
      </c>
      <c r="N99" s="18">
        <f>IF(ISNUMBER(SEARCH("mile",Table3[[#This Row],[Distance]])),ROUND(VALUE(SUBSTITUTE(Table3[[#This Row],[Distance]]," miles",""))*Lookups!$L$3,0),ROUND(VALUE(SUBSTITUTE(Table3[[#This Row],[Distance]]," meters",""))*Lookups!$L$4,0))</f>
        <v>64</v>
      </c>
      <c r="O99" s="16" t="s">
        <v>27</v>
      </c>
      <c r="P99" s="16" t="str">
        <f>TRIM(LEFT(Table3[[#This Row],[Shipping Address]],FIND(",",Table3[[#This Row],[Shipping Address]])-1))</f>
        <v>457 Brigade Road</v>
      </c>
      <c r="Q99" s="16" t="str">
        <f>TRIM(MID(Table3[[#This Row],[Shipping Address]],FIND(",",Table3[[#This Row],[Shipping Address]])+1,FIND(",",Table3[[#This Row],[Shipping Address]],FIND(",",Table3[[#This Row],[Shipping Address]])+1)-FIND(",",Table3[[#This Row],[Shipping Address]])-1))</f>
        <v>Bengaluru</v>
      </c>
      <c r="R99" s="16" t="str">
        <f>TRIM(MID(Table3[[#This Row],[Shipping Address]],FIND(",",Table3[[#This Row],[Shipping Address]],FIND(",",Table3[[#This Row],[Shipping Address]])+1)+1,20))</f>
        <v>560001</v>
      </c>
      <c r="S99" s="16" t="s">
        <v>21</v>
      </c>
      <c r="T99" s="16" t="str">
        <f>_xlfn.IFNA(_xlfn.XLOOKUP(Table3[[#This Row],[Country Code]],Lookups!$A$2:$A$5,Lookups!$B$2:$B$5),"CHECK CODE")</f>
        <v>India</v>
      </c>
      <c r="U99" s="16" t="str">
        <f>_xlfn.IFNA(_xlfn.XLOOKUP(Table3[[#This Row],[Country Code]],Lookups!$A$2:$A$5,Lookups!$C$2:$C$5),"CHECK CODE")</f>
        <v>Asia</v>
      </c>
      <c r="V99" s="16" t="s">
        <v>28</v>
      </c>
      <c r="W99" s="16" t="str">
        <f>_xlfn.IFNA(_xlfn.XLOOKUP(Table3[[#This Row],[Country Code]],Lookups!$A$2:$A$5,Lookups!$D$2:$D$5),"CHECK CODE")</f>
        <v>INR</v>
      </c>
      <c r="X99" s="16">
        <f>VALUE(MID(Table3[[#This Row],[Unit Price]],2,50))</f>
        <v>25000</v>
      </c>
      <c r="Y99" s="19">
        <f>_xlfn.IFNA(_xlfn.XLOOKUP(Table3[[#This Row],[Country Code]],Lookups!$A$2:$A$5,Lookups!$E$2:$E$5),"")</f>
        <v>109.88200000000001</v>
      </c>
      <c r="Z99" s="87">
        <f>Table3[[#This Row],[Unit Price (local)]]/Table3[[#This Row],[FX Rate (per EUR)]]</f>
        <v>227.51679073915653</v>
      </c>
      <c r="AA99" s="16">
        <v>500</v>
      </c>
      <c r="AB99" s="20">
        <v>0</v>
      </c>
      <c r="AC99" s="21">
        <f>ROUND(Table3[[#This Row],[Unit Price (EUR)]]*Table3[[#This Row],[Units Sold]],0)</f>
        <v>113758</v>
      </c>
      <c r="AD99" s="22">
        <f>ROUND(Table3[[#This Row],[Gross Sales (EUR)]]*(1-Table3[[#This Row],[Discount (%)]]/100),0)</f>
        <v>113758</v>
      </c>
      <c r="AE99" s="22">
        <f>_xlfn.IFNA(_xlfn.XLOOKUP(Table3[[#This Row],[Month]],Lookups!$N$2:$N$13,Lookups!$O$2:$O$13),"CHECK MONTH")</f>
        <v>9</v>
      </c>
      <c r="AF99" s="22" t="str">
        <f>TEXT(Table3[[#This Row],[Month No]],"00")&amp;" - "&amp;Table3[[#This Row],[Month]]</f>
        <v>09 - September</v>
      </c>
      <c r="AG99" s="22" t="str">
        <f>_xlfn.IFNA(_xlfn.XLOOKUP(Table3[[#This Row],[Month]],Lookups!$N$2:$N$13,Lookups!$P$2:$P$13),"CHECK MONTH")</f>
        <v>Q3</v>
      </c>
      <c r="AH99" s="22">
        <f>Table3[[#This Row],[Gross Sales (EUR)]]-Table3[[#This Row],[Total Sales (EUR)]]</f>
        <v>0</v>
      </c>
      <c r="AI99" s="89">
        <f>DATE(Lookups!$O$15,Table3[[#This Row],[Month No]],1)</f>
        <v>45901</v>
      </c>
    </row>
    <row r="100" spans="1:35" x14ac:dyDescent="0.3">
      <c r="A100" s="15">
        <v>99</v>
      </c>
      <c r="B100" s="16" t="s">
        <v>13</v>
      </c>
      <c r="C100" s="16" t="s">
        <v>14</v>
      </c>
      <c r="D100" s="16" t="str">
        <f>TRIM(Table3[[#This Row],[Rep Last Name]])&amp;", "&amp;TRIM(Table3[[#This Row],[Rep First Name]])</f>
        <v>Joshi, Sanya</v>
      </c>
      <c r="E100" s="16" t="s">
        <v>72</v>
      </c>
      <c r="F100" s="16" t="s">
        <v>29</v>
      </c>
      <c r="G100" s="16" t="s">
        <v>30</v>
      </c>
      <c r="H100" s="16" t="str">
        <f>IF(Table3[[#This Row],[Min Speed (original, incomplete)]]="",_xlfn.IFNA(_xlfn.XLOOKUP(Table3[[#This Row],[Product Type]],Lookups!$G$2:$G$4,Lookups!$H$2:$H$4),"CHECK PRODUCT"),Table3[[#This Row],[Min Speed (original, incomplete)]])</f>
        <v>18 mph</v>
      </c>
      <c r="I100" s="16" t="s">
        <v>31</v>
      </c>
      <c r="J100" s="16" t="s">
        <v>32</v>
      </c>
      <c r="K100" s="17">
        <f>ROUND(VALUE(SUBSTITUTE(Table3[[#This Row],[Min Speed (mph)]]," mph",""))*Lookups!$L$2,0)</f>
        <v>29</v>
      </c>
      <c r="L100" s="17">
        <f>ROUND(VALUE(SUBSTITUTE(Table3[[#This Row],[Speed]]," mph",""))*Lookups!$L$2,0)</f>
        <v>45</v>
      </c>
      <c r="M100" s="17" t="str">
        <f>Table3[[#This Row],[Min Speed (km/h)]]&amp;" – "&amp;Table3[[#This Row],[Max Speed (km/h)]]&amp;" km/h"</f>
        <v>29 – 45 km/h</v>
      </c>
      <c r="N100" s="18">
        <f>IF(ISNUMBER(SEARCH("mile",Table3[[#This Row],[Distance]])),ROUND(VALUE(SUBSTITUTE(Table3[[#This Row],[Distance]]," miles",""))*Lookups!$L$3,0),ROUND(VALUE(SUBSTITUTE(Table3[[#This Row],[Distance]]," meters",""))*Lookups!$L$4,0))</f>
        <v>40</v>
      </c>
      <c r="O100" s="16" t="s">
        <v>33</v>
      </c>
      <c r="P100" s="16" t="str">
        <f>TRIM(LEFT(Table3[[#This Row],[Shipping Address]],FIND(",",Table3[[#This Row],[Shipping Address]])-1))</f>
        <v>458 Brigade Road</v>
      </c>
      <c r="Q100" s="16" t="str">
        <f>TRIM(MID(Table3[[#This Row],[Shipping Address]],FIND(",",Table3[[#This Row],[Shipping Address]])+1,FIND(",",Table3[[#This Row],[Shipping Address]],FIND(",",Table3[[#This Row],[Shipping Address]])+1)-FIND(",",Table3[[#This Row],[Shipping Address]])-1))</f>
        <v>Bengaluru</v>
      </c>
      <c r="R100" s="16" t="str">
        <f>TRIM(MID(Table3[[#This Row],[Shipping Address]],FIND(",",Table3[[#This Row],[Shipping Address]],FIND(",",Table3[[#This Row],[Shipping Address]])+1)+1,20))</f>
        <v>560001</v>
      </c>
      <c r="S100" s="16" t="s">
        <v>21</v>
      </c>
      <c r="T100" s="16" t="str">
        <f>_xlfn.IFNA(_xlfn.XLOOKUP(Table3[[#This Row],[Country Code]],Lookups!$A$2:$A$5,Lookups!$B$2:$B$5),"CHECK CODE")</f>
        <v>India</v>
      </c>
      <c r="U100" s="16" t="str">
        <f>_xlfn.IFNA(_xlfn.XLOOKUP(Table3[[#This Row],[Country Code]],Lookups!$A$2:$A$5,Lookups!$C$2:$C$5),"CHECK CODE")</f>
        <v>Asia</v>
      </c>
      <c r="V100" s="16" t="s">
        <v>34</v>
      </c>
      <c r="W100" s="16" t="str">
        <f>_xlfn.IFNA(_xlfn.XLOOKUP(Table3[[#This Row],[Country Code]],Lookups!$A$2:$A$5,Lookups!$D$2:$D$5),"CHECK CODE")</f>
        <v>INR</v>
      </c>
      <c r="X100" s="16">
        <f>VALUE(MID(Table3[[#This Row],[Unit Price]],2,50))</f>
        <v>22000</v>
      </c>
      <c r="Y100" s="19">
        <f>_xlfn.IFNA(_xlfn.XLOOKUP(Table3[[#This Row],[Country Code]],Lookups!$A$2:$A$5,Lookups!$E$2:$E$5),"")</f>
        <v>109.88200000000001</v>
      </c>
      <c r="Z100" s="87">
        <f>Table3[[#This Row],[Unit Price (local)]]/Table3[[#This Row],[FX Rate (per EUR)]]</f>
        <v>200.21477585045776</v>
      </c>
      <c r="AA100" s="16">
        <v>300</v>
      </c>
      <c r="AB100" s="20">
        <v>0</v>
      </c>
      <c r="AC100" s="21">
        <f>ROUND(Table3[[#This Row],[Unit Price (EUR)]]*Table3[[#This Row],[Units Sold]],0)</f>
        <v>60064</v>
      </c>
      <c r="AD100" s="22">
        <f>ROUND(Table3[[#This Row],[Gross Sales (EUR)]]*(1-Table3[[#This Row],[Discount (%)]]/100),0)</f>
        <v>60064</v>
      </c>
      <c r="AE100" s="22">
        <f>_xlfn.IFNA(_xlfn.XLOOKUP(Table3[[#This Row],[Month]],Lookups!$N$2:$N$13,Lookups!$O$2:$O$13),"CHECK MONTH")</f>
        <v>9</v>
      </c>
      <c r="AF100" s="22" t="str">
        <f>TEXT(Table3[[#This Row],[Month No]],"00")&amp;" - "&amp;Table3[[#This Row],[Month]]</f>
        <v>09 - September</v>
      </c>
      <c r="AG100" s="22" t="str">
        <f>_xlfn.IFNA(_xlfn.XLOOKUP(Table3[[#This Row],[Month]],Lookups!$N$2:$N$13,Lookups!$P$2:$P$13),"CHECK MONTH")</f>
        <v>Q3</v>
      </c>
      <c r="AH100" s="22">
        <f>Table3[[#This Row],[Gross Sales (EUR)]]-Table3[[#This Row],[Total Sales (EUR)]]</f>
        <v>0</v>
      </c>
      <c r="AI100" s="89">
        <f>DATE(Lookups!$O$15,Table3[[#This Row],[Month No]],1)</f>
        <v>45901</v>
      </c>
    </row>
    <row r="101" spans="1:35" x14ac:dyDescent="0.3">
      <c r="A101" s="15">
        <v>100</v>
      </c>
      <c r="B101" s="16" t="s">
        <v>35</v>
      </c>
      <c r="C101" s="16" t="s">
        <v>36</v>
      </c>
      <c r="D101" s="16" t="str">
        <f>TRIM(Table3[[#This Row],[Rep Last Name]])&amp;", "&amp;TRIM(Table3[[#This Row],[Rep First Name]])</f>
        <v>Liu, Fang</v>
      </c>
      <c r="E101" s="16" t="s">
        <v>72</v>
      </c>
      <c r="F101" s="16" t="s">
        <v>16</v>
      </c>
      <c r="G101" s="16" t="s">
        <v>17</v>
      </c>
      <c r="H101" s="16" t="str">
        <f>IF(Table3[[#This Row],[Min Speed (original, incomplete)]]="",_xlfn.IFNA(_xlfn.XLOOKUP(Table3[[#This Row],[Product Type]],Lookups!$G$2:$G$4,Lookups!$H$2:$H$4),"CHECK PRODUCT"),Table3[[#This Row],[Min Speed (original, incomplete)]])</f>
        <v>15 mph</v>
      </c>
      <c r="I101" s="16" t="s">
        <v>18</v>
      </c>
      <c r="J101" s="16" t="s">
        <v>19</v>
      </c>
      <c r="K101" s="17">
        <f>ROUND(VALUE(SUBSTITUTE(Table3[[#This Row],[Min Speed (mph)]]," mph",""))*Lookups!$L$2,0)</f>
        <v>24</v>
      </c>
      <c r="L101" s="17">
        <f>ROUND(VALUE(SUBSTITUTE(Table3[[#This Row],[Speed]]," mph",""))*Lookups!$L$2,0)</f>
        <v>48</v>
      </c>
      <c r="M101" s="17" t="str">
        <f>Table3[[#This Row],[Min Speed (km/h)]]&amp;" – "&amp;Table3[[#This Row],[Max Speed (km/h)]]&amp;" km/h"</f>
        <v>24 – 48 km/h</v>
      </c>
      <c r="N101" s="18">
        <f>IF(ISNUMBER(SEARCH("mile",Table3[[#This Row],[Distance]])),ROUND(VALUE(SUBSTITUTE(Table3[[#This Row],[Distance]]," miles",""))*Lookups!$L$3,0),ROUND(VALUE(SUBSTITUTE(Table3[[#This Row],[Distance]]," meters",""))*Lookups!$L$4,0))</f>
        <v>48</v>
      </c>
      <c r="O101" s="16" t="s">
        <v>37</v>
      </c>
      <c r="P101" s="16" t="str">
        <f>TRIM(LEFT(Table3[[#This Row],[Shipping Address]],FIND(",",Table3[[#This Row],[Shipping Address]])-1))</f>
        <v>99 Nanjing Road</v>
      </c>
      <c r="Q101" s="16" t="str">
        <f>TRIM(MID(Table3[[#This Row],[Shipping Address]],FIND(",",Table3[[#This Row],[Shipping Address]])+1,FIND(",",Table3[[#This Row],[Shipping Address]],FIND(",",Table3[[#This Row],[Shipping Address]])+1)-FIND(",",Table3[[#This Row],[Shipping Address]])-1))</f>
        <v>Shanghai</v>
      </c>
      <c r="R101" s="16" t="str">
        <f>TRIM(MID(Table3[[#This Row],[Shipping Address]],FIND(",",Table3[[#This Row],[Shipping Address]],FIND(",",Table3[[#This Row],[Shipping Address]])+1)+1,20))</f>
        <v>200001</v>
      </c>
      <c r="S101" s="16" t="s">
        <v>38</v>
      </c>
      <c r="T101" s="16" t="str">
        <f>_xlfn.IFNA(_xlfn.XLOOKUP(Table3[[#This Row],[Country Code]],Lookups!$A$2:$A$5,Lookups!$B$2:$B$5),"CHECK CODE")</f>
        <v>China</v>
      </c>
      <c r="U101" s="16" t="str">
        <f>_xlfn.IFNA(_xlfn.XLOOKUP(Table3[[#This Row],[Country Code]],Lookups!$A$2:$A$5,Lookups!$C$2:$C$5),"CHECK CODE")</f>
        <v>Asia</v>
      </c>
      <c r="V101" s="16" t="s">
        <v>39</v>
      </c>
      <c r="W101" s="16" t="str">
        <f>_xlfn.IFNA(_xlfn.XLOOKUP(Table3[[#This Row],[Country Code]],Lookups!$A$2:$A$5,Lookups!$D$2:$D$5),"CHECK CODE")</f>
        <v>CNY</v>
      </c>
      <c r="X101" s="16">
        <f>VALUE(MID(Table3[[#This Row],[Unit Price]],2,50))</f>
        <v>5000</v>
      </c>
      <c r="Y101" s="19">
        <f>_xlfn.IFNA(_xlfn.XLOOKUP(Table3[[#This Row],[Country Code]],Lookups!$A$2:$A$5,Lookups!$E$2:$E$5),"")</f>
        <v>7.7255000000000003</v>
      </c>
      <c r="Z101" s="87">
        <f>Table3[[#This Row],[Unit Price (local)]]/Table3[[#This Row],[FX Rate (per EUR)]]</f>
        <v>647.20730049834958</v>
      </c>
      <c r="AA101" s="16">
        <v>600</v>
      </c>
      <c r="AB101" s="20">
        <v>0</v>
      </c>
      <c r="AC101" s="21">
        <f>ROUND(Table3[[#This Row],[Unit Price (EUR)]]*Table3[[#This Row],[Units Sold]],0)</f>
        <v>388324</v>
      </c>
      <c r="AD101" s="22">
        <f>ROUND(Table3[[#This Row],[Gross Sales (EUR)]]*(1-Table3[[#This Row],[Discount (%)]]/100),0)</f>
        <v>388324</v>
      </c>
      <c r="AE101" s="22">
        <f>_xlfn.IFNA(_xlfn.XLOOKUP(Table3[[#This Row],[Month]],Lookups!$N$2:$N$13,Lookups!$O$2:$O$13),"CHECK MONTH")</f>
        <v>9</v>
      </c>
      <c r="AF101" s="22" t="str">
        <f>TEXT(Table3[[#This Row],[Month No]],"00")&amp;" - "&amp;Table3[[#This Row],[Month]]</f>
        <v>09 - September</v>
      </c>
      <c r="AG101" s="22" t="str">
        <f>_xlfn.IFNA(_xlfn.XLOOKUP(Table3[[#This Row],[Month]],Lookups!$N$2:$N$13,Lookups!$P$2:$P$13),"CHECK MONTH")</f>
        <v>Q3</v>
      </c>
      <c r="AH101" s="22">
        <f>Table3[[#This Row],[Gross Sales (EUR)]]-Table3[[#This Row],[Total Sales (EUR)]]</f>
        <v>0</v>
      </c>
      <c r="AI101" s="89">
        <f>DATE(Lookups!$O$15,Table3[[#This Row],[Month No]],1)</f>
        <v>45901</v>
      </c>
    </row>
    <row r="102" spans="1:35" x14ac:dyDescent="0.3">
      <c r="A102" s="15">
        <v>101</v>
      </c>
      <c r="B102" s="16" t="s">
        <v>35</v>
      </c>
      <c r="C102" s="16" t="s">
        <v>36</v>
      </c>
      <c r="D102" s="16" t="str">
        <f>TRIM(Table3[[#This Row],[Rep Last Name]])&amp;", "&amp;TRIM(Table3[[#This Row],[Rep First Name]])</f>
        <v>Liu, Fang</v>
      </c>
      <c r="E102" s="16" t="s">
        <v>72</v>
      </c>
      <c r="F102" s="16" t="s">
        <v>23</v>
      </c>
      <c r="G102" s="16" t="s">
        <v>24</v>
      </c>
      <c r="H102" s="16" t="str">
        <f>IF(Table3[[#This Row],[Min Speed (original, incomplete)]]="",_xlfn.IFNA(_xlfn.XLOOKUP(Table3[[#This Row],[Product Type]],Lookups!$G$2:$G$4,Lookups!$H$2:$H$4),"CHECK PRODUCT"),Table3[[#This Row],[Min Speed (original, incomplete)]])</f>
        <v>20 mph</v>
      </c>
      <c r="I102" s="16" t="s">
        <v>25</v>
      </c>
      <c r="J102" s="16" t="s">
        <v>26</v>
      </c>
      <c r="K102" s="17">
        <f>ROUND(VALUE(SUBSTITUTE(Table3[[#This Row],[Min Speed (mph)]]," mph",""))*Lookups!$L$2,0)</f>
        <v>32</v>
      </c>
      <c r="L102" s="17">
        <f>ROUND(VALUE(SUBSTITUTE(Table3[[#This Row],[Speed]]," mph",""))*Lookups!$L$2,0)</f>
        <v>56</v>
      </c>
      <c r="M102" s="17" t="str">
        <f>Table3[[#This Row],[Min Speed (km/h)]]&amp;" – "&amp;Table3[[#This Row],[Max Speed (km/h)]]&amp;" km/h"</f>
        <v>32 – 56 km/h</v>
      </c>
      <c r="N102" s="18">
        <f>IF(ISNUMBER(SEARCH("mile",Table3[[#This Row],[Distance]])),ROUND(VALUE(SUBSTITUTE(Table3[[#This Row],[Distance]]," miles",""))*Lookups!$L$3,0),ROUND(VALUE(SUBSTITUTE(Table3[[#This Row],[Distance]]," meters",""))*Lookups!$L$4,0))</f>
        <v>64</v>
      </c>
      <c r="O102" s="16" t="s">
        <v>40</v>
      </c>
      <c r="P102" s="16" t="str">
        <f>TRIM(LEFT(Table3[[#This Row],[Shipping Address]],FIND(",",Table3[[#This Row],[Shipping Address]])-1))</f>
        <v>100 Nanjing Road</v>
      </c>
      <c r="Q102" s="16" t="str">
        <f>TRIM(MID(Table3[[#This Row],[Shipping Address]],FIND(",",Table3[[#This Row],[Shipping Address]])+1,FIND(",",Table3[[#This Row],[Shipping Address]],FIND(",",Table3[[#This Row],[Shipping Address]])+1)-FIND(",",Table3[[#This Row],[Shipping Address]])-1))</f>
        <v>Shanghai</v>
      </c>
      <c r="R102" s="16" t="str">
        <f>TRIM(MID(Table3[[#This Row],[Shipping Address]],FIND(",",Table3[[#This Row],[Shipping Address]],FIND(",",Table3[[#This Row],[Shipping Address]])+1)+1,20))</f>
        <v>200001</v>
      </c>
      <c r="S102" s="16" t="s">
        <v>38</v>
      </c>
      <c r="T102" s="16" t="str">
        <f>_xlfn.IFNA(_xlfn.XLOOKUP(Table3[[#This Row],[Country Code]],Lookups!$A$2:$A$5,Lookups!$B$2:$B$5),"CHECK CODE")</f>
        <v>China</v>
      </c>
      <c r="U102" s="16" t="str">
        <f>_xlfn.IFNA(_xlfn.XLOOKUP(Table3[[#This Row],[Country Code]],Lookups!$A$2:$A$5,Lookups!$C$2:$C$5),"CHECK CODE")</f>
        <v>Asia</v>
      </c>
      <c r="V102" s="16" t="s">
        <v>41</v>
      </c>
      <c r="W102" s="16" t="str">
        <f>_xlfn.IFNA(_xlfn.XLOOKUP(Table3[[#This Row],[Country Code]],Lookups!$A$2:$A$5,Lookups!$D$2:$D$5),"CHECK CODE")</f>
        <v>CNY</v>
      </c>
      <c r="X102" s="16">
        <f>VALUE(MID(Table3[[#This Row],[Unit Price]],2,50))</f>
        <v>3500</v>
      </c>
      <c r="Y102" s="19">
        <f>_xlfn.IFNA(_xlfn.XLOOKUP(Table3[[#This Row],[Country Code]],Lookups!$A$2:$A$5,Lookups!$E$2:$E$5),"")</f>
        <v>7.7255000000000003</v>
      </c>
      <c r="Z102" s="87">
        <f>Table3[[#This Row],[Unit Price (local)]]/Table3[[#This Row],[FX Rate (per EUR)]]</f>
        <v>453.04511034884473</v>
      </c>
      <c r="AA102" s="16">
        <v>1400</v>
      </c>
      <c r="AB102" s="20">
        <v>0</v>
      </c>
      <c r="AC102" s="21">
        <f>ROUND(Table3[[#This Row],[Unit Price (EUR)]]*Table3[[#This Row],[Units Sold]],0)</f>
        <v>634263</v>
      </c>
      <c r="AD102" s="22">
        <f>ROUND(Table3[[#This Row],[Gross Sales (EUR)]]*(1-Table3[[#This Row],[Discount (%)]]/100),0)</f>
        <v>634263</v>
      </c>
      <c r="AE102" s="22">
        <f>_xlfn.IFNA(_xlfn.XLOOKUP(Table3[[#This Row],[Month]],Lookups!$N$2:$N$13,Lookups!$O$2:$O$13),"CHECK MONTH")</f>
        <v>9</v>
      </c>
      <c r="AF102" s="22" t="str">
        <f>TEXT(Table3[[#This Row],[Month No]],"00")&amp;" - "&amp;Table3[[#This Row],[Month]]</f>
        <v>09 - September</v>
      </c>
      <c r="AG102" s="22" t="str">
        <f>_xlfn.IFNA(_xlfn.XLOOKUP(Table3[[#This Row],[Month]],Lookups!$N$2:$N$13,Lookups!$P$2:$P$13),"CHECK MONTH")</f>
        <v>Q3</v>
      </c>
      <c r="AH102" s="22">
        <f>Table3[[#This Row],[Gross Sales (EUR)]]-Table3[[#This Row],[Total Sales (EUR)]]</f>
        <v>0</v>
      </c>
      <c r="AI102" s="89">
        <f>DATE(Lookups!$O$15,Table3[[#This Row],[Month No]],1)</f>
        <v>45901</v>
      </c>
    </row>
    <row r="103" spans="1:35" x14ac:dyDescent="0.3">
      <c r="A103" s="15">
        <v>102</v>
      </c>
      <c r="B103" s="16" t="s">
        <v>35</v>
      </c>
      <c r="C103" s="16" t="s">
        <v>36</v>
      </c>
      <c r="D103" s="16" t="str">
        <f>TRIM(Table3[[#This Row],[Rep Last Name]])&amp;", "&amp;TRIM(Table3[[#This Row],[Rep First Name]])</f>
        <v>Liu, Fang</v>
      </c>
      <c r="E103" s="16" t="s">
        <v>72</v>
      </c>
      <c r="F103" s="16" t="s">
        <v>29</v>
      </c>
      <c r="G103" s="16" t="s">
        <v>30</v>
      </c>
      <c r="H103" s="16" t="str">
        <f>IF(Table3[[#This Row],[Min Speed (original, incomplete)]]="",_xlfn.IFNA(_xlfn.XLOOKUP(Table3[[#This Row],[Product Type]],Lookups!$G$2:$G$4,Lookups!$H$2:$H$4),"CHECK PRODUCT"),Table3[[#This Row],[Min Speed (original, incomplete)]])</f>
        <v>18 mph</v>
      </c>
      <c r="I103" s="16" t="s">
        <v>31</v>
      </c>
      <c r="J103" s="16" t="s">
        <v>32</v>
      </c>
      <c r="K103" s="17">
        <f>ROUND(VALUE(SUBSTITUTE(Table3[[#This Row],[Min Speed (mph)]]," mph",""))*Lookups!$L$2,0)</f>
        <v>29</v>
      </c>
      <c r="L103" s="17">
        <f>ROUND(VALUE(SUBSTITUTE(Table3[[#This Row],[Speed]]," mph",""))*Lookups!$L$2,0)</f>
        <v>45</v>
      </c>
      <c r="M103" s="17" t="str">
        <f>Table3[[#This Row],[Min Speed (km/h)]]&amp;" – "&amp;Table3[[#This Row],[Max Speed (km/h)]]&amp;" km/h"</f>
        <v>29 – 45 km/h</v>
      </c>
      <c r="N103" s="18">
        <f>IF(ISNUMBER(SEARCH("mile",Table3[[#This Row],[Distance]])),ROUND(VALUE(SUBSTITUTE(Table3[[#This Row],[Distance]]," miles",""))*Lookups!$L$3,0),ROUND(VALUE(SUBSTITUTE(Table3[[#This Row],[Distance]]," meters",""))*Lookups!$L$4,0))</f>
        <v>40</v>
      </c>
      <c r="O103" s="16" t="s">
        <v>43</v>
      </c>
      <c r="P103" s="16" t="str">
        <f>TRIM(LEFT(Table3[[#This Row],[Shipping Address]],FIND(",",Table3[[#This Row],[Shipping Address]])-1))</f>
        <v>101 Nanjing Road</v>
      </c>
      <c r="Q103" s="16" t="str">
        <f>TRIM(MID(Table3[[#This Row],[Shipping Address]],FIND(",",Table3[[#This Row],[Shipping Address]])+1,FIND(",",Table3[[#This Row],[Shipping Address]],FIND(",",Table3[[#This Row],[Shipping Address]])+1)-FIND(",",Table3[[#This Row],[Shipping Address]])-1))</f>
        <v>Shanghai</v>
      </c>
      <c r="R103" s="16" t="str">
        <f>TRIM(MID(Table3[[#This Row],[Shipping Address]],FIND(",",Table3[[#This Row],[Shipping Address]],FIND(",",Table3[[#This Row],[Shipping Address]])+1)+1,20))</f>
        <v>200001</v>
      </c>
      <c r="S103" s="16" t="s">
        <v>38</v>
      </c>
      <c r="T103" s="16" t="str">
        <f>_xlfn.IFNA(_xlfn.XLOOKUP(Table3[[#This Row],[Country Code]],Lookups!$A$2:$A$5,Lookups!$B$2:$B$5),"CHECK CODE")</f>
        <v>China</v>
      </c>
      <c r="U103" s="16" t="str">
        <f>_xlfn.IFNA(_xlfn.XLOOKUP(Table3[[#This Row],[Country Code]],Lookups!$A$2:$A$5,Lookups!$C$2:$C$5),"CHECK CODE")</f>
        <v>Asia</v>
      </c>
      <c r="V103" s="16" t="s">
        <v>44</v>
      </c>
      <c r="W103" s="16" t="str">
        <f>_xlfn.IFNA(_xlfn.XLOOKUP(Table3[[#This Row],[Country Code]],Lookups!$A$2:$A$5,Lookups!$D$2:$D$5),"CHECK CODE")</f>
        <v>CNY</v>
      </c>
      <c r="X103" s="16">
        <f>VALUE(MID(Table3[[#This Row],[Unit Price]],2,50))</f>
        <v>4200</v>
      </c>
      <c r="Y103" s="19">
        <f>_xlfn.IFNA(_xlfn.XLOOKUP(Table3[[#This Row],[Country Code]],Lookups!$A$2:$A$5,Lookups!$E$2:$E$5),"")</f>
        <v>7.7255000000000003</v>
      </c>
      <c r="Z103" s="87">
        <f>Table3[[#This Row],[Unit Price (local)]]/Table3[[#This Row],[FX Rate (per EUR)]]</f>
        <v>543.6541324186137</v>
      </c>
      <c r="AA103" s="16">
        <v>850</v>
      </c>
      <c r="AB103" s="20">
        <v>0</v>
      </c>
      <c r="AC103" s="21">
        <f>ROUND(Table3[[#This Row],[Unit Price (EUR)]]*Table3[[#This Row],[Units Sold]],0)</f>
        <v>462106</v>
      </c>
      <c r="AD103" s="22">
        <f>ROUND(Table3[[#This Row],[Gross Sales (EUR)]]*(1-Table3[[#This Row],[Discount (%)]]/100),0)</f>
        <v>462106</v>
      </c>
      <c r="AE103" s="22">
        <f>_xlfn.IFNA(_xlfn.XLOOKUP(Table3[[#This Row],[Month]],Lookups!$N$2:$N$13,Lookups!$O$2:$O$13),"CHECK MONTH")</f>
        <v>9</v>
      </c>
      <c r="AF103" s="22" t="str">
        <f>TEXT(Table3[[#This Row],[Month No]],"00")&amp;" - "&amp;Table3[[#This Row],[Month]]</f>
        <v>09 - September</v>
      </c>
      <c r="AG103" s="22" t="str">
        <f>_xlfn.IFNA(_xlfn.XLOOKUP(Table3[[#This Row],[Month]],Lookups!$N$2:$N$13,Lookups!$P$2:$P$13),"CHECK MONTH")</f>
        <v>Q3</v>
      </c>
      <c r="AH103" s="22">
        <f>Table3[[#This Row],[Gross Sales (EUR)]]-Table3[[#This Row],[Total Sales (EUR)]]</f>
        <v>0</v>
      </c>
      <c r="AI103" s="89">
        <f>DATE(Lookups!$O$15,Table3[[#This Row],[Month No]],1)</f>
        <v>45901</v>
      </c>
    </row>
    <row r="104" spans="1:35" x14ac:dyDescent="0.3">
      <c r="A104" s="15">
        <v>103</v>
      </c>
      <c r="B104" s="16" t="s">
        <v>45</v>
      </c>
      <c r="C104" s="16" t="s">
        <v>46</v>
      </c>
      <c r="D104" s="16" t="str">
        <f>TRIM(Table3[[#This Row],[Rep Last Name]])&amp;", "&amp;TRIM(Table3[[#This Row],[Rep First Name]])</f>
        <v>Fischer, Jonas</v>
      </c>
      <c r="E104" s="16" t="s">
        <v>72</v>
      </c>
      <c r="F104" s="16" t="s">
        <v>16</v>
      </c>
      <c r="G104" s="16" t="s">
        <v>17</v>
      </c>
      <c r="H104" s="16" t="str">
        <f>IF(Table3[[#This Row],[Min Speed (original, incomplete)]]="",_xlfn.IFNA(_xlfn.XLOOKUP(Table3[[#This Row],[Product Type]],Lookups!$G$2:$G$4,Lookups!$H$2:$H$4),"CHECK PRODUCT"),Table3[[#This Row],[Min Speed (original, incomplete)]])</f>
        <v>15 mph</v>
      </c>
      <c r="I104" s="16" t="s">
        <v>18</v>
      </c>
      <c r="J104" s="16" t="s">
        <v>47</v>
      </c>
      <c r="K104" s="17">
        <f>ROUND(VALUE(SUBSTITUTE(Table3[[#This Row],[Min Speed (mph)]]," mph",""))*Lookups!$L$2,0)</f>
        <v>24</v>
      </c>
      <c r="L104" s="17">
        <f>ROUND(VALUE(SUBSTITUTE(Table3[[#This Row],[Speed]]," mph",""))*Lookups!$L$2,0)</f>
        <v>48</v>
      </c>
      <c r="M104" s="17" t="str">
        <f>Table3[[#This Row],[Min Speed (km/h)]]&amp;" – "&amp;Table3[[#This Row],[Max Speed (km/h)]]&amp;" km/h"</f>
        <v>24 – 48 km/h</v>
      </c>
      <c r="N104" s="18">
        <f>IF(ISNUMBER(SEARCH("mile",Table3[[#This Row],[Distance]])),ROUND(VALUE(SUBSTITUTE(Table3[[#This Row],[Distance]]," miles",""))*Lookups!$L$3,0),ROUND(VALUE(SUBSTITUTE(Table3[[#This Row],[Distance]]," meters",""))*Lookups!$L$4,0))</f>
        <v>48</v>
      </c>
      <c r="O104" s="16" t="s">
        <v>48</v>
      </c>
      <c r="P104" s="16" t="str">
        <f>TRIM(LEFT(Table3[[#This Row],[Shipping Address]],FIND(",",Table3[[#This Row],[Shipping Address]])-1))</f>
        <v>303 Ringstraße</v>
      </c>
      <c r="Q104" s="16" t="str">
        <f>TRIM(MID(Table3[[#This Row],[Shipping Address]],FIND(",",Table3[[#This Row],[Shipping Address]])+1,FIND(",",Table3[[#This Row],[Shipping Address]],FIND(",",Table3[[#This Row],[Shipping Address]])+1)-FIND(",",Table3[[#This Row],[Shipping Address]])-1))</f>
        <v>Hamburg</v>
      </c>
      <c r="R104" s="16" t="str">
        <f>TRIM(MID(Table3[[#This Row],[Shipping Address]],FIND(",",Table3[[#This Row],[Shipping Address]],FIND(",",Table3[[#This Row],[Shipping Address]])+1)+1,20))</f>
        <v>20095</v>
      </c>
      <c r="S104" s="16" t="s">
        <v>49</v>
      </c>
      <c r="T104" s="16" t="str">
        <f>_xlfn.IFNA(_xlfn.XLOOKUP(Table3[[#This Row],[Country Code]],Lookups!$A$2:$A$5,Lookups!$B$2:$B$5),"CHECK CODE")</f>
        <v>Germany</v>
      </c>
      <c r="U104" s="16" t="str">
        <f>_xlfn.IFNA(_xlfn.XLOOKUP(Table3[[#This Row],[Country Code]],Lookups!$A$2:$A$5,Lookups!$C$2:$C$5),"CHECK CODE")</f>
        <v>Europe</v>
      </c>
      <c r="V104" s="16" t="s">
        <v>50</v>
      </c>
      <c r="W104" s="16" t="str">
        <f>_xlfn.IFNA(_xlfn.XLOOKUP(Table3[[#This Row],[Country Code]],Lookups!$A$2:$A$5,Lookups!$D$2:$D$5),"CHECK CODE")</f>
        <v>EUR</v>
      </c>
      <c r="X104" s="16">
        <f>VALUE(MID(Table3[[#This Row],[Unit Price]],2,50))</f>
        <v>1000</v>
      </c>
      <c r="Y104" s="19">
        <f>_xlfn.IFNA(_xlfn.XLOOKUP(Table3[[#This Row],[Country Code]],Lookups!$A$2:$A$5,Lookups!$E$2:$E$5),"")</f>
        <v>1</v>
      </c>
      <c r="Z104" s="87">
        <f>Table3[[#This Row],[Unit Price (local)]]/Table3[[#This Row],[FX Rate (per EUR)]]</f>
        <v>1000</v>
      </c>
      <c r="AA104" s="16">
        <v>160</v>
      </c>
      <c r="AB104" s="20">
        <v>0</v>
      </c>
      <c r="AC104" s="21">
        <f>ROUND(Table3[[#This Row],[Unit Price (EUR)]]*Table3[[#This Row],[Units Sold]],0)</f>
        <v>160000</v>
      </c>
      <c r="AD104" s="22">
        <f>ROUND(Table3[[#This Row],[Gross Sales (EUR)]]*(1-Table3[[#This Row],[Discount (%)]]/100),0)</f>
        <v>160000</v>
      </c>
      <c r="AE104" s="22">
        <f>_xlfn.IFNA(_xlfn.XLOOKUP(Table3[[#This Row],[Month]],Lookups!$N$2:$N$13,Lookups!$O$2:$O$13),"CHECK MONTH")</f>
        <v>9</v>
      </c>
      <c r="AF104" s="22" t="str">
        <f>TEXT(Table3[[#This Row],[Month No]],"00")&amp;" - "&amp;Table3[[#This Row],[Month]]</f>
        <v>09 - September</v>
      </c>
      <c r="AG104" s="22" t="str">
        <f>_xlfn.IFNA(_xlfn.XLOOKUP(Table3[[#This Row],[Month]],Lookups!$N$2:$N$13,Lookups!$P$2:$P$13),"CHECK MONTH")</f>
        <v>Q3</v>
      </c>
      <c r="AH104" s="22">
        <f>Table3[[#This Row],[Gross Sales (EUR)]]-Table3[[#This Row],[Total Sales (EUR)]]</f>
        <v>0</v>
      </c>
      <c r="AI104" s="89">
        <f>DATE(Lookups!$O$15,Table3[[#This Row],[Month No]],1)</f>
        <v>45901</v>
      </c>
    </row>
    <row r="105" spans="1:35" x14ac:dyDescent="0.3">
      <c r="A105" s="15">
        <v>104</v>
      </c>
      <c r="B105" s="16" t="s">
        <v>45</v>
      </c>
      <c r="C105" s="16" t="s">
        <v>46</v>
      </c>
      <c r="D105" s="16" t="str">
        <f>TRIM(Table3[[#This Row],[Rep Last Name]])&amp;", "&amp;TRIM(Table3[[#This Row],[Rep First Name]])</f>
        <v>Fischer, Jonas</v>
      </c>
      <c r="E105" s="16" t="s">
        <v>72</v>
      </c>
      <c r="F105" s="16" t="s">
        <v>23</v>
      </c>
      <c r="G105" s="16" t="s">
        <v>24</v>
      </c>
      <c r="H105" s="16" t="str">
        <f>IF(Table3[[#This Row],[Min Speed (original, incomplete)]]="",_xlfn.IFNA(_xlfn.XLOOKUP(Table3[[#This Row],[Product Type]],Lookups!$G$2:$G$4,Lookups!$H$2:$H$4),"CHECK PRODUCT"),Table3[[#This Row],[Min Speed (original, incomplete)]])</f>
        <v>20 mph</v>
      </c>
      <c r="I105" s="16" t="s">
        <v>25</v>
      </c>
      <c r="J105" s="16" t="s">
        <v>26</v>
      </c>
      <c r="K105" s="17">
        <f>ROUND(VALUE(SUBSTITUTE(Table3[[#This Row],[Min Speed (mph)]]," mph",""))*Lookups!$L$2,0)</f>
        <v>32</v>
      </c>
      <c r="L105" s="17">
        <f>ROUND(VALUE(SUBSTITUTE(Table3[[#This Row],[Speed]]," mph",""))*Lookups!$L$2,0)</f>
        <v>56</v>
      </c>
      <c r="M105" s="17" t="str">
        <f>Table3[[#This Row],[Min Speed (km/h)]]&amp;" – "&amp;Table3[[#This Row],[Max Speed (km/h)]]&amp;" km/h"</f>
        <v>32 – 56 km/h</v>
      </c>
      <c r="N105" s="18">
        <f>IF(ISNUMBER(SEARCH("mile",Table3[[#This Row],[Distance]])),ROUND(VALUE(SUBSTITUTE(Table3[[#This Row],[Distance]]," miles",""))*Lookups!$L$3,0),ROUND(VALUE(SUBSTITUTE(Table3[[#This Row],[Distance]]," meters",""))*Lookups!$L$4,0))</f>
        <v>64</v>
      </c>
      <c r="O105" s="16" t="s">
        <v>51</v>
      </c>
      <c r="P105" s="16" t="str">
        <f>TRIM(LEFT(Table3[[#This Row],[Shipping Address]],FIND(",",Table3[[#This Row],[Shipping Address]])-1))</f>
        <v>304 Ringstraße</v>
      </c>
      <c r="Q105" s="16" t="str">
        <f>TRIM(MID(Table3[[#This Row],[Shipping Address]],FIND(",",Table3[[#This Row],[Shipping Address]])+1,FIND(",",Table3[[#This Row],[Shipping Address]],FIND(",",Table3[[#This Row],[Shipping Address]])+1)-FIND(",",Table3[[#This Row],[Shipping Address]])-1))</f>
        <v>Hamburg</v>
      </c>
      <c r="R105" s="16" t="str">
        <f>TRIM(MID(Table3[[#This Row],[Shipping Address]],FIND(",",Table3[[#This Row],[Shipping Address]],FIND(",",Table3[[#This Row],[Shipping Address]])+1)+1,20))</f>
        <v>20095</v>
      </c>
      <c r="S105" s="16" t="s">
        <v>49</v>
      </c>
      <c r="T105" s="16" t="str">
        <f>_xlfn.IFNA(_xlfn.XLOOKUP(Table3[[#This Row],[Country Code]],Lookups!$A$2:$A$5,Lookups!$B$2:$B$5),"CHECK CODE")</f>
        <v>Germany</v>
      </c>
      <c r="U105" s="16" t="str">
        <f>_xlfn.IFNA(_xlfn.XLOOKUP(Table3[[#This Row],[Country Code]],Lookups!$A$2:$A$5,Lookups!$C$2:$C$5),"CHECK CODE")</f>
        <v>Europe</v>
      </c>
      <c r="V105" s="16" t="s">
        <v>52</v>
      </c>
      <c r="W105" s="16" t="str">
        <f>_xlfn.IFNA(_xlfn.XLOOKUP(Table3[[#This Row],[Country Code]],Lookups!$A$2:$A$5,Lookups!$D$2:$D$5),"CHECK CODE")</f>
        <v>EUR</v>
      </c>
      <c r="X105" s="16">
        <f>VALUE(MID(Table3[[#This Row],[Unit Price]],2,50))</f>
        <v>800</v>
      </c>
      <c r="Y105" s="19">
        <f>_xlfn.IFNA(_xlfn.XLOOKUP(Table3[[#This Row],[Country Code]],Lookups!$A$2:$A$5,Lookups!$E$2:$E$5),"")</f>
        <v>1</v>
      </c>
      <c r="Z105" s="87">
        <f>Table3[[#This Row],[Unit Price (local)]]/Table3[[#This Row],[FX Rate (per EUR)]]</f>
        <v>800</v>
      </c>
      <c r="AA105" s="16">
        <v>320</v>
      </c>
      <c r="AB105" s="20">
        <v>0</v>
      </c>
      <c r="AC105" s="21">
        <f>ROUND(Table3[[#This Row],[Unit Price (EUR)]]*Table3[[#This Row],[Units Sold]],0)</f>
        <v>256000</v>
      </c>
      <c r="AD105" s="22">
        <f>ROUND(Table3[[#This Row],[Gross Sales (EUR)]]*(1-Table3[[#This Row],[Discount (%)]]/100),0)</f>
        <v>256000</v>
      </c>
      <c r="AE105" s="22">
        <f>_xlfn.IFNA(_xlfn.XLOOKUP(Table3[[#This Row],[Month]],Lookups!$N$2:$N$13,Lookups!$O$2:$O$13),"CHECK MONTH")</f>
        <v>9</v>
      </c>
      <c r="AF105" s="22" t="str">
        <f>TEXT(Table3[[#This Row],[Month No]],"00")&amp;" - "&amp;Table3[[#This Row],[Month]]</f>
        <v>09 - September</v>
      </c>
      <c r="AG105" s="22" t="str">
        <f>_xlfn.IFNA(_xlfn.XLOOKUP(Table3[[#This Row],[Month]],Lookups!$N$2:$N$13,Lookups!$P$2:$P$13),"CHECK MONTH")</f>
        <v>Q3</v>
      </c>
      <c r="AH105" s="22">
        <f>Table3[[#This Row],[Gross Sales (EUR)]]-Table3[[#This Row],[Total Sales (EUR)]]</f>
        <v>0</v>
      </c>
      <c r="AI105" s="89">
        <f>DATE(Lookups!$O$15,Table3[[#This Row],[Month No]],1)</f>
        <v>45901</v>
      </c>
    </row>
    <row r="106" spans="1:35" x14ac:dyDescent="0.3">
      <c r="A106" s="15">
        <v>105</v>
      </c>
      <c r="B106" s="16" t="s">
        <v>45</v>
      </c>
      <c r="C106" s="16" t="s">
        <v>46</v>
      </c>
      <c r="D106" s="16" t="str">
        <f>TRIM(Table3[[#This Row],[Rep Last Name]])&amp;", "&amp;TRIM(Table3[[#This Row],[Rep First Name]])</f>
        <v>Fischer, Jonas</v>
      </c>
      <c r="E106" s="16" t="s">
        <v>72</v>
      </c>
      <c r="F106" s="16" t="s">
        <v>29</v>
      </c>
      <c r="G106" s="16" t="s">
        <v>30</v>
      </c>
      <c r="H106" s="16" t="str">
        <f>IF(Table3[[#This Row],[Min Speed (original, incomplete)]]="",_xlfn.IFNA(_xlfn.XLOOKUP(Table3[[#This Row],[Product Type]],Lookups!$G$2:$G$4,Lookups!$H$2:$H$4),"CHECK PRODUCT"),Table3[[#This Row],[Min Speed (original, incomplete)]])</f>
        <v>18 mph</v>
      </c>
      <c r="I106" s="16" t="s">
        <v>31</v>
      </c>
      <c r="J106" s="16" t="s">
        <v>32</v>
      </c>
      <c r="K106" s="17">
        <f>ROUND(VALUE(SUBSTITUTE(Table3[[#This Row],[Min Speed (mph)]]," mph",""))*Lookups!$L$2,0)</f>
        <v>29</v>
      </c>
      <c r="L106" s="17">
        <f>ROUND(VALUE(SUBSTITUTE(Table3[[#This Row],[Speed]]," mph",""))*Lookups!$L$2,0)</f>
        <v>45</v>
      </c>
      <c r="M106" s="17" t="str">
        <f>Table3[[#This Row],[Min Speed (km/h)]]&amp;" – "&amp;Table3[[#This Row],[Max Speed (km/h)]]&amp;" km/h"</f>
        <v>29 – 45 km/h</v>
      </c>
      <c r="N106" s="18">
        <f>IF(ISNUMBER(SEARCH("mile",Table3[[#This Row],[Distance]])),ROUND(VALUE(SUBSTITUTE(Table3[[#This Row],[Distance]]," miles",""))*Lookups!$L$3,0),ROUND(VALUE(SUBSTITUTE(Table3[[#This Row],[Distance]]," meters",""))*Lookups!$L$4,0))</f>
        <v>40</v>
      </c>
      <c r="O106" s="16" t="s">
        <v>53</v>
      </c>
      <c r="P106" s="16" t="str">
        <f>TRIM(LEFT(Table3[[#This Row],[Shipping Address]],FIND(",",Table3[[#This Row],[Shipping Address]])-1))</f>
        <v>305 Ringstraße</v>
      </c>
      <c r="Q106" s="16" t="str">
        <f>TRIM(MID(Table3[[#This Row],[Shipping Address]],FIND(",",Table3[[#This Row],[Shipping Address]])+1,FIND(",",Table3[[#This Row],[Shipping Address]],FIND(",",Table3[[#This Row],[Shipping Address]])+1)-FIND(",",Table3[[#This Row],[Shipping Address]])-1))</f>
        <v>Hamburg</v>
      </c>
      <c r="R106" s="16" t="str">
        <f>TRIM(MID(Table3[[#This Row],[Shipping Address]],FIND(",",Table3[[#This Row],[Shipping Address]],FIND(",",Table3[[#This Row],[Shipping Address]])+1)+1,20))</f>
        <v>20095</v>
      </c>
      <c r="S106" s="16" t="s">
        <v>49</v>
      </c>
      <c r="T106" s="16" t="str">
        <f>_xlfn.IFNA(_xlfn.XLOOKUP(Table3[[#This Row],[Country Code]],Lookups!$A$2:$A$5,Lookups!$B$2:$B$5),"CHECK CODE")</f>
        <v>Germany</v>
      </c>
      <c r="U106" s="16" t="str">
        <f>_xlfn.IFNA(_xlfn.XLOOKUP(Table3[[#This Row],[Country Code]],Lookups!$A$2:$A$5,Lookups!$C$2:$C$5),"CHECK CODE")</f>
        <v>Europe</v>
      </c>
      <c r="V106" s="16" t="s">
        <v>54</v>
      </c>
      <c r="W106" s="16" t="str">
        <f>_xlfn.IFNA(_xlfn.XLOOKUP(Table3[[#This Row],[Country Code]],Lookups!$A$2:$A$5,Lookups!$D$2:$D$5),"CHECK CODE")</f>
        <v>EUR</v>
      </c>
      <c r="X106" s="16">
        <f>VALUE(MID(Table3[[#This Row],[Unit Price]],2,50))</f>
        <v>950</v>
      </c>
      <c r="Y106" s="19">
        <f>_xlfn.IFNA(_xlfn.XLOOKUP(Table3[[#This Row],[Country Code]],Lookups!$A$2:$A$5,Lookups!$E$2:$E$5),"")</f>
        <v>1</v>
      </c>
      <c r="Z106" s="87">
        <f>Table3[[#This Row],[Unit Price (local)]]/Table3[[#This Row],[FX Rate (per EUR)]]</f>
        <v>950</v>
      </c>
      <c r="AA106" s="16">
        <v>250</v>
      </c>
      <c r="AB106" s="20">
        <v>0</v>
      </c>
      <c r="AC106" s="21">
        <f>ROUND(Table3[[#This Row],[Unit Price (EUR)]]*Table3[[#This Row],[Units Sold]],0)</f>
        <v>237500</v>
      </c>
      <c r="AD106" s="22">
        <f>ROUND(Table3[[#This Row],[Gross Sales (EUR)]]*(1-Table3[[#This Row],[Discount (%)]]/100),0)</f>
        <v>237500</v>
      </c>
      <c r="AE106" s="22">
        <f>_xlfn.IFNA(_xlfn.XLOOKUP(Table3[[#This Row],[Month]],Lookups!$N$2:$N$13,Lookups!$O$2:$O$13),"CHECK MONTH")</f>
        <v>9</v>
      </c>
      <c r="AF106" s="22" t="str">
        <f>TEXT(Table3[[#This Row],[Month No]],"00")&amp;" - "&amp;Table3[[#This Row],[Month]]</f>
        <v>09 - September</v>
      </c>
      <c r="AG106" s="22" t="str">
        <f>_xlfn.IFNA(_xlfn.XLOOKUP(Table3[[#This Row],[Month]],Lookups!$N$2:$N$13,Lookups!$P$2:$P$13),"CHECK MONTH")</f>
        <v>Q3</v>
      </c>
      <c r="AH106" s="22">
        <f>Table3[[#This Row],[Gross Sales (EUR)]]-Table3[[#This Row],[Total Sales (EUR)]]</f>
        <v>0</v>
      </c>
      <c r="AI106" s="89">
        <f>DATE(Lookups!$O$15,Table3[[#This Row],[Month No]],1)</f>
        <v>45901</v>
      </c>
    </row>
    <row r="107" spans="1:35" x14ac:dyDescent="0.3">
      <c r="A107" s="15">
        <v>106</v>
      </c>
      <c r="B107" s="16" t="s">
        <v>55</v>
      </c>
      <c r="C107" s="16" t="s">
        <v>56</v>
      </c>
      <c r="D107" s="16" t="str">
        <f>TRIM(Table3[[#This Row],[Rep Last Name]])&amp;", "&amp;TRIM(Table3[[#This Row],[Rep First Name]])</f>
        <v>Bernard, Théo</v>
      </c>
      <c r="E107" s="16" t="s">
        <v>72</v>
      </c>
      <c r="F107" s="16" t="s">
        <v>16</v>
      </c>
      <c r="G107" s="16" t="s">
        <v>17</v>
      </c>
      <c r="H107" s="16" t="str">
        <f>IF(Table3[[#This Row],[Min Speed (original, incomplete)]]="",_xlfn.IFNA(_xlfn.XLOOKUP(Table3[[#This Row],[Product Type]],Lookups!$G$2:$G$4,Lookups!$H$2:$H$4),"CHECK PRODUCT"),Table3[[#This Row],[Min Speed (original, incomplete)]])</f>
        <v>15 mph</v>
      </c>
      <c r="I107" s="16" t="s">
        <v>18</v>
      </c>
      <c r="J107" s="16" t="s">
        <v>19</v>
      </c>
      <c r="K107" s="17">
        <f>ROUND(VALUE(SUBSTITUTE(Table3[[#This Row],[Min Speed (mph)]]," mph",""))*Lookups!$L$2,0)</f>
        <v>24</v>
      </c>
      <c r="L107" s="17">
        <f>ROUND(VALUE(SUBSTITUTE(Table3[[#This Row],[Speed]]," mph",""))*Lookups!$L$2,0)</f>
        <v>48</v>
      </c>
      <c r="M107" s="17" t="str">
        <f>Table3[[#This Row],[Min Speed (km/h)]]&amp;" – "&amp;Table3[[#This Row],[Max Speed (km/h)]]&amp;" km/h"</f>
        <v>24 – 48 km/h</v>
      </c>
      <c r="N107" s="18">
        <f>IF(ISNUMBER(SEARCH("mile",Table3[[#This Row],[Distance]])),ROUND(VALUE(SUBSTITUTE(Table3[[#This Row],[Distance]]," miles",""))*Lookups!$L$3,0),ROUND(VALUE(SUBSTITUTE(Table3[[#This Row],[Distance]]," meters",""))*Lookups!$L$4,0))</f>
        <v>48</v>
      </c>
      <c r="O107" s="16" t="s">
        <v>57</v>
      </c>
      <c r="P107" s="16" t="str">
        <f>TRIM(LEFT(Table3[[#This Row],[Shipping Address]],FIND(",",Table3[[#This Row],[Shipping Address]])-1))</f>
        <v>56 Boulevard Saint-Germain</v>
      </c>
      <c r="Q107" s="16" t="str">
        <f>TRIM(MID(Table3[[#This Row],[Shipping Address]],FIND(",",Table3[[#This Row],[Shipping Address]])+1,FIND(",",Table3[[#This Row],[Shipping Address]],FIND(",",Table3[[#This Row],[Shipping Address]])+1)-FIND(",",Table3[[#This Row],[Shipping Address]])-1))</f>
        <v>Paris</v>
      </c>
      <c r="R107" s="16" t="str">
        <f>TRIM(MID(Table3[[#This Row],[Shipping Address]],FIND(",",Table3[[#This Row],[Shipping Address]],FIND(",",Table3[[#This Row],[Shipping Address]])+1)+1,20))</f>
        <v>75005</v>
      </c>
      <c r="S107" s="16" t="s">
        <v>58</v>
      </c>
      <c r="T107" s="16" t="str">
        <f>_xlfn.IFNA(_xlfn.XLOOKUP(Table3[[#This Row],[Country Code]],Lookups!$A$2:$A$5,Lookups!$B$2:$B$5),"CHECK CODE")</f>
        <v>France</v>
      </c>
      <c r="U107" s="16" t="str">
        <f>_xlfn.IFNA(_xlfn.XLOOKUP(Table3[[#This Row],[Country Code]],Lookups!$A$2:$A$5,Lookups!$C$2:$C$5),"CHECK CODE")</f>
        <v>Europe</v>
      </c>
      <c r="V107" s="16" t="s">
        <v>59</v>
      </c>
      <c r="W107" s="16" t="str">
        <f>_xlfn.IFNA(_xlfn.XLOOKUP(Table3[[#This Row],[Country Code]],Lookups!$A$2:$A$5,Lookups!$D$2:$D$5),"CHECK CODE")</f>
        <v>EUR</v>
      </c>
      <c r="X107" s="16">
        <f>VALUE(MID(Table3[[#This Row],[Unit Price]],2,50))</f>
        <v>1100</v>
      </c>
      <c r="Y107" s="19">
        <f>_xlfn.IFNA(_xlfn.XLOOKUP(Table3[[#This Row],[Country Code]],Lookups!$A$2:$A$5,Lookups!$E$2:$E$5),"")</f>
        <v>1</v>
      </c>
      <c r="Z107" s="87">
        <f>Table3[[#This Row],[Unit Price (local)]]/Table3[[#This Row],[FX Rate (per EUR)]]</f>
        <v>1100</v>
      </c>
      <c r="AA107" s="16">
        <v>140</v>
      </c>
      <c r="AB107" s="20">
        <v>0</v>
      </c>
      <c r="AC107" s="21">
        <f>ROUND(Table3[[#This Row],[Unit Price (EUR)]]*Table3[[#This Row],[Units Sold]],0)</f>
        <v>154000</v>
      </c>
      <c r="AD107" s="22">
        <f>ROUND(Table3[[#This Row],[Gross Sales (EUR)]]*(1-Table3[[#This Row],[Discount (%)]]/100),0)</f>
        <v>154000</v>
      </c>
      <c r="AE107" s="22">
        <f>_xlfn.IFNA(_xlfn.XLOOKUP(Table3[[#This Row],[Month]],Lookups!$N$2:$N$13,Lookups!$O$2:$O$13),"CHECK MONTH")</f>
        <v>9</v>
      </c>
      <c r="AF107" s="22" t="str">
        <f>TEXT(Table3[[#This Row],[Month No]],"00")&amp;" - "&amp;Table3[[#This Row],[Month]]</f>
        <v>09 - September</v>
      </c>
      <c r="AG107" s="22" t="str">
        <f>_xlfn.IFNA(_xlfn.XLOOKUP(Table3[[#This Row],[Month]],Lookups!$N$2:$N$13,Lookups!$P$2:$P$13),"CHECK MONTH")</f>
        <v>Q3</v>
      </c>
      <c r="AH107" s="22">
        <f>Table3[[#This Row],[Gross Sales (EUR)]]-Table3[[#This Row],[Total Sales (EUR)]]</f>
        <v>0</v>
      </c>
      <c r="AI107" s="89">
        <f>DATE(Lookups!$O$15,Table3[[#This Row],[Month No]],1)</f>
        <v>45901</v>
      </c>
    </row>
    <row r="108" spans="1:35" x14ac:dyDescent="0.3">
      <c r="A108" s="15">
        <v>107</v>
      </c>
      <c r="B108" s="16" t="s">
        <v>55</v>
      </c>
      <c r="C108" s="16" t="s">
        <v>56</v>
      </c>
      <c r="D108" s="16" t="str">
        <f>TRIM(Table3[[#This Row],[Rep Last Name]])&amp;", "&amp;TRIM(Table3[[#This Row],[Rep First Name]])</f>
        <v>Bernard, Théo</v>
      </c>
      <c r="E108" s="16" t="s">
        <v>72</v>
      </c>
      <c r="F108" s="16" t="s">
        <v>23</v>
      </c>
      <c r="G108" s="16" t="s">
        <v>24</v>
      </c>
      <c r="H108" s="16" t="str">
        <f>IF(Table3[[#This Row],[Min Speed (original, incomplete)]]="",_xlfn.IFNA(_xlfn.XLOOKUP(Table3[[#This Row],[Product Type]],Lookups!$G$2:$G$4,Lookups!$H$2:$H$4),"CHECK PRODUCT"),Table3[[#This Row],[Min Speed (original, incomplete)]])</f>
        <v>20 mph</v>
      </c>
      <c r="I108" s="16" t="s">
        <v>25</v>
      </c>
      <c r="J108" s="16" t="s">
        <v>26</v>
      </c>
      <c r="K108" s="17">
        <f>ROUND(VALUE(SUBSTITUTE(Table3[[#This Row],[Min Speed (mph)]]," mph",""))*Lookups!$L$2,0)</f>
        <v>32</v>
      </c>
      <c r="L108" s="17">
        <f>ROUND(VALUE(SUBSTITUTE(Table3[[#This Row],[Speed]]," mph",""))*Lookups!$L$2,0)</f>
        <v>56</v>
      </c>
      <c r="M108" s="17" t="str">
        <f>Table3[[#This Row],[Min Speed (km/h)]]&amp;" – "&amp;Table3[[#This Row],[Max Speed (km/h)]]&amp;" km/h"</f>
        <v>32 – 56 km/h</v>
      </c>
      <c r="N108" s="18">
        <f>IF(ISNUMBER(SEARCH("mile",Table3[[#This Row],[Distance]])),ROUND(VALUE(SUBSTITUTE(Table3[[#This Row],[Distance]]," miles",""))*Lookups!$L$3,0),ROUND(VALUE(SUBSTITUTE(Table3[[#This Row],[Distance]]," meters",""))*Lookups!$L$4,0))</f>
        <v>64</v>
      </c>
      <c r="O108" s="16" t="s">
        <v>61</v>
      </c>
      <c r="P108" s="16" t="str">
        <f>TRIM(LEFT(Table3[[#This Row],[Shipping Address]],FIND(",",Table3[[#This Row],[Shipping Address]])-1))</f>
        <v>57 Boulevard Saint-Germain</v>
      </c>
      <c r="Q108" s="16" t="str">
        <f>TRIM(MID(Table3[[#This Row],[Shipping Address]],FIND(",",Table3[[#This Row],[Shipping Address]])+1,FIND(",",Table3[[#This Row],[Shipping Address]],FIND(",",Table3[[#This Row],[Shipping Address]])+1)-FIND(",",Table3[[#This Row],[Shipping Address]])-1))</f>
        <v>Paris</v>
      </c>
      <c r="R108" s="16" t="str">
        <f>TRIM(MID(Table3[[#This Row],[Shipping Address]],FIND(",",Table3[[#This Row],[Shipping Address]],FIND(",",Table3[[#This Row],[Shipping Address]])+1)+1,20))</f>
        <v>75005</v>
      </c>
      <c r="S108" s="16" t="s">
        <v>58</v>
      </c>
      <c r="T108" s="16" t="str">
        <f>_xlfn.IFNA(_xlfn.XLOOKUP(Table3[[#This Row],[Country Code]],Lookups!$A$2:$A$5,Lookups!$B$2:$B$5),"CHECK CODE")</f>
        <v>France</v>
      </c>
      <c r="U108" s="16" t="str">
        <f>_xlfn.IFNA(_xlfn.XLOOKUP(Table3[[#This Row],[Country Code]],Lookups!$A$2:$A$5,Lookups!$C$2:$C$5),"CHECK CODE")</f>
        <v>Europe</v>
      </c>
      <c r="V108" s="16" t="s">
        <v>62</v>
      </c>
      <c r="W108" s="16" t="str">
        <f>_xlfn.IFNA(_xlfn.XLOOKUP(Table3[[#This Row],[Country Code]],Lookups!$A$2:$A$5,Lookups!$D$2:$D$5),"CHECK CODE")</f>
        <v>EUR</v>
      </c>
      <c r="X108" s="16">
        <f>VALUE(MID(Table3[[#This Row],[Unit Price]],2,50))</f>
        <v>900</v>
      </c>
      <c r="Y108" s="19">
        <f>_xlfn.IFNA(_xlfn.XLOOKUP(Table3[[#This Row],[Country Code]],Lookups!$A$2:$A$5,Lookups!$E$2:$E$5),"")</f>
        <v>1</v>
      </c>
      <c r="Z108" s="87">
        <f>Table3[[#This Row],[Unit Price (local)]]/Table3[[#This Row],[FX Rate (per EUR)]]</f>
        <v>900</v>
      </c>
      <c r="AA108" s="16">
        <v>310</v>
      </c>
      <c r="AB108" s="20">
        <v>0</v>
      </c>
      <c r="AC108" s="21">
        <f>ROUND(Table3[[#This Row],[Unit Price (EUR)]]*Table3[[#This Row],[Units Sold]],0)</f>
        <v>279000</v>
      </c>
      <c r="AD108" s="22">
        <f>ROUND(Table3[[#This Row],[Gross Sales (EUR)]]*(1-Table3[[#This Row],[Discount (%)]]/100),0)</f>
        <v>279000</v>
      </c>
      <c r="AE108" s="22">
        <f>_xlfn.IFNA(_xlfn.XLOOKUP(Table3[[#This Row],[Month]],Lookups!$N$2:$N$13,Lookups!$O$2:$O$13),"CHECK MONTH")</f>
        <v>9</v>
      </c>
      <c r="AF108" s="22" t="str">
        <f>TEXT(Table3[[#This Row],[Month No]],"00")&amp;" - "&amp;Table3[[#This Row],[Month]]</f>
        <v>09 - September</v>
      </c>
      <c r="AG108" s="22" t="str">
        <f>_xlfn.IFNA(_xlfn.XLOOKUP(Table3[[#This Row],[Month]],Lookups!$N$2:$N$13,Lookups!$P$2:$P$13),"CHECK MONTH")</f>
        <v>Q3</v>
      </c>
      <c r="AH108" s="22">
        <f>Table3[[#This Row],[Gross Sales (EUR)]]-Table3[[#This Row],[Total Sales (EUR)]]</f>
        <v>0</v>
      </c>
      <c r="AI108" s="89">
        <f>DATE(Lookups!$O$15,Table3[[#This Row],[Month No]],1)</f>
        <v>45901</v>
      </c>
    </row>
    <row r="109" spans="1:35" x14ac:dyDescent="0.3">
      <c r="A109" s="15">
        <v>108</v>
      </c>
      <c r="B109" s="16" t="s">
        <v>55</v>
      </c>
      <c r="C109" s="16" t="s">
        <v>56</v>
      </c>
      <c r="D109" s="16" t="str">
        <f>TRIM(Table3[[#This Row],[Rep Last Name]])&amp;", "&amp;TRIM(Table3[[#This Row],[Rep First Name]])</f>
        <v>Bernard, Théo</v>
      </c>
      <c r="E109" s="16" t="s">
        <v>72</v>
      </c>
      <c r="F109" s="16" t="s">
        <v>29</v>
      </c>
      <c r="G109" s="16" t="s">
        <v>30</v>
      </c>
      <c r="H109" s="16" t="str">
        <f>IF(Table3[[#This Row],[Min Speed (original, incomplete)]]="",_xlfn.IFNA(_xlfn.XLOOKUP(Table3[[#This Row],[Product Type]],Lookups!$G$2:$G$4,Lookups!$H$2:$H$4),"CHECK PRODUCT"),Table3[[#This Row],[Min Speed (original, incomplete)]])</f>
        <v>18 mph</v>
      </c>
      <c r="I109" s="16" t="s">
        <v>31</v>
      </c>
      <c r="J109" s="16" t="s">
        <v>32</v>
      </c>
      <c r="K109" s="17">
        <f>ROUND(VALUE(SUBSTITUTE(Table3[[#This Row],[Min Speed (mph)]]," mph",""))*Lookups!$L$2,0)</f>
        <v>29</v>
      </c>
      <c r="L109" s="17">
        <f>ROUND(VALUE(SUBSTITUTE(Table3[[#This Row],[Speed]]," mph",""))*Lookups!$L$2,0)</f>
        <v>45</v>
      </c>
      <c r="M109" s="17" t="str">
        <f>Table3[[#This Row],[Min Speed (km/h)]]&amp;" – "&amp;Table3[[#This Row],[Max Speed (km/h)]]&amp;" km/h"</f>
        <v>29 – 45 km/h</v>
      </c>
      <c r="N109" s="18">
        <f>IF(ISNUMBER(SEARCH("mile",Table3[[#This Row],[Distance]])),ROUND(VALUE(SUBSTITUTE(Table3[[#This Row],[Distance]]," miles",""))*Lookups!$L$3,0),ROUND(VALUE(SUBSTITUTE(Table3[[#This Row],[Distance]]," meters",""))*Lookups!$L$4,0))</f>
        <v>40</v>
      </c>
      <c r="O109" s="16" t="s">
        <v>63</v>
      </c>
      <c r="P109" s="16" t="str">
        <f>TRIM(LEFT(Table3[[#This Row],[Shipping Address]],FIND(",",Table3[[#This Row],[Shipping Address]])-1))</f>
        <v>58 Boulevard Saint-Germain</v>
      </c>
      <c r="Q109" s="16" t="str">
        <f>TRIM(MID(Table3[[#This Row],[Shipping Address]],FIND(",",Table3[[#This Row],[Shipping Address]])+1,FIND(",",Table3[[#This Row],[Shipping Address]],FIND(",",Table3[[#This Row],[Shipping Address]])+1)-FIND(",",Table3[[#This Row],[Shipping Address]])-1))</f>
        <v>Paris</v>
      </c>
      <c r="R109" s="16" t="str">
        <f>TRIM(MID(Table3[[#This Row],[Shipping Address]],FIND(",",Table3[[#This Row],[Shipping Address]],FIND(",",Table3[[#This Row],[Shipping Address]])+1)+1,20))</f>
        <v>75005</v>
      </c>
      <c r="S109" s="16" t="s">
        <v>58</v>
      </c>
      <c r="T109" s="16" t="str">
        <f>_xlfn.IFNA(_xlfn.XLOOKUP(Table3[[#This Row],[Country Code]],Lookups!$A$2:$A$5,Lookups!$B$2:$B$5),"CHECK CODE")</f>
        <v>France</v>
      </c>
      <c r="U109" s="16" t="str">
        <f>_xlfn.IFNA(_xlfn.XLOOKUP(Table3[[#This Row],[Country Code]],Lookups!$A$2:$A$5,Lookups!$C$2:$C$5),"CHECK CODE")</f>
        <v>Europe</v>
      </c>
      <c r="V109" s="16" t="s">
        <v>64</v>
      </c>
      <c r="W109" s="16" t="str">
        <f>_xlfn.IFNA(_xlfn.XLOOKUP(Table3[[#This Row],[Country Code]],Lookups!$A$2:$A$5,Lookups!$D$2:$D$5),"CHECK CODE")</f>
        <v>EUR</v>
      </c>
      <c r="X109" s="16">
        <f>VALUE(MID(Table3[[#This Row],[Unit Price]],2,50))</f>
        <v>1050</v>
      </c>
      <c r="Y109" s="19">
        <f>_xlfn.IFNA(_xlfn.XLOOKUP(Table3[[#This Row],[Country Code]],Lookups!$A$2:$A$5,Lookups!$E$2:$E$5),"")</f>
        <v>1</v>
      </c>
      <c r="Z109" s="87">
        <f>Table3[[#This Row],[Unit Price (local)]]/Table3[[#This Row],[FX Rate (per EUR)]]</f>
        <v>1050</v>
      </c>
      <c r="AA109" s="16">
        <v>280</v>
      </c>
      <c r="AB109" s="20">
        <v>0</v>
      </c>
      <c r="AC109" s="21">
        <f>ROUND(Table3[[#This Row],[Unit Price (EUR)]]*Table3[[#This Row],[Units Sold]],0)</f>
        <v>294000</v>
      </c>
      <c r="AD109" s="22">
        <f>ROUND(Table3[[#This Row],[Gross Sales (EUR)]]*(1-Table3[[#This Row],[Discount (%)]]/100),0)</f>
        <v>294000</v>
      </c>
      <c r="AE109" s="22">
        <f>_xlfn.IFNA(_xlfn.XLOOKUP(Table3[[#This Row],[Month]],Lookups!$N$2:$N$13,Lookups!$O$2:$O$13),"CHECK MONTH")</f>
        <v>9</v>
      </c>
      <c r="AF109" s="22" t="str">
        <f>TEXT(Table3[[#This Row],[Month No]],"00")&amp;" - "&amp;Table3[[#This Row],[Month]]</f>
        <v>09 - September</v>
      </c>
      <c r="AG109" s="22" t="str">
        <f>_xlfn.IFNA(_xlfn.XLOOKUP(Table3[[#This Row],[Month]],Lookups!$N$2:$N$13,Lookups!$P$2:$P$13),"CHECK MONTH")</f>
        <v>Q3</v>
      </c>
      <c r="AH109" s="22">
        <f>Table3[[#This Row],[Gross Sales (EUR)]]-Table3[[#This Row],[Total Sales (EUR)]]</f>
        <v>0</v>
      </c>
      <c r="AI109" s="89">
        <f>DATE(Lookups!$O$15,Table3[[#This Row],[Month No]],1)</f>
        <v>45901</v>
      </c>
    </row>
    <row r="110" spans="1:35" x14ac:dyDescent="0.3">
      <c r="A110" s="15">
        <v>109</v>
      </c>
      <c r="B110" s="16" t="s">
        <v>13</v>
      </c>
      <c r="C110" s="16" t="s">
        <v>14</v>
      </c>
      <c r="D110" s="16" t="str">
        <f>TRIM(Table3[[#This Row],[Rep Last Name]])&amp;", "&amp;TRIM(Table3[[#This Row],[Rep First Name]])</f>
        <v>Joshi, Sanya</v>
      </c>
      <c r="E110" s="16" t="s">
        <v>73</v>
      </c>
      <c r="F110" s="16" t="s">
        <v>16</v>
      </c>
      <c r="G110" s="16" t="s">
        <v>17</v>
      </c>
      <c r="H110" s="16" t="str">
        <f>IF(Table3[[#This Row],[Min Speed (original, incomplete)]]="",_xlfn.IFNA(_xlfn.XLOOKUP(Table3[[#This Row],[Product Type]],Lookups!$G$2:$G$4,Lookups!$H$2:$H$4),"CHECK PRODUCT"),Table3[[#This Row],[Min Speed (original, incomplete)]])</f>
        <v>15 mph</v>
      </c>
      <c r="I110" s="16" t="s">
        <v>18</v>
      </c>
      <c r="J110" s="16" t="s">
        <v>19</v>
      </c>
      <c r="K110" s="17">
        <f>ROUND(VALUE(SUBSTITUTE(Table3[[#This Row],[Min Speed (mph)]]," mph",""))*Lookups!$L$2,0)</f>
        <v>24</v>
      </c>
      <c r="L110" s="17">
        <f>ROUND(VALUE(SUBSTITUTE(Table3[[#This Row],[Speed]]," mph",""))*Lookups!$L$2,0)</f>
        <v>48</v>
      </c>
      <c r="M110" s="17" t="str">
        <f>Table3[[#This Row],[Min Speed (km/h)]]&amp;" – "&amp;Table3[[#This Row],[Max Speed (km/h)]]&amp;" km/h"</f>
        <v>24 – 48 km/h</v>
      </c>
      <c r="N110" s="18">
        <f>IF(ISNUMBER(SEARCH("mile",Table3[[#This Row],[Distance]])),ROUND(VALUE(SUBSTITUTE(Table3[[#This Row],[Distance]]," miles",""))*Lookups!$L$3,0),ROUND(VALUE(SUBSTITUTE(Table3[[#This Row],[Distance]]," meters",""))*Lookups!$L$4,0))</f>
        <v>48</v>
      </c>
      <c r="O110" s="16" t="s">
        <v>20</v>
      </c>
      <c r="P110" s="16" t="str">
        <f>TRIM(LEFT(Table3[[#This Row],[Shipping Address]],FIND(",",Table3[[#This Row],[Shipping Address]])-1))</f>
        <v>456 Brigade Road</v>
      </c>
      <c r="Q110" s="16" t="str">
        <f>TRIM(MID(Table3[[#This Row],[Shipping Address]],FIND(",",Table3[[#This Row],[Shipping Address]])+1,FIND(",",Table3[[#This Row],[Shipping Address]],FIND(",",Table3[[#This Row],[Shipping Address]])+1)-FIND(",",Table3[[#This Row],[Shipping Address]])-1))</f>
        <v>Bengaluru</v>
      </c>
      <c r="R110" s="16" t="str">
        <f>TRIM(MID(Table3[[#This Row],[Shipping Address]],FIND(",",Table3[[#This Row],[Shipping Address]],FIND(",",Table3[[#This Row],[Shipping Address]])+1)+1,20))</f>
        <v>560001</v>
      </c>
      <c r="S110" s="16" t="s">
        <v>21</v>
      </c>
      <c r="T110" s="16" t="str">
        <f>_xlfn.IFNA(_xlfn.XLOOKUP(Table3[[#This Row],[Country Code]],Lookups!$A$2:$A$5,Lookups!$B$2:$B$5),"CHECK CODE")</f>
        <v>India</v>
      </c>
      <c r="U110" s="16" t="str">
        <f>_xlfn.IFNA(_xlfn.XLOOKUP(Table3[[#This Row],[Country Code]],Lookups!$A$2:$A$5,Lookups!$C$2:$C$5),"CHECK CODE")</f>
        <v>Asia</v>
      </c>
      <c r="V110" s="16" t="s">
        <v>22</v>
      </c>
      <c r="W110" s="16" t="str">
        <f>_xlfn.IFNA(_xlfn.XLOOKUP(Table3[[#This Row],[Country Code]],Lookups!$A$2:$A$5,Lookups!$D$2:$D$5),"CHECK CODE")</f>
        <v>INR</v>
      </c>
      <c r="X110" s="16">
        <f>VALUE(MID(Table3[[#This Row],[Unit Price]],2,50))</f>
        <v>30000</v>
      </c>
      <c r="Y110" s="19">
        <f>_xlfn.IFNA(_xlfn.XLOOKUP(Table3[[#This Row],[Country Code]],Lookups!$A$2:$A$5,Lookups!$E$2:$E$5),"")</f>
        <v>109.88200000000001</v>
      </c>
      <c r="Z110" s="87">
        <f>Table3[[#This Row],[Unit Price (local)]]/Table3[[#This Row],[FX Rate (per EUR)]]</f>
        <v>273.02014888698784</v>
      </c>
      <c r="AA110" s="16">
        <v>150</v>
      </c>
      <c r="AB110" s="20">
        <v>0</v>
      </c>
      <c r="AC110" s="21">
        <f>ROUND(Table3[[#This Row],[Unit Price (EUR)]]*Table3[[#This Row],[Units Sold]],0)</f>
        <v>40953</v>
      </c>
      <c r="AD110" s="22">
        <f>ROUND(Table3[[#This Row],[Gross Sales (EUR)]]*(1-Table3[[#This Row],[Discount (%)]]/100),0)</f>
        <v>40953</v>
      </c>
      <c r="AE110" s="22">
        <f>_xlfn.IFNA(_xlfn.XLOOKUP(Table3[[#This Row],[Month]],Lookups!$N$2:$N$13,Lookups!$O$2:$O$13),"CHECK MONTH")</f>
        <v>10</v>
      </c>
      <c r="AF110" s="22" t="str">
        <f>TEXT(Table3[[#This Row],[Month No]],"00")&amp;" - "&amp;Table3[[#This Row],[Month]]</f>
        <v>10 - October</v>
      </c>
      <c r="AG110" s="22" t="str">
        <f>_xlfn.IFNA(_xlfn.XLOOKUP(Table3[[#This Row],[Month]],Lookups!$N$2:$N$13,Lookups!$P$2:$P$13),"CHECK MONTH")</f>
        <v>Q4</v>
      </c>
      <c r="AH110" s="22">
        <f>Table3[[#This Row],[Gross Sales (EUR)]]-Table3[[#This Row],[Total Sales (EUR)]]</f>
        <v>0</v>
      </c>
      <c r="AI110" s="89">
        <f>DATE(Lookups!$O$15,Table3[[#This Row],[Month No]],1)</f>
        <v>45931</v>
      </c>
    </row>
    <row r="111" spans="1:35" x14ac:dyDescent="0.3">
      <c r="A111" s="15">
        <v>110</v>
      </c>
      <c r="B111" s="16" t="s">
        <v>13</v>
      </c>
      <c r="C111" s="16" t="s">
        <v>14</v>
      </c>
      <c r="D111" s="16" t="str">
        <f>TRIM(Table3[[#This Row],[Rep Last Name]])&amp;", "&amp;TRIM(Table3[[#This Row],[Rep First Name]])</f>
        <v>Joshi, Sanya</v>
      </c>
      <c r="E111" s="16" t="s">
        <v>73</v>
      </c>
      <c r="F111" s="16" t="s">
        <v>23</v>
      </c>
      <c r="G111" s="16" t="s">
        <v>24</v>
      </c>
      <c r="H111" s="16" t="str">
        <f>IF(Table3[[#This Row],[Min Speed (original, incomplete)]]="",_xlfn.IFNA(_xlfn.XLOOKUP(Table3[[#This Row],[Product Type]],Lookups!$G$2:$G$4,Lookups!$H$2:$H$4),"CHECK PRODUCT"),Table3[[#This Row],[Min Speed (original, incomplete)]])</f>
        <v>20 mph</v>
      </c>
      <c r="I111" s="16" t="s">
        <v>25</v>
      </c>
      <c r="J111" s="16" t="s">
        <v>26</v>
      </c>
      <c r="K111" s="17">
        <f>ROUND(VALUE(SUBSTITUTE(Table3[[#This Row],[Min Speed (mph)]]," mph",""))*Lookups!$L$2,0)</f>
        <v>32</v>
      </c>
      <c r="L111" s="17">
        <f>ROUND(VALUE(SUBSTITUTE(Table3[[#This Row],[Speed]]," mph",""))*Lookups!$L$2,0)</f>
        <v>56</v>
      </c>
      <c r="M111" s="17" t="str">
        <f>Table3[[#This Row],[Min Speed (km/h)]]&amp;" – "&amp;Table3[[#This Row],[Max Speed (km/h)]]&amp;" km/h"</f>
        <v>32 – 56 km/h</v>
      </c>
      <c r="N111" s="18">
        <f>IF(ISNUMBER(SEARCH("mile",Table3[[#This Row],[Distance]])),ROUND(VALUE(SUBSTITUTE(Table3[[#This Row],[Distance]]," miles",""))*Lookups!$L$3,0),ROUND(VALUE(SUBSTITUTE(Table3[[#This Row],[Distance]]," meters",""))*Lookups!$L$4,0))</f>
        <v>64</v>
      </c>
      <c r="O111" s="16" t="s">
        <v>27</v>
      </c>
      <c r="P111" s="16" t="str">
        <f>TRIM(LEFT(Table3[[#This Row],[Shipping Address]],FIND(",",Table3[[#This Row],[Shipping Address]])-1))</f>
        <v>457 Brigade Road</v>
      </c>
      <c r="Q111" s="16" t="str">
        <f>TRIM(MID(Table3[[#This Row],[Shipping Address]],FIND(",",Table3[[#This Row],[Shipping Address]])+1,FIND(",",Table3[[#This Row],[Shipping Address]],FIND(",",Table3[[#This Row],[Shipping Address]])+1)-FIND(",",Table3[[#This Row],[Shipping Address]])-1))</f>
        <v>Bengaluru</v>
      </c>
      <c r="R111" s="16" t="str">
        <f>TRIM(MID(Table3[[#This Row],[Shipping Address]],FIND(",",Table3[[#This Row],[Shipping Address]],FIND(",",Table3[[#This Row],[Shipping Address]])+1)+1,20))</f>
        <v>560001</v>
      </c>
      <c r="S111" s="16" t="s">
        <v>21</v>
      </c>
      <c r="T111" s="16" t="str">
        <f>_xlfn.IFNA(_xlfn.XLOOKUP(Table3[[#This Row],[Country Code]],Lookups!$A$2:$A$5,Lookups!$B$2:$B$5),"CHECK CODE")</f>
        <v>India</v>
      </c>
      <c r="U111" s="16" t="str">
        <f>_xlfn.IFNA(_xlfn.XLOOKUP(Table3[[#This Row],[Country Code]],Lookups!$A$2:$A$5,Lookups!$C$2:$C$5),"CHECK CODE")</f>
        <v>Asia</v>
      </c>
      <c r="V111" s="16" t="s">
        <v>28</v>
      </c>
      <c r="W111" s="16" t="str">
        <f>_xlfn.IFNA(_xlfn.XLOOKUP(Table3[[#This Row],[Country Code]],Lookups!$A$2:$A$5,Lookups!$D$2:$D$5),"CHECK CODE")</f>
        <v>INR</v>
      </c>
      <c r="X111" s="16">
        <f>VALUE(MID(Table3[[#This Row],[Unit Price]],2,50))</f>
        <v>25000</v>
      </c>
      <c r="Y111" s="19">
        <f>_xlfn.IFNA(_xlfn.XLOOKUP(Table3[[#This Row],[Country Code]],Lookups!$A$2:$A$5,Lookups!$E$2:$E$5),"")</f>
        <v>109.88200000000001</v>
      </c>
      <c r="Z111" s="87">
        <f>Table3[[#This Row],[Unit Price (local)]]/Table3[[#This Row],[FX Rate (per EUR)]]</f>
        <v>227.51679073915653</v>
      </c>
      <c r="AA111" s="16">
        <v>400</v>
      </c>
      <c r="AB111" s="20">
        <v>0</v>
      </c>
      <c r="AC111" s="21">
        <f>ROUND(Table3[[#This Row],[Unit Price (EUR)]]*Table3[[#This Row],[Units Sold]],0)</f>
        <v>91007</v>
      </c>
      <c r="AD111" s="22">
        <f>ROUND(Table3[[#This Row],[Gross Sales (EUR)]]*(1-Table3[[#This Row],[Discount (%)]]/100),0)</f>
        <v>91007</v>
      </c>
      <c r="AE111" s="22">
        <f>_xlfn.IFNA(_xlfn.XLOOKUP(Table3[[#This Row],[Month]],Lookups!$N$2:$N$13,Lookups!$O$2:$O$13),"CHECK MONTH")</f>
        <v>10</v>
      </c>
      <c r="AF111" s="22" t="str">
        <f>TEXT(Table3[[#This Row],[Month No]],"00")&amp;" - "&amp;Table3[[#This Row],[Month]]</f>
        <v>10 - October</v>
      </c>
      <c r="AG111" s="22" t="str">
        <f>_xlfn.IFNA(_xlfn.XLOOKUP(Table3[[#This Row],[Month]],Lookups!$N$2:$N$13,Lookups!$P$2:$P$13),"CHECK MONTH")</f>
        <v>Q4</v>
      </c>
      <c r="AH111" s="22">
        <f>Table3[[#This Row],[Gross Sales (EUR)]]-Table3[[#This Row],[Total Sales (EUR)]]</f>
        <v>0</v>
      </c>
      <c r="AI111" s="89">
        <f>DATE(Lookups!$O$15,Table3[[#This Row],[Month No]],1)</f>
        <v>45931</v>
      </c>
    </row>
    <row r="112" spans="1:35" x14ac:dyDescent="0.3">
      <c r="A112" s="15">
        <v>111</v>
      </c>
      <c r="B112" s="16" t="s">
        <v>13</v>
      </c>
      <c r="C112" s="16" t="s">
        <v>14</v>
      </c>
      <c r="D112" s="16" t="str">
        <f>TRIM(Table3[[#This Row],[Rep Last Name]])&amp;", "&amp;TRIM(Table3[[#This Row],[Rep First Name]])</f>
        <v>Joshi, Sanya</v>
      </c>
      <c r="E112" s="16" t="s">
        <v>73</v>
      </c>
      <c r="F112" s="16" t="s">
        <v>29</v>
      </c>
      <c r="G112" s="16" t="s">
        <v>30</v>
      </c>
      <c r="H112" s="16" t="str">
        <f>IF(Table3[[#This Row],[Min Speed (original, incomplete)]]="",_xlfn.IFNA(_xlfn.XLOOKUP(Table3[[#This Row],[Product Type]],Lookups!$G$2:$G$4,Lookups!$H$2:$H$4),"CHECK PRODUCT"),Table3[[#This Row],[Min Speed (original, incomplete)]])</f>
        <v>18 mph</v>
      </c>
      <c r="I112" s="16" t="s">
        <v>31</v>
      </c>
      <c r="J112" s="16" t="s">
        <v>42</v>
      </c>
      <c r="K112" s="17">
        <f>ROUND(VALUE(SUBSTITUTE(Table3[[#This Row],[Min Speed (mph)]]," mph",""))*Lookups!$L$2,0)</f>
        <v>29</v>
      </c>
      <c r="L112" s="17">
        <f>ROUND(VALUE(SUBSTITUTE(Table3[[#This Row],[Speed]]," mph",""))*Lookups!$L$2,0)</f>
        <v>45</v>
      </c>
      <c r="M112" s="17" t="str">
        <f>Table3[[#This Row],[Min Speed (km/h)]]&amp;" – "&amp;Table3[[#This Row],[Max Speed (km/h)]]&amp;" km/h"</f>
        <v>29 – 45 km/h</v>
      </c>
      <c r="N112" s="18">
        <f>IF(ISNUMBER(SEARCH("mile",Table3[[#This Row],[Distance]])),ROUND(VALUE(SUBSTITUTE(Table3[[#This Row],[Distance]]," miles",""))*Lookups!$L$3,0),ROUND(VALUE(SUBSTITUTE(Table3[[#This Row],[Distance]]," meters",""))*Lookups!$L$4,0))</f>
        <v>40</v>
      </c>
      <c r="O112" s="16" t="s">
        <v>33</v>
      </c>
      <c r="P112" s="16" t="str">
        <f>TRIM(LEFT(Table3[[#This Row],[Shipping Address]],FIND(",",Table3[[#This Row],[Shipping Address]])-1))</f>
        <v>458 Brigade Road</v>
      </c>
      <c r="Q112" s="16" t="str">
        <f>TRIM(MID(Table3[[#This Row],[Shipping Address]],FIND(",",Table3[[#This Row],[Shipping Address]])+1,FIND(",",Table3[[#This Row],[Shipping Address]],FIND(",",Table3[[#This Row],[Shipping Address]])+1)-FIND(",",Table3[[#This Row],[Shipping Address]])-1))</f>
        <v>Bengaluru</v>
      </c>
      <c r="R112" s="16" t="str">
        <f>TRIM(MID(Table3[[#This Row],[Shipping Address]],FIND(",",Table3[[#This Row],[Shipping Address]],FIND(",",Table3[[#This Row],[Shipping Address]])+1)+1,20))</f>
        <v>560001</v>
      </c>
      <c r="S112" s="16" t="s">
        <v>21</v>
      </c>
      <c r="T112" s="16" t="str">
        <f>_xlfn.IFNA(_xlfn.XLOOKUP(Table3[[#This Row],[Country Code]],Lookups!$A$2:$A$5,Lookups!$B$2:$B$5),"CHECK CODE")</f>
        <v>India</v>
      </c>
      <c r="U112" s="16" t="str">
        <f>_xlfn.IFNA(_xlfn.XLOOKUP(Table3[[#This Row],[Country Code]],Lookups!$A$2:$A$5,Lookups!$C$2:$C$5),"CHECK CODE")</f>
        <v>Asia</v>
      </c>
      <c r="V112" s="16" t="s">
        <v>34</v>
      </c>
      <c r="W112" s="16" t="str">
        <f>_xlfn.IFNA(_xlfn.XLOOKUP(Table3[[#This Row],[Country Code]],Lookups!$A$2:$A$5,Lookups!$D$2:$D$5),"CHECK CODE")</f>
        <v>INR</v>
      </c>
      <c r="X112" s="16">
        <f>VALUE(MID(Table3[[#This Row],[Unit Price]],2,50))</f>
        <v>22000</v>
      </c>
      <c r="Y112" s="19">
        <f>_xlfn.IFNA(_xlfn.XLOOKUP(Table3[[#This Row],[Country Code]],Lookups!$A$2:$A$5,Lookups!$E$2:$E$5),"")</f>
        <v>109.88200000000001</v>
      </c>
      <c r="Z112" s="87">
        <f>Table3[[#This Row],[Unit Price (local)]]/Table3[[#This Row],[FX Rate (per EUR)]]</f>
        <v>200.21477585045776</v>
      </c>
      <c r="AA112" s="16">
        <v>280</v>
      </c>
      <c r="AB112" s="20">
        <v>0</v>
      </c>
      <c r="AC112" s="21">
        <f>ROUND(Table3[[#This Row],[Unit Price (EUR)]]*Table3[[#This Row],[Units Sold]],0)</f>
        <v>56060</v>
      </c>
      <c r="AD112" s="22">
        <f>ROUND(Table3[[#This Row],[Gross Sales (EUR)]]*(1-Table3[[#This Row],[Discount (%)]]/100),0)</f>
        <v>56060</v>
      </c>
      <c r="AE112" s="22">
        <f>_xlfn.IFNA(_xlfn.XLOOKUP(Table3[[#This Row],[Month]],Lookups!$N$2:$N$13,Lookups!$O$2:$O$13),"CHECK MONTH")</f>
        <v>10</v>
      </c>
      <c r="AF112" s="22" t="str">
        <f>TEXT(Table3[[#This Row],[Month No]],"00")&amp;" - "&amp;Table3[[#This Row],[Month]]</f>
        <v>10 - October</v>
      </c>
      <c r="AG112" s="22" t="str">
        <f>_xlfn.IFNA(_xlfn.XLOOKUP(Table3[[#This Row],[Month]],Lookups!$N$2:$N$13,Lookups!$P$2:$P$13),"CHECK MONTH")</f>
        <v>Q4</v>
      </c>
      <c r="AH112" s="22">
        <f>Table3[[#This Row],[Gross Sales (EUR)]]-Table3[[#This Row],[Total Sales (EUR)]]</f>
        <v>0</v>
      </c>
      <c r="AI112" s="89">
        <f>DATE(Lookups!$O$15,Table3[[#This Row],[Month No]],1)</f>
        <v>45931</v>
      </c>
    </row>
    <row r="113" spans="1:35" x14ac:dyDescent="0.3">
      <c r="A113" s="15">
        <v>112</v>
      </c>
      <c r="B113" s="16" t="s">
        <v>35</v>
      </c>
      <c r="C113" s="16" t="s">
        <v>36</v>
      </c>
      <c r="D113" s="16" t="str">
        <f>TRIM(Table3[[#This Row],[Rep Last Name]])&amp;", "&amp;TRIM(Table3[[#This Row],[Rep First Name]])</f>
        <v>Liu, Fang</v>
      </c>
      <c r="E113" s="16" t="s">
        <v>73</v>
      </c>
      <c r="F113" s="16" t="s">
        <v>16</v>
      </c>
      <c r="G113" s="16" t="s">
        <v>17</v>
      </c>
      <c r="H113" s="16" t="str">
        <f>IF(Table3[[#This Row],[Min Speed (original, incomplete)]]="",_xlfn.IFNA(_xlfn.XLOOKUP(Table3[[#This Row],[Product Type]],Lookups!$G$2:$G$4,Lookups!$H$2:$H$4),"CHECK PRODUCT"),Table3[[#This Row],[Min Speed (original, incomplete)]])</f>
        <v>15 mph</v>
      </c>
      <c r="I113" s="16" t="s">
        <v>18</v>
      </c>
      <c r="J113" s="16" t="s">
        <v>19</v>
      </c>
      <c r="K113" s="17">
        <f>ROUND(VALUE(SUBSTITUTE(Table3[[#This Row],[Min Speed (mph)]]," mph",""))*Lookups!$L$2,0)</f>
        <v>24</v>
      </c>
      <c r="L113" s="17">
        <f>ROUND(VALUE(SUBSTITUTE(Table3[[#This Row],[Speed]]," mph",""))*Lookups!$L$2,0)</f>
        <v>48</v>
      </c>
      <c r="M113" s="17" t="str">
        <f>Table3[[#This Row],[Min Speed (km/h)]]&amp;" – "&amp;Table3[[#This Row],[Max Speed (km/h)]]&amp;" km/h"</f>
        <v>24 – 48 km/h</v>
      </c>
      <c r="N113" s="18">
        <f>IF(ISNUMBER(SEARCH("mile",Table3[[#This Row],[Distance]])),ROUND(VALUE(SUBSTITUTE(Table3[[#This Row],[Distance]]," miles",""))*Lookups!$L$3,0),ROUND(VALUE(SUBSTITUTE(Table3[[#This Row],[Distance]]," meters",""))*Lookups!$L$4,0))</f>
        <v>48</v>
      </c>
      <c r="O113" s="16" t="s">
        <v>37</v>
      </c>
      <c r="P113" s="16" t="str">
        <f>TRIM(LEFT(Table3[[#This Row],[Shipping Address]],FIND(",",Table3[[#This Row],[Shipping Address]])-1))</f>
        <v>99 Nanjing Road</v>
      </c>
      <c r="Q113" s="16" t="str">
        <f>TRIM(MID(Table3[[#This Row],[Shipping Address]],FIND(",",Table3[[#This Row],[Shipping Address]])+1,FIND(",",Table3[[#This Row],[Shipping Address]],FIND(",",Table3[[#This Row],[Shipping Address]])+1)-FIND(",",Table3[[#This Row],[Shipping Address]])-1))</f>
        <v>Shanghai</v>
      </c>
      <c r="R113" s="16" t="str">
        <f>TRIM(MID(Table3[[#This Row],[Shipping Address]],FIND(",",Table3[[#This Row],[Shipping Address]],FIND(",",Table3[[#This Row],[Shipping Address]])+1)+1,20))</f>
        <v>200001</v>
      </c>
      <c r="S113" s="16" t="s">
        <v>38</v>
      </c>
      <c r="T113" s="16" t="str">
        <f>_xlfn.IFNA(_xlfn.XLOOKUP(Table3[[#This Row],[Country Code]],Lookups!$A$2:$A$5,Lookups!$B$2:$B$5),"CHECK CODE")</f>
        <v>China</v>
      </c>
      <c r="U113" s="16" t="str">
        <f>_xlfn.IFNA(_xlfn.XLOOKUP(Table3[[#This Row],[Country Code]],Lookups!$A$2:$A$5,Lookups!$C$2:$C$5),"CHECK CODE")</f>
        <v>Asia</v>
      </c>
      <c r="V113" s="16" t="s">
        <v>39</v>
      </c>
      <c r="W113" s="16" t="str">
        <f>_xlfn.IFNA(_xlfn.XLOOKUP(Table3[[#This Row],[Country Code]],Lookups!$A$2:$A$5,Lookups!$D$2:$D$5),"CHECK CODE")</f>
        <v>CNY</v>
      </c>
      <c r="X113" s="16">
        <f>VALUE(MID(Table3[[#This Row],[Unit Price]],2,50))</f>
        <v>5000</v>
      </c>
      <c r="Y113" s="19">
        <f>_xlfn.IFNA(_xlfn.XLOOKUP(Table3[[#This Row],[Country Code]],Lookups!$A$2:$A$5,Lookups!$E$2:$E$5),"")</f>
        <v>7.7255000000000003</v>
      </c>
      <c r="Z113" s="87">
        <f>Table3[[#This Row],[Unit Price (local)]]/Table3[[#This Row],[FX Rate (per EUR)]]</f>
        <v>647.20730049834958</v>
      </c>
      <c r="AA113" s="16">
        <v>550</v>
      </c>
      <c r="AB113" s="20">
        <v>0</v>
      </c>
      <c r="AC113" s="21">
        <f>ROUND(Table3[[#This Row],[Unit Price (EUR)]]*Table3[[#This Row],[Units Sold]],0)</f>
        <v>355964</v>
      </c>
      <c r="AD113" s="22">
        <f>ROUND(Table3[[#This Row],[Gross Sales (EUR)]]*(1-Table3[[#This Row],[Discount (%)]]/100),0)</f>
        <v>355964</v>
      </c>
      <c r="AE113" s="22">
        <f>_xlfn.IFNA(_xlfn.XLOOKUP(Table3[[#This Row],[Month]],Lookups!$N$2:$N$13,Lookups!$O$2:$O$13),"CHECK MONTH")</f>
        <v>10</v>
      </c>
      <c r="AF113" s="22" t="str">
        <f>TEXT(Table3[[#This Row],[Month No]],"00")&amp;" - "&amp;Table3[[#This Row],[Month]]</f>
        <v>10 - October</v>
      </c>
      <c r="AG113" s="22" t="str">
        <f>_xlfn.IFNA(_xlfn.XLOOKUP(Table3[[#This Row],[Month]],Lookups!$N$2:$N$13,Lookups!$P$2:$P$13),"CHECK MONTH")</f>
        <v>Q4</v>
      </c>
      <c r="AH113" s="22">
        <f>Table3[[#This Row],[Gross Sales (EUR)]]-Table3[[#This Row],[Total Sales (EUR)]]</f>
        <v>0</v>
      </c>
      <c r="AI113" s="89">
        <f>DATE(Lookups!$O$15,Table3[[#This Row],[Month No]],1)</f>
        <v>45931</v>
      </c>
    </row>
    <row r="114" spans="1:35" x14ac:dyDescent="0.3">
      <c r="A114" s="15">
        <v>113</v>
      </c>
      <c r="B114" s="16" t="s">
        <v>35</v>
      </c>
      <c r="C114" s="16" t="s">
        <v>36</v>
      </c>
      <c r="D114" s="16" t="str">
        <f>TRIM(Table3[[#This Row],[Rep Last Name]])&amp;", "&amp;TRIM(Table3[[#This Row],[Rep First Name]])</f>
        <v>Liu, Fang</v>
      </c>
      <c r="E114" s="16" t="s">
        <v>73</v>
      </c>
      <c r="F114" s="16" t="s">
        <v>23</v>
      </c>
      <c r="G114" s="16" t="s">
        <v>24</v>
      </c>
      <c r="H114" s="16" t="str">
        <f>IF(Table3[[#This Row],[Min Speed (original, incomplete)]]="",_xlfn.IFNA(_xlfn.XLOOKUP(Table3[[#This Row],[Product Type]],Lookups!$G$2:$G$4,Lookups!$H$2:$H$4),"CHECK PRODUCT"),Table3[[#This Row],[Min Speed (original, incomplete)]])</f>
        <v>20 mph</v>
      </c>
      <c r="I114" s="16" t="s">
        <v>25</v>
      </c>
      <c r="J114" s="16" t="s">
        <v>26</v>
      </c>
      <c r="K114" s="17">
        <f>ROUND(VALUE(SUBSTITUTE(Table3[[#This Row],[Min Speed (mph)]]," mph",""))*Lookups!$L$2,0)</f>
        <v>32</v>
      </c>
      <c r="L114" s="17">
        <f>ROUND(VALUE(SUBSTITUTE(Table3[[#This Row],[Speed]]," mph",""))*Lookups!$L$2,0)</f>
        <v>56</v>
      </c>
      <c r="M114" s="17" t="str">
        <f>Table3[[#This Row],[Min Speed (km/h)]]&amp;" – "&amp;Table3[[#This Row],[Max Speed (km/h)]]&amp;" km/h"</f>
        <v>32 – 56 km/h</v>
      </c>
      <c r="N114" s="18">
        <f>IF(ISNUMBER(SEARCH("mile",Table3[[#This Row],[Distance]])),ROUND(VALUE(SUBSTITUTE(Table3[[#This Row],[Distance]]," miles",""))*Lookups!$L$3,0),ROUND(VALUE(SUBSTITUTE(Table3[[#This Row],[Distance]]," meters",""))*Lookups!$L$4,0))</f>
        <v>64</v>
      </c>
      <c r="O114" s="16" t="s">
        <v>40</v>
      </c>
      <c r="P114" s="16" t="str">
        <f>TRIM(LEFT(Table3[[#This Row],[Shipping Address]],FIND(",",Table3[[#This Row],[Shipping Address]])-1))</f>
        <v>100 Nanjing Road</v>
      </c>
      <c r="Q114" s="16" t="str">
        <f>TRIM(MID(Table3[[#This Row],[Shipping Address]],FIND(",",Table3[[#This Row],[Shipping Address]])+1,FIND(",",Table3[[#This Row],[Shipping Address]],FIND(",",Table3[[#This Row],[Shipping Address]])+1)-FIND(",",Table3[[#This Row],[Shipping Address]])-1))</f>
        <v>Shanghai</v>
      </c>
      <c r="R114" s="16" t="str">
        <f>TRIM(MID(Table3[[#This Row],[Shipping Address]],FIND(",",Table3[[#This Row],[Shipping Address]],FIND(",",Table3[[#This Row],[Shipping Address]])+1)+1,20))</f>
        <v>200001</v>
      </c>
      <c r="S114" s="16" t="s">
        <v>38</v>
      </c>
      <c r="T114" s="16" t="str">
        <f>_xlfn.IFNA(_xlfn.XLOOKUP(Table3[[#This Row],[Country Code]],Lookups!$A$2:$A$5,Lookups!$B$2:$B$5),"CHECK CODE")</f>
        <v>China</v>
      </c>
      <c r="U114" s="16" t="str">
        <f>_xlfn.IFNA(_xlfn.XLOOKUP(Table3[[#This Row],[Country Code]],Lookups!$A$2:$A$5,Lookups!$C$2:$C$5),"CHECK CODE")</f>
        <v>Asia</v>
      </c>
      <c r="V114" s="16" t="s">
        <v>41</v>
      </c>
      <c r="W114" s="16" t="str">
        <f>_xlfn.IFNA(_xlfn.XLOOKUP(Table3[[#This Row],[Country Code]],Lookups!$A$2:$A$5,Lookups!$D$2:$D$5),"CHECK CODE")</f>
        <v>CNY</v>
      </c>
      <c r="X114" s="16">
        <f>VALUE(MID(Table3[[#This Row],[Unit Price]],2,50))</f>
        <v>3500</v>
      </c>
      <c r="Y114" s="19">
        <f>_xlfn.IFNA(_xlfn.XLOOKUP(Table3[[#This Row],[Country Code]],Lookups!$A$2:$A$5,Lookups!$E$2:$E$5),"")</f>
        <v>7.7255000000000003</v>
      </c>
      <c r="Z114" s="87">
        <f>Table3[[#This Row],[Unit Price (local)]]/Table3[[#This Row],[FX Rate (per EUR)]]</f>
        <v>453.04511034884473</v>
      </c>
      <c r="AA114" s="16">
        <v>1300</v>
      </c>
      <c r="AB114" s="20">
        <v>0</v>
      </c>
      <c r="AC114" s="21">
        <f>ROUND(Table3[[#This Row],[Unit Price (EUR)]]*Table3[[#This Row],[Units Sold]],0)</f>
        <v>588959</v>
      </c>
      <c r="AD114" s="22">
        <f>ROUND(Table3[[#This Row],[Gross Sales (EUR)]]*(1-Table3[[#This Row],[Discount (%)]]/100),0)</f>
        <v>588959</v>
      </c>
      <c r="AE114" s="22">
        <f>_xlfn.IFNA(_xlfn.XLOOKUP(Table3[[#This Row],[Month]],Lookups!$N$2:$N$13,Lookups!$O$2:$O$13),"CHECK MONTH")</f>
        <v>10</v>
      </c>
      <c r="AF114" s="22" t="str">
        <f>TEXT(Table3[[#This Row],[Month No]],"00")&amp;" - "&amp;Table3[[#This Row],[Month]]</f>
        <v>10 - October</v>
      </c>
      <c r="AG114" s="22" t="str">
        <f>_xlfn.IFNA(_xlfn.XLOOKUP(Table3[[#This Row],[Month]],Lookups!$N$2:$N$13,Lookups!$P$2:$P$13),"CHECK MONTH")</f>
        <v>Q4</v>
      </c>
      <c r="AH114" s="22">
        <f>Table3[[#This Row],[Gross Sales (EUR)]]-Table3[[#This Row],[Total Sales (EUR)]]</f>
        <v>0</v>
      </c>
      <c r="AI114" s="89">
        <f>DATE(Lookups!$O$15,Table3[[#This Row],[Month No]],1)</f>
        <v>45931</v>
      </c>
    </row>
    <row r="115" spans="1:35" x14ac:dyDescent="0.3">
      <c r="A115" s="15">
        <v>114</v>
      </c>
      <c r="B115" s="16" t="s">
        <v>35</v>
      </c>
      <c r="C115" s="16" t="s">
        <v>36</v>
      </c>
      <c r="D115" s="16" t="str">
        <f>TRIM(Table3[[#This Row],[Rep Last Name]])&amp;", "&amp;TRIM(Table3[[#This Row],[Rep First Name]])</f>
        <v>Liu, Fang</v>
      </c>
      <c r="E115" s="16" t="s">
        <v>73</v>
      </c>
      <c r="F115" s="16" t="s">
        <v>29</v>
      </c>
      <c r="G115" s="16" t="s">
        <v>30</v>
      </c>
      <c r="H115" s="16" t="str">
        <f>IF(Table3[[#This Row],[Min Speed (original, incomplete)]]="",_xlfn.IFNA(_xlfn.XLOOKUP(Table3[[#This Row],[Product Type]],Lookups!$G$2:$G$4,Lookups!$H$2:$H$4),"CHECK PRODUCT"),Table3[[#This Row],[Min Speed (original, incomplete)]])</f>
        <v>18 mph</v>
      </c>
      <c r="I115" s="16" t="s">
        <v>31</v>
      </c>
      <c r="J115" s="16" t="s">
        <v>32</v>
      </c>
      <c r="K115" s="17">
        <f>ROUND(VALUE(SUBSTITUTE(Table3[[#This Row],[Min Speed (mph)]]," mph",""))*Lookups!$L$2,0)</f>
        <v>29</v>
      </c>
      <c r="L115" s="17">
        <f>ROUND(VALUE(SUBSTITUTE(Table3[[#This Row],[Speed]]," mph",""))*Lookups!$L$2,0)</f>
        <v>45</v>
      </c>
      <c r="M115" s="17" t="str">
        <f>Table3[[#This Row],[Min Speed (km/h)]]&amp;" – "&amp;Table3[[#This Row],[Max Speed (km/h)]]&amp;" km/h"</f>
        <v>29 – 45 km/h</v>
      </c>
      <c r="N115" s="18">
        <f>IF(ISNUMBER(SEARCH("mile",Table3[[#This Row],[Distance]])),ROUND(VALUE(SUBSTITUTE(Table3[[#This Row],[Distance]]," miles",""))*Lookups!$L$3,0),ROUND(VALUE(SUBSTITUTE(Table3[[#This Row],[Distance]]," meters",""))*Lookups!$L$4,0))</f>
        <v>40</v>
      </c>
      <c r="O115" s="16" t="s">
        <v>43</v>
      </c>
      <c r="P115" s="16" t="str">
        <f>TRIM(LEFT(Table3[[#This Row],[Shipping Address]],FIND(",",Table3[[#This Row],[Shipping Address]])-1))</f>
        <v>101 Nanjing Road</v>
      </c>
      <c r="Q115" s="16" t="str">
        <f>TRIM(MID(Table3[[#This Row],[Shipping Address]],FIND(",",Table3[[#This Row],[Shipping Address]])+1,FIND(",",Table3[[#This Row],[Shipping Address]],FIND(",",Table3[[#This Row],[Shipping Address]])+1)-FIND(",",Table3[[#This Row],[Shipping Address]])-1))</f>
        <v>Shanghai</v>
      </c>
      <c r="R115" s="16" t="str">
        <f>TRIM(MID(Table3[[#This Row],[Shipping Address]],FIND(",",Table3[[#This Row],[Shipping Address]],FIND(",",Table3[[#This Row],[Shipping Address]])+1)+1,20))</f>
        <v>200001</v>
      </c>
      <c r="S115" s="16" t="s">
        <v>38</v>
      </c>
      <c r="T115" s="16" t="str">
        <f>_xlfn.IFNA(_xlfn.XLOOKUP(Table3[[#This Row],[Country Code]],Lookups!$A$2:$A$5,Lookups!$B$2:$B$5),"CHECK CODE")</f>
        <v>China</v>
      </c>
      <c r="U115" s="16" t="str">
        <f>_xlfn.IFNA(_xlfn.XLOOKUP(Table3[[#This Row],[Country Code]],Lookups!$A$2:$A$5,Lookups!$C$2:$C$5),"CHECK CODE")</f>
        <v>Asia</v>
      </c>
      <c r="V115" s="16" t="s">
        <v>44</v>
      </c>
      <c r="W115" s="16" t="str">
        <f>_xlfn.IFNA(_xlfn.XLOOKUP(Table3[[#This Row],[Country Code]],Lookups!$A$2:$A$5,Lookups!$D$2:$D$5),"CHECK CODE")</f>
        <v>CNY</v>
      </c>
      <c r="X115" s="16">
        <f>VALUE(MID(Table3[[#This Row],[Unit Price]],2,50))</f>
        <v>4200</v>
      </c>
      <c r="Y115" s="19">
        <f>_xlfn.IFNA(_xlfn.XLOOKUP(Table3[[#This Row],[Country Code]],Lookups!$A$2:$A$5,Lookups!$E$2:$E$5),"")</f>
        <v>7.7255000000000003</v>
      </c>
      <c r="Z115" s="87">
        <f>Table3[[#This Row],[Unit Price (local)]]/Table3[[#This Row],[FX Rate (per EUR)]]</f>
        <v>543.6541324186137</v>
      </c>
      <c r="AA115" s="16">
        <v>750</v>
      </c>
      <c r="AB115" s="20">
        <v>0</v>
      </c>
      <c r="AC115" s="21">
        <f>ROUND(Table3[[#This Row],[Unit Price (EUR)]]*Table3[[#This Row],[Units Sold]],0)</f>
        <v>407741</v>
      </c>
      <c r="AD115" s="22">
        <f>ROUND(Table3[[#This Row],[Gross Sales (EUR)]]*(1-Table3[[#This Row],[Discount (%)]]/100),0)</f>
        <v>407741</v>
      </c>
      <c r="AE115" s="22">
        <f>_xlfn.IFNA(_xlfn.XLOOKUP(Table3[[#This Row],[Month]],Lookups!$N$2:$N$13,Lookups!$O$2:$O$13),"CHECK MONTH")</f>
        <v>10</v>
      </c>
      <c r="AF115" s="22" t="str">
        <f>TEXT(Table3[[#This Row],[Month No]],"00")&amp;" - "&amp;Table3[[#This Row],[Month]]</f>
        <v>10 - October</v>
      </c>
      <c r="AG115" s="22" t="str">
        <f>_xlfn.IFNA(_xlfn.XLOOKUP(Table3[[#This Row],[Month]],Lookups!$N$2:$N$13,Lookups!$P$2:$P$13),"CHECK MONTH")</f>
        <v>Q4</v>
      </c>
      <c r="AH115" s="22">
        <f>Table3[[#This Row],[Gross Sales (EUR)]]-Table3[[#This Row],[Total Sales (EUR)]]</f>
        <v>0</v>
      </c>
      <c r="AI115" s="89">
        <f>DATE(Lookups!$O$15,Table3[[#This Row],[Month No]],1)</f>
        <v>45931</v>
      </c>
    </row>
    <row r="116" spans="1:35" x14ac:dyDescent="0.3">
      <c r="A116" s="15">
        <v>115</v>
      </c>
      <c r="B116" s="16" t="s">
        <v>45</v>
      </c>
      <c r="C116" s="16" t="s">
        <v>46</v>
      </c>
      <c r="D116" s="16" t="str">
        <f>TRIM(Table3[[#This Row],[Rep Last Name]])&amp;", "&amp;TRIM(Table3[[#This Row],[Rep First Name]])</f>
        <v>Fischer, Jonas</v>
      </c>
      <c r="E116" s="16" t="s">
        <v>73</v>
      </c>
      <c r="F116" s="16" t="s">
        <v>16</v>
      </c>
      <c r="G116" s="16" t="s">
        <v>17</v>
      </c>
      <c r="H116" s="16" t="str">
        <f>IF(Table3[[#This Row],[Min Speed (original, incomplete)]]="",_xlfn.IFNA(_xlfn.XLOOKUP(Table3[[#This Row],[Product Type]],Lookups!$G$2:$G$4,Lookups!$H$2:$H$4),"CHECK PRODUCT"),Table3[[#This Row],[Min Speed (original, incomplete)]])</f>
        <v>15 mph</v>
      </c>
      <c r="I116" s="16" t="s">
        <v>18</v>
      </c>
      <c r="J116" s="16" t="s">
        <v>19</v>
      </c>
      <c r="K116" s="17">
        <f>ROUND(VALUE(SUBSTITUTE(Table3[[#This Row],[Min Speed (mph)]]," mph",""))*Lookups!$L$2,0)</f>
        <v>24</v>
      </c>
      <c r="L116" s="17">
        <f>ROUND(VALUE(SUBSTITUTE(Table3[[#This Row],[Speed]]," mph",""))*Lookups!$L$2,0)</f>
        <v>48</v>
      </c>
      <c r="M116" s="17" t="str">
        <f>Table3[[#This Row],[Min Speed (km/h)]]&amp;" – "&amp;Table3[[#This Row],[Max Speed (km/h)]]&amp;" km/h"</f>
        <v>24 – 48 km/h</v>
      </c>
      <c r="N116" s="18">
        <f>IF(ISNUMBER(SEARCH("mile",Table3[[#This Row],[Distance]])),ROUND(VALUE(SUBSTITUTE(Table3[[#This Row],[Distance]]," miles",""))*Lookups!$L$3,0),ROUND(VALUE(SUBSTITUTE(Table3[[#This Row],[Distance]]," meters",""))*Lookups!$L$4,0))</f>
        <v>48</v>
      </c>
      <c r="O116" s="16" t="s">
        <v>48</v>
      </c>
      <c r="P116" s="16" t="str">
        <f>TRIM(LEFT(Table3[[#This Row],[Shipping Address]],FIND(",",Table3[[#This Row],[Shipping Address]])-1))</f>
        <v>303 Ringstraße</v>
      </c>
      <c r="Q116" s="16" t="str">
        <f>TRIM(MID(Table3[[#This Row],[Shipping Address]],FIND(",",Table3[[#This Row],[Shipping Address]])+1,FIND(",",Table3[[#This Row],[Shipping Address]],FIND(",",Table3[[#This Row],[Shipping Address]])+1)-FIND(",",Table3[[#This Row],[Shipping Address]])-1))</f>
        <v>Hamburg</v>
      </c>
      <c r="R116" s="16" t="str">
        <f>TRIM(MID(Table3[[#This Row],[Shipping Address]],FIND(",",Table3[[#This Row],[Shipping Address]],FIND(",",Table3[[#This Row],[Shipping Address]])+1)+1,20))</f>
        <v>20095</v>
      </c>
      <c r="S116" s="16" t="s">
        <v>49</v>
      </c>
      <c r="T116" s="16" t="str">
        <f>_xlfn.IFNA(_xlfn.XLOOKUP(Table3[[#This Row],[Country Code]],Lookups!$A$2:$A$5,Lookups!$B$2:$B$5),"CHECK CODE")</f>
        <v>Germany</v>
      </c>
      <c r="U116" s="16" t="str">
        <f>_xlfn.IFNA(_xlfn.XLOOKUP(Table3[[#This Row],[Country Code]],Lookups!$A$2:$A$5,Lookups!$C$2:$C$5),"CHECK CODE")</f>
        <v>Europe</v>
      </c>
      <c r="V116" s="16" t="s">
        <v>50</v>
      </c>
      <c r="W116" s="16" t="str">
        <f>_xlfn.IFNA(_xlfn.XLOOKUP(Table3[[#This Row],[Country Code]],Lookups!$A$2:$A$5,Lookups!$D$2:$D$5),"CHECK CODE")</f>
        <v>EUR</v>
      </c>
      <c r="X116" s="16">
        <f>VALUE(MID(Table3[[#This Row],[Unit Price]],2,50))</f>
        <v>1000</v>
      </c>
      <c r="Y116" s="19">
        <f>_xlfn.IFNA(_xlfn.XLOOKUP(Table3[[#This Row],[Country Code]],Lookups!$A$2:$A$5,Lookups!$E$2:$E$5),"")</f>
        <v>1</v>
      </c>
      <c r="Z116" s="87">
        <f>Table3[[#This Row],[Unit Price (local)]]/Table3[[#This Row],[FX Rate (per EUR)]]</f>
        <v>1000</v>
      </c>
      <c r="AA116" s="16">
        <v>140</v>
      </c>
      <c r="AB116" s="20">
        <v>0</v>
      </c>
      <c r="AC116" s="21">
        <f>ROUND(Table3[[#This Row],[Unit Price (EUR)]]*Table3[[#This Row],[Units Sold]],0)</f>
        <v>140000</v>
      </c>
      <c r="AD116" s="22">
        <f>ROUND(Table3[[#This Row],[Gross Sales (EUR)]]*(1-Table3[[#This Row],[Discount (%)]]/100),0)</f>
        <v>140000</v>
      </c>
      <c r="AE116" s="22">
        <f>_xlfn.IFNA(_xlfn.XLOOKUP(Table3[[#This Row],[Month]],Lookups!$N$2:$N$13,Lookups!$O$2:$O$13),"CHECK MONTH")</f>
        <v>10</v>
      </c>
      <c r="AF116" s="22" t="str">
        <f>TEXT(Table3[[#This Row],[Month No]],"00")&amp;" - "&amp;Table3[[#This Row],[Month]]</f>
        <v>10 - October</v>
      </c>
      <c r="AG116" s="22" t="str">
        <f>_xlfn.IFNA(_xlfn.XLOOKUP(Table3[[#This Row],[Month]],Lookups!$N$2:$N$13,Lookups!$P$2:$P$13),"CHECK MONTH")</f>
        <v>Q4</v>
      </c>
      <c r="AH116" s="22">
        <f>Table3[[#This Row],[Gross Sales (EUR)]]-Table3[[#This Row],[Total Sales (EUR)]]</f>
        <v>0</v>
      </c>
      <c r="AI116" s="89">
        <f>DATE(Lookups!$O$15,Table3[[#This Row],[Month No]],1)</f>
        <v>45931</v>
      </c>
    </row>
    <row r="117" spans="1:35" x14ac:dyDescent="0.3">
      <c r="A117" s="15">
        <v>116</v>
      </c>
      <c r="B117" s="16" t="s">
        <v>45</v>
      </c>
      <c r="C117" s="16" t="s">
        <v>46</v>
      </c>
      <c r="D117" s="16" t="str">
        <f>TRIM(Table3[[#This Row],[Rep Last Name]])&amp;", "&amp;TRIM(Table3[[#This Row],[Rep First Name]])</f>
        <v>Fischer, Jonas</v>
      </c>
      <c r="E117" s="16" t="s">
        <v>73</v>
      </c>
      <c r="F117" s="16" t="s">
        <v>23</v>
      </c>
      <c r="G117" s="23"/>
      <c r="H117" s="16" t="str">
        <f>IF(Table3[[#This Row],[Min Speed (original, incomplete)]]="",_xlfn.IFNA(_xlfn.XLOOKUP(Table3[[#This Row],[Product Type]],Lookups!$G$2:$G$4,Lookups!$H$2:$H$4),"CHECK PRODUCT"),Table3[[#This Row],[Min Speed (original, incomplete)]])</f>
        <v>20 mph</v>
      </c>
      <c r="I117" s="16" t="s">
        <v>25</v>
      </c>
      <c r="J117" s="16" t="s">
        <v>26</v>
      </c>
      <c r="K117" s="17">
        <f>ROUND(VALUE(SUBSTITUTE(Table3[[#This Row],[Min Speed (mph)]]," mph",""))*Lookups!$L$2,0)</f>
        <v>32</v>
      </c>
      <c r="L117" s="17">
        <f>ROUND(VALUE(SUBSTITUTE(Table3[[#This Row],[Speed]]," mph",""))*Lookups!$L$2,0)</f>
        <v>56</v>
      </c>
      <c r="M117" s="17" t="str">
        <f>Table3[[#This Row],[Min Speed (km/h)]]&amp;" – "&amp;Table3[[#This Row],[Max Speed (km/h)]]&amp;" km/h"</f>
        <v>32 – 56 km/h</v>
      </c>
      <c r="N117" s="18">
        <f>IF(ISNUMBER(SEARCH("mile",Table3[[#This Row],[Distance]])),ROUND(VALUE(SUBSTITUTE(Table3[[#This Row],[Distance]]," miles",""))*Lookups!$L$3,0),ROUND(VALUE(SUBSTITUTE(Table3[[#This Row],[Distance]]," meters",""))*Lookups!$L$4,0))</f>
        <v>64</v>
      </c>
      <c r="O117" s="16" t="s">
        <v>51</v>
      </c>
      <c r="P117" s="16" t="str">
        <f>TRIM(LEFT(Table3[[#This Row],[Shipping Address]],FIND(",",Table3[[#This Row],[Shipping Address]])-1))</f>
        <v>304 Ringstraße</v>
      </c>
      <c r="Q117" s="16" t="str">
        <f>TRIM(MID(Table3[[#This Row],[Shipping Address]],FIND(",",Table3[[#This Row],[Shipping Address]])+1,FIND(",",Table3[[#This Row],[Shipping Address]],FIND(",",Table3[[#This Row],[Shipping Address]])+1)-FIND(",",Table3[[#This Row],[Shipping Address]])-1))</f>
        <v>Hamburg</v>
      </c>
      <c r="R117" s="16" t="str">
        <f>TRIM(MID(Table3[[#This Row],[Shipping Address]],FIND(",",Table3[[#This Row],[Shipping Address]],FIND(",",Table3[[#This Row],[Shipping Address]])+1)+1,20))</f>
        <v>20095</v>
      </c>
      <c r="S117" s="16" t="s">
        <v>49</v>
      </c>
      <c r="T117" s="16" t="str">
        <f>_xlfn.IFNA(_xlfn.XLOOKUP(Table3[[#This Row],[Country Code]],Lookups!$A$2:$A$5,Lookups!$B$2:$B$5),"CHECK CODE")</f>
        <v>Germany</v>
      </c>
      <c r="U117" s="16" t="str">
        <f>_xlfn.IFNA(_xlfn.XLOOKUP(Table3[[#This Row],[Country Code]],Lookups!$A$2:$A$5,Lookups!$C$2:$C$5),"CHECK CODE")</f>
        <v>Europe</v>
      </c>
      <c r="V117" s="16" t="s">
        <v>52</v>
      </c>
      <c r="W117" s="16" t="str">
        <f>_xlfn.IFNA(_xlfn.XLOOKUP(Table3[[#This Row],[Country Code]],Lookups!$A$2:$A$5,Lookups!$D$2:$D$5),"CHECK CODE")</f>
        <v>EUR</v>
      </c>
      <c r="X117" s="16">
        <f>VALUE(MID(Table3[[#This Row],[Unit Price]],2,50))</f>
        <v>800</v>
      </c>
      <c r="Y117" s="19">
        <f>_xlfn.IFNA(_xlfn.XLOOKUP(Table3[[#This Row],[Country Code]],Lookups!$A$2:$A$5,Lookups!$E$2:$E$5),"")</f>
        <v>1</v>
      </c>
      <c r="Z117" s="87">
        <f>Table3[[#This Row],[Unit Price (local)]]/Table3[[#This Row],[FX Rate (per EUR)]]</f>
        <v>800</v>
      </c>
      <c r="AA117" s="16">
        <v>300</v>
      </c>
      <c r="AB117" s="20">
        <v>0</v>
      </c>
      <c r="AC117" s="21">
        <f>ROUND(Table3[[#This Row],[Unit Price (EUR)]]*Table3[[#This Row],[Units Sold]],0)</f>
        <v>240000</v>
      </c>
      <c r="AD117" s="22">
        <f>ROUND(Table3[[#This Row],[Gross Sales (EUR)]]*(1-Table3[[#This Row],[Discount (%)]]/100),0)</f>
        <v>240000</v>
      </c>
      <c r="AE117" s="22">
        <f>_xlfn.IFNA(_xlfn.XLOOKUP(Table3[[#This Row],[Month]],Lookups!$N$2:$N$13,Lookups!$O$2:$O$13),"CHECK MONTH")</f>
        <v>10</v>
      </c>
      <c r="AF117" s="22" t="str">
        <f>TEXT(Table3[[#This Row],[Month No]],"00")&amp;" - "&amp;Table3[[#This Row],[Month]]</f>
        <v>10 - October</v>
      </c>
      <c r="AG117" s="22" t="str">
        <f>_xlfn.IFNA(_xlfn.XLOOKUP(Table3[[#This Row],[Month]],Lookups!$N$2:$N$13,Lookups!$P$2:$P$13),"CHECK MONTH")</f>
        <v>Q4</v>
      </c>
      <c r="AH117" s="22">
        <f>Table3[[#This Row],[Gross Sales (EUR)]]-Table3[[#This Row],[Total Sales (EUR)]]</f>
        <v>0</v>
      </c>
      <c r="AI117" s="89">
        <f>DATE(Lookups!$O$15,Table3[[#This Row],[Month No]],1)</f>
        <v>45931</v>
      </c>
    </row>
    <row r="118" spans="1:35" x14ac:dyDescent="0.3">
      <c r="A118" s="15">
        <v>117</v>
      </c>
      <c r="B118" s="16" t="s">
        <v>45</v>
      </c>
      <c r="C118" s="16" t="s">
        <v>46</v>
      </c>
      <c r="D118" s="16" t="str">
        <f>TRIM(Table3[[#This Row],[Rep Last Name]])&amp;", "&amp;TRIM(Table3[[#This Row],[Rep First Name]])</f>
        <v>Fischer, Jonas</v>
      </c>
      <c r="E118" s="16" t="s">
        <v>73</v>
      </c>
      <c r="F118" s="16" t="s">
        <v>29</v>
      </c>
      <c r="G118" s="16" t="s">
        <v>30</v>
      </c>
      <c r="H118" s="16" t="str">
        <f>IF(Table3[[#This Row],[Min Speed (original, incomplete)]]="",_xlfn.IFNA(_xlfn.XLOOKUP(Table3[[#This Row],[Product Type]],Lookups!$G$2:$G$4,Lookups!$H$2:$H$4),"CHECK PRODUCT"),Table3[[#This Row],[Min Speed (original, incomplete)]])</f>
        <v>18 mph</v>
      </c>
      <c r="I118" s="16" t="s">
        <v>31</v>
      </c>
      <c r="J118" s="16" t="s">
        <v>32</v>
      </c>
      <c r="K118" s="17">
        <f>ROUND(VALUE(SUBSTITUTE(Table3[[#This Row],[Min Speed (mph)]]," mph",""))*Lookups!$L$2,0)</f>
        <v>29</v>
      </c>
      <c r="L118" s="17">
        <f>ROUND(VALUE(SUBSTITUTE(Table3[[#This Row],[Speed]]," mph",""))*Lookups!$L$2,0)</f>
        <v>45</v>
      </c>
      <c r="M118" s="17" t="str">
        <f>Table3[[#This Row],[Min Speed (km/h)]]&amp;" – "&amp;Table3[[#This Row],[Max Speed (km/h)]]&amp;" km/h"</f>
        <v>29 – 45 km/h</v>
      </c>
      <c r="N118" s="18">
        <f>IF(ISNUMBER(SEARCH("mile",Table3[[#This Row],[Distance]])),ROUND(VALUE(SUBSTITUTE(Table3[[#This Row],[Distance]]," miles",""))*Lookups!$L$3,0),ROUND(VALUE(SUBSTITUTE(Table3[[#This Row],[Distance]]," meters",""))*Lookups!$L$4,0))</f>
        <v>40</v>
      </c>
      <c r="O118" s="16" t="s">
        <v>53</v>
      </c>
      <c r="P118" s="16" t="str">
        <f>TRIM(LEFT(Table3[[#This Row],[Shipping Address]],FIND(",",Table3[[#This Row],[Shipping Address]])-1))</f>
        <v>305 Ringstraße</v>
      </c>
      <c r="Q118" s="16" t="str">
        <f>TRIM(MID(Table3[[#This Row],[Shipping Address]],FIND(",",Table3[[#This Row],[Shipping Address]])+1,FIND(",",Table3[[#This Row],[Shipping Address]],FIND(",",Table3[[#This Row],[Shipping Address]])+1)-FIND(",",Table3[[#This Row],[Shipping Address]])-1))</f>
        <v>Hamburg</v>
      </c>
      <c r="R118" s="16" t="str">
        <f>TRIM(MID(Table3[[#This Row],[Shipping Address]],FIND(",",Table3[[#This Row],[Shipping Address]],FIND(",",Table3[[#This Row],[Shipping Address]])+1)+1,20))</f>
        <v>20095</v>
      </c>
      <c r="S118" s="16" t="s">
        <v>49</v>
      </c>
      <c r="T118" s="16" t="str">
        <f>_xlfn.IFNA(_xlfn.XLOOKUP(Table3[[#This Row],[Country Code]],Lookups!$A$2:$A$5,Lookups!$B$2:$B$5),"CHECK CODE")</f>
        <v>Germany</v>
      </c>
      <c r="U118" s="16" t="str">
        <f>_xlfn.IFNA(_xlfn.XLOOKUP(Table3[[#This Row],[Country Code]],Lookups!$A$2:$A$5,Lookups!$C$2:$C$5),"CHECK CODE")</f>
        <v>Europe</v>
      </c>
      <c r="V118" s="16" t="s">
        <v>54</v>
      </c>
      <c r="W118" s="16" t="str">
        <f>_xlfn.IFNA(_xlfn.XLOOKUP(Table3[[#This Row],[Country Code]],Lookups!$A$2:$A$5,Lookups!$D$2:$D$5),"CHECK CODE")</f>
        <v>EUR</v>
      </c>
      <c r="X118" s="16">
        <f>VALUE(MID(Table3[[#This Row],[Unit Price]],2,50))</f>
        <v>950</v>
      </c>
      <c r="Y118" s="19">
        <f>_xlfn.IFNA(_xlfn.XLOOKUP(Table3[[#This Row],[Country Code]],Lookups!$A$2:$A$5,Lookups!$E$2:$E$5),"")</f>
        <v>1</v>
      </c>
      <c r="Z118" s="87">
        <f>Table3[[#This Row],[Unit Price (local)]]/Table3[[#This Row],[FX Rate (per EUR)]]</f>
        <v>950</v>
      </c>
      <c r="AA118" s="16">
        <v>220</v>
      </c>
      <c r="AB118" s="20">
        <v>0</v>
      </c>
      <c r="AC118" s="21">
        <f>ROUND(Table3[[#This Row],[Unit Price (EUR)]]*Table3[[#This Row],[Units Sold]],0)</f>
        <v>209000</v>
      </c>
      <c r="AD118" s="22">
        <f>ROUND(Table3[[#This Row],[Gross Sales (EUR)]]*(1-Table3[[#This Row],[Discount (%)]]/100),0)</f>
        <v>209000</v>
      </c>
      <c r="AE118" s="22">
        <f>_xlfn.IFNA(_xlfn.XLOOKUP(Table3[[#This Row],[Month]],Lookups!$N$2:$N$13,Lookups!$O$2:$O$13),"CHECK MONTH")</f>
        <v>10</v>
      </c>
      <c r="AF118" s="22" t="str">
        <f>TEXT(Table3[[#This Row],[Month No]],"00")&amp;" - "&amp;Table3[[#This Row],[Month]]</f>
        <v>10 - October</v>
      </c>
      <c r="AG118" s="22" t="str">
        <f>_xlfn.IFNA(_xlfn.XLOOKUP(Table3[[#This Row],[Month]],Lookups!$N$2:$N$13,Lookups!$P$2:$P$13),"CHECK MONTH")</f>
        <v>Q4</v>
      </c>
      <c r="AH118" s="22">
        <f>Table3[[#This Row],[Gross Sales (EUR)]]-Table3[[#This Row],[Total Sales (EUR)]]</f>
        <v>0</v>
      </c>
      <c r="AI118" s="89">
        <f>DATE(Lookups!$O$15,Table3[[#This Row],[Month No]],1)</f>
        <v>45931</v>
      </c>
    </row>
    <row r="119" spans="1:35" x14ac:dyDescent="0.3">
      <c r="A119" s="15">
        <v>118</v>
      </c>
      <c r="B119" s="16" t="s">
        <v>55</v>
      </c>
      <c r="C119" s="16" t="s">
        <v>56</v>
      </c>
      <c r="D119" s="16" t="str">
        <f>TRIM(Table3[[#This Row],[Rep Last Name]])&amp;", "&amp;TRIM(Table3[[#This Row],[Rep First Name]])</f>
        <v>Bernard, Théo</v>
      </c>
      <c r="E119" s="16" t="s">
        <v>73</v>
      </c>
      <c r="F119" s="16" t="s">
        <v>16</v>
      </c>
      <c r="G119" s="16" t="s">
        <v>17</v>
      </c>
      <c r="H119" s="16" t="str">
        <f>IF(Table3[[#This Row],[Min Speed (original, incomplete)]]="",_xlfn.IFNA(_xlfn.XLOOKUP(Table3[[#This Row],[Product Type]],Lookups!$G$2:$G$4,Lookups!$H$2:$H$4),"CHECK PRODUCT"),Table3[[#This Row],[Min Speed (original, incomplete)]])</f>
        <v>15 mph</v>
      </c>
      <c r="I119" s="16" t="s">
        <v>18</v>
      </c>
      <c r="J119" s="16" t="s">
        <v>19</v>
      </c>
      <c r="K119" s="17">
        <f>ROUND(VALUE(SUBSTITUTE(Table3[[#This Row],[Min Speed (mph)]]," mph",""))*Lookups!$L$2,0)</f>
        <v>24</v>
      </c>
      <c r="L119" s="17">
        <f>ROUND(VALUE(SUBSTITUTE(Table3[[#This Row],[Speed]]," mph",""))*Lookups!$L$2,0)</f>
        <v>48</v>
      </c>
      <c r="M119" s="17" t="str">
        <f>Table3[[#This Row],[Min Speed (km/h)]]&amp;" – "&amp;Table3[[#This Row],[Max Speed (km/h)]]&amp;" km/h"</f>
        <v>24 – 48 km/h</v>
      </c>
      <c r="N119" s="18">
        <f>IF(ISNUMBER(SEARCH("mile",Table3[[#This Row],[Distance]])),ROUND(VALUE(SUBSTITUTE(Table3[[#This Row],[Distance]]," miles",""))*Lookups!$L$3,0),ROUND(VALUE(SUBSTITUTE(Table3[[#This Row],[Distance]]," meters",""))*Lookups!$L$4,0))</f>
        <v>48</v>
      </c>
      <c r="O119" s="16" t="s">
        <v>57</v>
      </c>
      <c r="P119" s="16" t="str">
        <f>TRIM(LEFT(Table3[[#This Row],[Shipping Address]],FIND(",",Table3[[#This Row],[Shipping Address]])-1))</f>
        <v>56 Boulevard Saint-Germain</v>
      </c>
      <c r="Q119" s="16" t="str">
        <f>TRIM(MID(Table3[[#This Row],[Shipping Address]],FIND(",",Table3[[#This Row],[Shipping Address]])+1,FIND(",",Table3[[#This Row],[Shipping Address]],FIND(",",Table3[[#This Row],[Shipping Address]])+1)-FIND(",",Table3[[#This Row],[Shipping Address]])-1))</f>
        <v>Paris</v>
      </c>
      <c r="R119" s="16" t="str">
        <f>TRIM(MID(Table3[[#This Row],[Shipping Address]],FIND(",",Table3[[#This Row],[Shipping Address]],FIND(",",Table3[[#This Row],[Shipping Address]])+1)+1,20))</f>
        <v>75005</v>
      </c>
      <c r="S119" s="16" t="s">
        <v>58</v>
      </c>
      <c r="T119" s="16" t="str">
        <f>_xlfn.IFNA(_xlfn.XLOOKUP(Table3[[#This Row],[Country Code]],Lookups!$A$2:$A$5,Lookups!$B$2:$B$5),"CHECK CODE")</f>
        <v>France</v>
      </c>
      <c r="U119" s="16" t="str">
        <f>_xlfn.IFNA(_xlfn.XLOOKUP(Table3[[#This Row],[Country Code]],Lookups!$A$2:$A$5,Lookups!$C$2:$C$5),"CHECK CODE")</f>
        <v>Europe</v>
      </c>
      <c r="V119" s="16" t="s">
        <v>59</v>
      </c>
      <c r="W119" s="16" t="str">
        <f>_xlfn.IFNA(_xlfn.XLOOKUP(Table3[[#This Row],[Country Code]],Lookups!$A$2:$A$5,Lookups!$D$2:$D$5),"CHECK CODE")</f>
        <v>EUR</v>
      </c>
      <c r="X119" s="16">
        <f>VALUE(MID(Table3[[#This Row],[Unit Price]],2,50))</f>
        <v>1100</v>
      </c>
      <c r="Y119" s="19">
        <f>_xlfn.IFNA(_xlfn.XLOOKUP(Table3[[#This Row],[Country Code]],Lookups!$A$2:$A$5,Lookups!$E$2:$E$5),"")</f>
        <v>1</v>
      </c>
      <c r="Z119" s="87">
        <f>Table3[[#This Row],[Unit Price (local)]]/Table3[[#This Row],[FX Rate (per EUR)]]</f>
        <v>1100</v>
      </c>
      <c r="AA119" s="16">
        <v>130</v>
      </c>
      <c r="AB119" s="20">
        <v>0</v>
      </c>
      <c r="AC119" s="21">
        <f>ROUND(Table3[[#This Row],[Unit Price (EUR)]]*Table3[[#This Row],[Units Sold]],0)</f>
        <v>143000</v>
      </c>
      <c r="AD119" s="22">
        <f>ROUND(Table3[[#This Row],[Gross Sales (EUR)]]*(1-Table3[[#This Row],[Discount (%)]]/100),0)</f>
        <v>143000</v>
      </c>
      <c r="AE119" s="22">
        <f>_xlfn.IFNA(_xlfn.XLOOKUP(Table3[[#This Row],[Month]],Lookups!$N$2:$N$13,Lookups!$O$2:$O$13),"CHECK MONTH")</f>
        <v>10</v>
      </c>
      <c r="AF119" s="22" t="str">
        <f>TEXT(Table3[[#This Row],[Month No]],"00")&amp;" - "&amp;Table3[[#This Row],[Month]]</f>
        <v>10 - October</v>
      </c>
      <c r="AG119" s="22" t="str">
        <f>_xlfn.IFNA(_xlfn.XLOOKUP(Table3[[#This Row],[Month]],Lookups!$N$2:$N$13,Lookups!$P$2:$P$13),"CHECK MONTH")</f>
        <v>Q4</v>
      </c>
      <c r="AH119" s="22">
        <f>Table3[[#This Row],[Gross Sales (EUR)]]-Table3[[#This Row],[Total Sales (EUR)]]</f>
        <v>0</v>
      </c>
      <c r="AI119" s="89">
        <f>DATE(Lookups!$O$15,Table3[[#This Row],[Month No]],1)</f>
        <v>45931</v>
      </c>
    </row>
    <row r="120" spans="1:35" x14ac:dyDescent="0.3">
      <c r="A120" s="15">
        <v>119</v>
      </c>
      <c r="B120" s="16" t="s">
        <v>55</v>
      </c>
      <c r="C120" s="16" t="s">
        <v>56</v>
      </c>
      <c r="D120" s="16" t="str">
        <f>TRIM(Table3[[#This Row],[Rep Last Name]])&amp;", "&amp;TRIM(Table3[[#This Row],[Rep First Name]])</f>
        <v>Bernard, Théo</v>
      </c>
      <c r="E120" s="16" t="s">
        <v>73</v>
      </c>
      <c r="F120" s="16" t="s">
        <v>23</v>
      </c>
      <c r="G120" s="16" t="s">
        <v>24</v>
      </c>
      <c r="H120" s="16" t="str">
        <f>IF(Table3[[#This Row],[Min Speed (original, incomplete)]]="",_xlfn.IFNA(_xlfn.XLOOKUP(Table3[[#This Row],[Product Type]],Lookups!$G$2:$G$4,Lookups!$H$2:$H$4),"CHECK PRODUCT"),Table3[[#This Row],[Min Speed (original, incomplete)]])</f>
        <v>20 mph</v>
      </c>
      <c r="I120" s="16" t="s">
        <v>25</v>
      </c>
      <c r="J120" s="16" t="s">
        <v>26</v>
      </c>
      <c r="K120" s="17">
        <f>ROUND(VALUE(SUBSTITUTE(Table3[[#This Row],[Min Speed (mph)]]," mph",""))*Lookups!$L$2,0)</f>
        <v>32</v>
      </c>
      <c r="L120" s="17">
        <f>ROUND(VALUE(SUBSTITUTE(Table3[[#This Row],[Speed]]," mph",""))*Lookups!$L$2,0)</f>
        <v>56</v>
      </c>
      <c r="M120" s="17" t="str">
        <f>Table3[[#This Row],[Min Speed (km/h)]]&amp;" – "&amp;Table3[[#This Row],[Max Speed (km/h)]]&amp;" km/h"</f>
        <v>32 – 56 km/h</v>
      </c>
      <c r="N120" s="18">
        <f>IF(ISNUMBER(SEARCH("mile",Table3[[#This Row],[Distance]])),ROUND(VALUE(SUBSTITUTE(Table3[[#This Row],[Distance]]," miles",""))*Lookups!$L$3,0),ROUND(VALUE(SUBSTITUTE(Table3[[#This Row],[Distance]]," meters",""))*Lookups!$L$4,0))</f>
        <v>64</v>
      </c>
      <c r="O120" s="16" t="s">
        <v>61</v>
      </c>
      <c r="P120" s="16" t="str">
        <f>TRIM(LEFT(Table3[[#This Row],[Shipping Address]],FIND(",",Table3[[#This Row],[Shipping Address]])-1))</f>
        <v>57 Boulevard Saint-Germain</v>
      </c>
      <c r="Q120" s="16" t="str">
        <f>TRIM(MID(Table3[[#This Row],[Shipping Address]],FIND(",",Table3[[#This Row],[Shipping Address]])+1,FIND(",",Table3[[#This Row],[Shipping Address]],FIND(",",Table3[[#This Row],[Shipping Address]])+1)-FIND(",",Table3[[#This Row],[Shipping Address]])-1))</f>
        <v>Paris</v>
      </c>
      <c r="R120" s="16" t="str">
        <f>TRIM(MID(Table3[[#This Row],[Shipping Address]],FIND(",",Table3[[#This Row],[Shipping Address]],FIND(",",Table3[[#This Row],[Shipping Address]])+1)+1,20))</f>
        <v>75005</v>
      </c>
      <c r="S120" s="16" t="s">
        <v>58</v>
      </c>
      <c r="T120" s="16" t="str">
        <f>_xlfn.IFNA(_xlfn.XLOOKUP(Table3[[#This Row],[Country Code]],Lookups!$A$2:$A$5,Lookups!$B$2:$B$5),"CHECK CODE")</f>
        <v>France</v>
      </c>
      <c r="U120" s="16" t="str">
        <f>_xlfn.IFNA(_xlfn.XLOOKUP(Table3[[#This Row],[Country Code]],Lookups!$A$2:$A$5,Lookups!$C$2:$C$5),"CHECK CODE")</f>
        <v>Europe</v>
      </c>
      <c r="V120" s="16" t="s">
        <v>62</v>
      </c>
      <c r="W120" s="16" t="str">
        <f>_xlfn.IFNA(_xlfn.XLOOKUP(Table3[[#This Row],[Country Code]],Lookups!$A$2:$A$5,Lookups!$D$2:$D$5),"CHECK CODE")</f>
        <v>EUR</v>
      </c>
      <c r="X120" s="16">
        <f>VALUE(MID(Table3[[#This Row],[Unit Price]],2,50))</f>
        <v>900</v>
      </c>
      <c r="Y120" s="19">
        <f>_xlfn.IFNA(_xlfn.XLOOKUP(Table3[[#This Row],[Country Code]],Lookups!$A$2:$A$5,Lookups!$E$2:$E$5),"")</f>
        <v>1</v>
      </c>
      <c r="Z120" s="87">
        <f>Table3[[#This Row],[Unit Price (local)]]/Table3[[#This Row],[FX Rate (per EUR)]]</f>
        <v>900</v>
      </c>
      <c r="AA120" s="16">
        <v>290</v>
      </c>
      <c r="AB120" s="20">
        <v>0</v>
      </c>
      <c r="AC120" s="21">
        <f>ROUND(Table3[[#This Row],[Unit Price (EUR)]]*Table3[[#This Row],[Units Sold]],0)</f>
        <v>261000</v>
      </c>
      <c r="AD120" s="22">
        <f>ROUND(Table3[[#This Row],[Gross Sales (EUR)]]*(1-Table3[[#This Row],[Discount (%)]]/100),0)</f>
        <v>261000</v>
      </c>
      <c r="AE120" s="22">
        <f>_xlfn.IFNA(_xlfn.XLOOKUP(Table3[[#This Row],[Month]],Lookups!$N$2:$N$13,Lookups!$O$2:$O$13),"CHECK MONTH")</f>
        <v>10</v>
      </c>
      <c r="AF120" s="22" t="str">
        <f>TEXT(Table3[[#This Row],[Month No]],"00")&amp;" - "&amp;Table3[[#This Row],[Month]]</f>
        <v>10 - October</v>
      </c>
      <c r="AG120" s="22" t="str">
        <f>_xlfn.IFNA(_xlfn.XLOOKUP(Table3[[#This Row],[Month]],Lookups!$N$2:$N$13,Lookups!$P$2:$P$13),"CHECK MONTH")</f>
        <v>Q4</v>
      </c>
      <c r="AH120" s="22">
        <f>Table3[[#This Row],[Gross Sales (EUR)]]-Table3[[#This Row],[Total Sales (EUR)]]</f>
        <v>0</v>
      </c>
      <c r="AI120" s="89">
        <f>DATE(Lookups!$O$15,Table3[[#This Row],[Month No]],1)</f>
        <v>45931</v>
      </c>
    </row>
    <row r="121" spans="1:35" x14ac:dyDescent="0.3">
      <c r="A121" s="15">
        <v>120</v>
      </c>
      <c r="B121" s="16" t="s">
        <v>55</v>
      </c>
      <c r="C121" s="16" t="s">
        <v>56</v>
      </c>
      <c r="D121" s="16" t="str">
        <f>TRIM(Table3[[#This Row],[Rep Last Name]])&amp;", "&amp;TRIM(Table3[[#This Row],[Rep First Name]])</f>
        <v>Bernard, Théo</v>
      </c>
      <c r="E121" s="16" t="s">
        <v>73</v>
      </c>
      <c r="F121" s="16" t="s">
        <v>29</v>
      </c>
      <c r="G121" s="16" t="s">
        <v>30</v>
      </c>
      <c r="H121" s="16" t="str">
        <f>IF(Table3[[#This Row],[Min Speed (original, incomplete)]]="",_xlfn.IFNA(_xlfn.XLOOKUP(Table3[[#This Row],[Product Type]],Lookups!$G$2:$G$4,Lookups!$H$2:$H$4),"CHECK PRODUCT"),Table3[[#This Row],[Min Speed (original, incomplete)]])</f>
        <v>18 mph</v>
      </c>
      <c r="I121" s="16" t="s">
        <v>31</v>
      </c>
      <c r="J121" s="16" t="s">
        <v>32</v>
      </c>
      <c r="K121" s="17">
        <f>ROUND(VALUE(SUBSTITUTE(Table3[[#This Row],[Min Speed (mph)]]," mph",""))*Lookups!$L$2,0)</f>
        <v>29</v>
      </c>
      <c r="L121" s="17">
        <f>ROUND(VALUE(SUBSTITUTE(Table3[[#This Row],[Speed]]," mph",""))*Lookups!$L$2,0)</f>
        <v>45</v>
      </c>
      <c r="M121" s="17" t="str">
        <f>Table3[[#This Row],[Min Speed (km/h)]]&amp;" – "&amp;Table3[[#This Row],[Max Speed (km/h)]]&amp;" km/h"</f>
        <v>29 – 45 km/h</v>
      </c>
      <c r="N121" s="18">
        <f>IF(ISNUMBER(SEARCH("mile",Table3[[#This Row],[Distance]])),ROUND(VALUE(SUBSTITUTE(Table3[[#This Row],[Distance]]," miles",""))*Lookups!$L$3,0),ROUND(VALUE(SUBSTITUTE(Table3[[#This Row],[Distance]]," meters",""))*Lookups!$L$4,0))</f>
        <v>40</v>
      </c>
      <c r="O121" s="16" t="s">
        <v>63</v>
      </c>
      <c r="P121" s="16" t="str">
        <f>TRIM(LEFT(Table3[[#This Row],[Shipping Address]],FIND(",",Table3[[#This Row],[Shipping Address]])-1))</f>
        <v>58 Boulevard Saint-Germain</v>
      </c>
      <c r="Q121" s="16" t="str">
        <f>TRIM(MID(Table3[[#This Row],[Shipping Address]],FIND(",",Table3[[#This Row],[Shipping Address]])+1,FIND(",",Table3[[#This Row],[Shipping Address]],FIND(",",Table3[[#This Row],[Shipping Address]])+1)-FIND(",",Table3[[#This Row],[Shipping Address]])-1))</f>
        <v>Paris</v>
      </c>
      <c r="R121" s="16" t="str">
        <f>TRIM(MID(Table3[[#This Row],[Shipping Address]],FIND(",",Table3[[#This Row],[Shipping Address]],FIND(",",Table3[[#This Row],[Shipping Address]])+1)+1,20))</f>
        <v>75005</v>
      </c>
      <c r="S121" s="16" t="s">
        <v>58</v>
      </c>
      <c r="T121" s="16" t="str">
        <f>_xlfn.IFNA(_xlfn.XLOOKUP(Table3[[#This Row],[Country Code]],Lookups!$A$2:$A$5,Lookups!$B$2:$B$5),"CHECK CODE")</f>
        <v>France</v>
      </c>
      <c r="U121" s="16" t="str">
        <f>_xlfn.IFNA(_xlfn.XLOOKUP(Table3[[#This Row],[Country Code]],Lookups!$A$2:$A$5,Lookups!$C$2:$C$5),"CHECK CODE")</f>
        <v>Europe</v>
      </c>
      <c r="V121" s="16" t="s">
        <v>64</v>
      </c>
      <c r="W121" s="16" t="str">
        <f>_xlfn.IFNA(_xlfn.XLOOKUP(Table3[[#This Row],[Country Code]],Lookups!$A$2:$A$5,Lookups!$D$2:$D$5),"CHECK CODE")</f>
        <v>EUR</v>
      </c>
      <c r="X121" s="16">
        <f>VALUE(MID(Table3[[#This Row],[Unit Price]],2,50))</f>
        <v>1050</v>
      </c>
      <c r="Y121" s="19">
        <f>_xlfn.IFNA(_xlfn.XLOOKUP(Table3[[#This Row],[Country Code]],Lookups!$A$2:$A$5,Lookups!$E$2:$E$5),"")</f>
        <v>1</v>
      </c>
      <c r="Z121" s="87">
        <f>Table3[[#This Row],[Unit Price (local)]]/Table3[[#This Row],[FX Rate (per EUR)]]</f>
        <v>1050</v>
      </c>
      <c r="AA121" s="16">
        <v>270</v>
      </c>
      <c r="AB121" s="20">
        <v>0</v>
      </c>
      <c r="AC121" s="21">
        <f>ROUND(Table3[[#This Row],[Unit Price (EUR)]]*Table3[[#This Row],[Units Sold]],0)</f>
        <v>283500</v>
      </c>
      <c r="AD121" s="22">
        <f>ROUND(Table3[[#This Row],[Gross Sales (EUR)]]*(1-Table3[[#This Row],[Discount (%)]]/100),0)</f>
        <v>283500</v>
      </c>
      <c r="AE121" s="22">
        <f>_xlfn.IFNA(_xlfn.XLOOKUP(Table3[[#This Row],[Month]],Lookups!$N$2:$N$13,Lookups!$O$2:$O$13),"CHECK MONTH")</f>
        <v>10</v>
      </c>
      <c r="AF121" s="22" t="str">
        <f>TEXT(Table3[[#This Row],[Month No]],"00")&amp;" - "&amp;Table3[[#This Row],[Month]]</f>
        <v>10 - October</v>
      </c>
      <c r="AG121" s="22" t="str">
        <f>_xlfn.IFNA(_xlfn.XLOOKUP(Table3[[#This Row],[Month]],Lookups!$N$2:$N$13,Lookups!$P$2:$P$13),"CHECK MONTH")</f>
        <v>Q4</v>
      </c>
      <c r="AH121" s="22">
        <f>Table3[[#This Row],[Gross Sales (EUR)]]-Table3[[#This Row],[Total Sales (EUR)]]</f>
        <v>0</v>
      </c>
      <c r="AI121" s="89">
        <f>DATE(Lookups!$O$15,Table3[[#This Row],[Month No]],1)</f>
        <v>45931</v>
      </c>
    </row>
    <row r="122" spans="1:35" x14ac:dyDescent="0.3">
      <c r="A122" s="15">
        <v>121</v>
      </c>
      <c r="B122" s="16" t="s">
        <v>13</v>
      </c>
      <c r="C122" s="16" t="s">
        <v>14</v>
      </c>
      <c r="D122" s="16" t="str">
        <f>TRIM(Table3[[#This Row],[Rep Last Name]])&amp;", "&amp;TRIM(Table3[[#This Row],[Rep First Name]])</f>
        <v>Joshi, Sanya</v>
      </c>
      <c r="E122" s="16" t="s">
        <v>74</v>
      </c>
      <c r="F122" s="16" t="s">
        <v>16</v>
      </c>
      <c r="G122" s="16" t="s">
        <v>17</v>
      </c>
      <c r="H122" s="16" t="str">
        <f>IF(Table3[[#This Row],[Min Speed (original, incomplete)]]="",_xlfn.IFNA(_xlfn.XLOOKUP(Table3[[#This Row],[Product Type]],Lookups!$G$2:$G$4,Lookups!$H$2:$H$4),"CHECK PRODUCT"),Table3[[#This Row],[Min Speed (original, incomplete)]])</f>
        <v>15 mph</v>
      </c>
      <c r="I122" s="16" t="s">
        <v>18</v>
      </c>
      <c r="J122" s="16" t="s">
        <v>19</v>
      </c>
      <c r="K122" s="17">
        <f>ROUND(VALUE(SUBSTITUTE(Table3[[#This Row],[Min Speed (mph)]]," mph",""))*Lookups!$L$2,0)</f>
        <v>24</v>
      </c>
      <c r="L122" s="17">
        <f>ROUND(VALUE(SUBSTITUTE(Table3[[#This Row],[Speed]]," mph",""))*Lookups!$L$2,0)</f>
        <v>48</v>
      </c>
      <c r="M122" s="17" t="str">
        <f>Table3[[#This Row],[Min Speed (km/h)]]&amp;" – "&amp;Table3[[#This Row],[Max Speed (km/h)]]&amp;" km/h"</f>
        <v>24 – 48 km/h</v>
      </c>
      <c r="N122" s="18">
        <f>IF(ISNUMBER(SEARCH("mile",Table3[[#This Row],[Distance]])),ROUND(VALUE(SUBSTITUTE(Table3[[#This Row],[Distance]]," miles",""))*Lookups!$L$3,0),ROUND(VALUE(SUBSTITUTE(Table3[[#This Row],[Distance]]," meters",""))*Lookups!$L$4,0))</f>
        <v>48</v>
      </c>
      <c r="O122" s="16" t="s">
        <v>20</v>
      </c>
      <c r="P122" s="16" t="str">
        <f>TRIM(LEFT(Table3[[#This Row],[Shipping Address]],FIND(",",Table3[[#This Row],[Shipping Address]])-1))</f>
        <v>456 Brigade Road</v>
      </c>
      <c r="Q122" s="16" t="str">
        <f>TRIM(MID(Table3[[#This Row],[Shipping Address]],FIND(",",Table3[[#This Row],[Shipping Address]])+1,FIND(",",Table3[[#This Row],[Shipping Address]],FIND(",",Table3[[#This Row],[Shipping Address]])+1)-FIND(",",Table3[[#This Row],[Shipping Address]])-1))</f>
        <v>Bengaluru</v>
      </c>
      <c r="R122" s="16" t="str">
        <f>TRIM(MID(Table3[[#This Row],[Shipping Address]],FIND(",",Table3[[#This Row],[Shipping Address]],FIND(",",Table3[[#This Row],[Shipping Address]])+1)+1,20))</f>
        <v>560001</v>
      </c>
      <c r="S122" s="16" t="s">
        <v>21</v>
      </c>
      <c r="T122" s="16" t="str">
        <f>_xlfn.IFNA(_xlfn.XLOOKUP(Table3[[#This Row],[Country Code]],Lookups!$A$2:$A$5,Lookups!$B$2:$B$5),"CHECK CODE")</f>
        <v>India</v>
      </c>
      <c r="U122" s="16" t="str">
        <f>_xlfn.IFNA(_xlfn.XLOOKUP(Table3[[#This Row],[Country Code]],Lookups!$A$2:$A$5,Lookups!$C$2:$C$5),"CHECK CODE")</f>
        <v>Asia</v>
      </c>
      <c r="V122" s="16" t="s">
        <v>22</v>
      </c>
      <c r="W122" s="16" t="str">
        <f>_xlfn.IFNA(_xlfn.XLOOKUP(Table3[[#This Row],[Country Code]],Lookups!$A$2:$A$5,Lookups!$D$2:$D$5),"CHECK CODE")</f>
        <v>INR</v>
      </c>
      <c r="X122" s="16">
        <f>VALUE(MID(Table3[[#This Row],[Unit Price]],2,50))</f>
        <v>30000</v>
      </c>
      <c r="Y122" s="19">
        <f>_xlfn.IFNA(_xlfn.XLOOKUP(Table3[[#This Row],[Country Code]],Lookups!$A$2:$A$5,Lookups!$E$2:$E$5),"")</f>
        <v>109.88200000000001</v>
      </c>
      <c r="Z122" s="87">
        <f>Table3[[#This Row],[Unit Price (local)]]/Table3[[#This Row],[FX Rate (per EUR)]]</f>
        <v>273.02014888698784</v>
      </c>
      <c r="AA122" s="16">
        <v>180</v>
      </c>
      <c r="AB122" s="20">
        <v>15</v>
      </c>
      <c r="AC122" s="21">
        <f>ROUND(Table3[[#This Row],[Unit Price (EUR)]]*Table3[[#This Row],[Units Sold]],0)</f>
        <v>49144</v>
      </c>
      <c r="AD122" s="22">
        <f>ROUND(Table3[[#This Row],[Gross Sales (EUR)]]*(1-Table3[[#This Row],[Discount (%)]]/100),0)</f>
        <v>41772</v>
      </c>
      <c r="AE122" s="22">
        <f>_xlfn.IFNA(_xlfn.XLOOKUP(Table3[[#This Row],[Month]],Lookups!$N$2:$N$13,Lookups!$O$2:$O$13),"CHECK MONTH")</f>
        <v>11</v>
      </c>
      <c r="AF122" s="22" t="str">
        <f>TEXT(Table3[[#This Row],[Month No]],"00")&amp;" - "&amp;Table3[[#This Row],[Month]]</f>
        <v>11 - November</v>
      </c>
      <c r="AG122" s="22" t="str">
        <f>_xlfn.IFNA(_xlfn.XLOOKUP(Table3[[#This Row],[Month]],Lookups!$N$2:$N$13,Lookups!$P$2:$P$13),"CHECK MONTH")</f>
        <v>Q4</v>
      </c>
      <c r="AH122" s="22">
        <f>Table3[[#This Row],[Gross Sales (EUR)]]-Table3[[#This Row],[Total Sales (EUR)]]</f>
        <v>7372</v>
      </c>
      <c r="AI122" s="89">
        <f>DATE(Lookups!$O$15,Table3[[#This Row],[Month No]],1)</f>
        <v>45962</v>
      </c>
    </row>
    <row r="123" spans="1:35" x14ac:dyDescent="0.3">
      <c r="A123" s="15">
        <v>122</v>
      </c>
      <c r="B123" s="16" t="s">
        <v>13</v>
      </c>
      <c r="C123" s="16" t="s">
        <v>14</v>
      </c>
      <c r="D123" s="16" t="str">
        <f>TRIM(Table3[[#This Row],[Rep Last Name]])&amp;", "&amp;TRIM(Table3[[#This Row],[Rep First Name]])</f>
        <v>Joshi, Sanya</v>
      </c>
      <c r="E123" s="16" t="s">
        <v>74</v>
      </c>
      <c r="F123" s="16" t="s">
        <v>23</v>
      </c>
      <c r="G123" s="16" t="s">
        <v>24</v>
      </c>
      <c r="H123" s="16" t="str">
        <f>IF(Table3[[#This Row],[Min Speed (original, incomplete)]]="",_xlfn.IFNA(_xlfn.XLOOKUP(Table3[[#This Row],[Product Type]],Lookups!$G$2:$G$4,Lookups!$H$2:$H$4),"CHECK PRODUCT"),Table3[[#This Row],[Min Speed (original, incomplete)]])</f>
        <v>20 mph</v>
      </c>
      <c r="I123" s="16" t="s">
        <v>25</v>
      </c>
      <c r="J123" s="16" t="s">
        <v>60</v>
      </c>
      <c r="K123" s="17">
        <f>ROUND(VALUE(SUBSTITUTE(Table3[[#This Row],[Min Speed (mph)]]," mph",""))*Lookups!$L$2,0)</f>
        <v>32</v>
      </c>
      <c r="L123" s="17">
        <f>ROUND(VALUE(SUBSTITUTE(Table3[[#This Row],[Speed]]," mph",""))*Lookups!$L$2,0)</f>
        <v>56</v>
      </c>
      <c r="M123" s="17" t="str">
        <f>Table3[[#This Row],[Min Speed (km/h)]]&amp;" – "&amp;Table3[[#This Row],[Max Speed (km/h)]]&amp;" km/h"</f>
        <v>32 – 56 km/h</v>
      </c>
      <c r="N123" s="18">
        <f>IF(ISNUMBER(SEARCH("mile",Table3[[#This Row],[Distance]])),ROUND(VALUE(SUBSTITUTE(Table3[[#This Row],[Distance]]," miles",""))*Lookups!$L$3,0),ROUND(VALUE(SUBSTITUTE(Table3[[#This Row],[Distance]]," meters",""))*Lookups!$L$4,0))</f>
        <v>64</v>
      </c>
      <c r="O123" s="16" t="s">
        <v>27</v>
      </c>
      <c r="P123" s="16" t="str">
        <f>TRIM(LEFT(Table3[[#This Row],[Shipping Address]],FIND(",",Table3[[#This Row],[Shipping Address]])-1))</f>
        <v>457 Brigade Road</v>
      </c>
      <c r="Q123" s="16" t="str">
        <f>TRIM(MID(Table3[[#This Row],[Shipping Address]],FIND(",",Table3[[#This Row],[Shipping Address]])+1,FIND(",",Table3[[#This Row],[Shipping Address]],FIND(",",Table3[[#This Row],[Shipping Address]])+1)-FIND(",",Table3[[#This Row],[Shipping Address]])-1))</f>
        <v>Bengaluru</v>
      </c>
      <c r="R123" s="16" t="str">
        <f>TRIM(MID(Table3[[#This Row],[Shipping Address]],FIND(",",Table3[[#This Row],[Shipping Address]],FIND(",",Table3[[#This Row],[Shipping Address]])+1)+1,20))</f>
        <v>560001</v>
      </c>
      <c r="S123" s="16" t="s">
        <v>21</v>
      </c>
      <c r="T123" s="16" t="str">
        <f>_xlfn.IFNA(_xlfn.XLOOKUP(Table3[[#This Row],[Country Code]],Lookups!$A$2:$A$5,Lookups!$B$2:$B$5),"CHECK CODE")</f>
        <v>India</v>
      </c>
      <c r="U123" s="16" t="str">
        <f>_xlfn.IFNA(_xlfn.XLOOKUP(Table3[[#This Row],[Country Code]],Lookups!$A$2:$A$5,Lookups!$C$2:$C$5),"CHECK CODE")</f>
        <v>Asia</v>
      </c>
      <c r="V123" s="16" t="s">
        <v>28</v>
      </c>
      <c r="W123" s="16" t="str">
        <f>_xlfn.IFNA(_xlfn.XLOOKUP(Table3[[#This Row],[Country Code]],Lookups!$A$2:$A$5,Lookups!$D$2:$D$5),"CHECK CODE")</f>
        <v>INR</v>
      </c>
      <c r="X123" s="16">
        <f>VALUE(MID(Table3[[#This Row],[Unit Price]],2,50))</f>
        <v>25000</v>
      </c>
      <c r="Y123" s="19">
        <f>_xlfn.IFNA(_xlfn.XLOOKUP(Table3[[#This Row],[Country Code]],Lookups!$A$2:$A$5,Lookups!$E$2:$E$5),"")</f>
        <v>109.88200000000001</v>
      </c>
      <c r="Z123" s="87">
        <f>Table3[[#This Row],[Unit Price (local)]]/Table3[[#This Row],[FX Rate (per EUR)]]</f>
        <v>227.51679073915653</v>
      </c>
      <c r="AA123" s="16">
        <v>450</v>
      </c>
      <c r="AB123" s="20">
        <v>15</v>
      </c>
      <c r="AC123" s="21">
        <f>ROUND(Table3[[#This Row],[Unit Price (EUR)]]*Table3[[#This Row],[Units Sold]],0)</f>
        <v>102383</v>
      </c>
      <c r="AD123" s="22">
        <f>ROUND(Table3[[#This Row],[Gross Sales (EUR)]]*(1-Table3[[#This Row],[Discount (%)]]/100),0)</f>
        <v>87026</v>
      </c>
      <c r="AE123" s="22">
        <f>_xlfn.IFNA(_xlfn.XLOOKUP(Table3[[#This Row],[Month]],Lookups!$N$2:$N$13,Lookups!$O$2:$O$13),"CHECK MONTH")</f>
        <v>11</v>
      </c>
      <c r="AF123" s="22" t="str">
        <f>TEXT(Table3[[#This Row],[Month No]],"00")&amp;" - "&amp;Table3[[#This Row],[Month]]</f>
        <v>11 - November</v>
      </c>
      <c r="AG123" s="22" t="str">
        <f>_xlfn.IFNA(_xlfn.XLOOKUP(Table3[[#This Row],[Month]],Lookups!$N$2:$N$13,Lookups!$P$2:$P$13),"CHECK MONTH")</f>
        <v>Q4</v>
      </c>
      <c r="AH123" s="22">
        <f>Table3[[#This Row],[Gross Sales (EUR)]]-Table3[[#This Row],[Total Sales (EUR)]]</f>
        <v>15357</v>
      </c>
      <c r="AI123" s="89">
        <f>DATE(Lookups!$O$15,Table3[[#This Row],[Month No]],1)</f>
        <v>45962</v>
      </c>
    </row>
    <row r="124" spans="1:35" x14ac:dyDescent="0.3">
      <c r="A124" s="15">
        <v>123</v>
      </c>
      <c r="B124" s="16" t="s">
        <v>13</v>
      </c>
      <c r="C124" s="16" t="s">
        <v>14</v>
      </c>
      <c r="D124" s="16" t="str">
        <f>TRIM(Table3[[#This Row],[Rep Last Name]])&amp;", "&amp;TRIM(Table3[[#This Row],[Rep First Name]])</f>
        <v>Joshi, Sanya</v>
      </c>
      <c r="E124" s="16" t="s">
        <v>74</v>
      </c>
      <c r="F124" s="16" t="s">
        <v>29</v>
      </c>
      <c r="G124" s="16" t="s">
        <v>30</v>
      </c>
      <c r="H124" s="16" t="str">
        <f>IF(Table3[[#This Row],[Min Speed (original, incomplete)]]="",_xlfn.IFNA(_xlfn.XLOOKUP(Table3[[#This Row],[Product Type]],Lookups!$G$2:$G$4,Lookups!$H$2:$H$4),"CHECK PRODUCT"),Table3[[#This Row],[Min Speed (original, incomplete)]])</f>
        <v>18 mph</v>
      </c>
      <c r="I124" s="16" t="s">
        <v>31</v>
      </c>
      <c r="J124" s="16" t="s">
        <v>32</v>
      </c>
      <c r="K124" s="17">
        <f>ROUND(VALUE(SUBSTITUTE(Table3[[#This Row],[Min Speed (mph)]]," mph",""))*Lookups!$L$2,0)</f>
        <v>29</v>
      </c>
      <c r="L124" s="17">
        <f>ROUND(VALUE(SUBSTITUTE(Table3[[#This Row],[Speed]]," mph",""))*Lookups!$L$2,0)</f>
        <v>45</v>
      </c>
      <c r="M124" s="17" t="str">
        <f>Table3[[#This Row],[Min Speed (km/h)]]&amp;" – "&amp;Table3[[#This Row],[Max Speed (km/h)]]&amp;" km/h"</f>
        <v>29 – 45 km/h</v>
      </c>
      <c r="N124" s="18">
        <f>IF(ISNUMBER(SEARCH("mile",Table3[[#This Row],[Distance]])),ROUND(VALUE(SUBSTITUTE(Table3[[#This Row],[Distance]]," miles",""))*Lookups!$L$3,0),ROUND(VALUE(SUBSTITUTE(Table3[[#This Row],[Distance]]," meters",""))*Lookups!$L$4,0))</f>
        <v>40</v>
      </c>
      <c r="O124" s="16" t="s">
        <v>33</v>
      </c>
      <c r="P124" s="16" t="str">
        <f>TRIM(LEFT(Table3[[#This Row],[Shipping Address]],FIND(",",Table3[[#This Row],[Shipping Address]])-1))</f>
        <v>458 Brigade Road</v>
      </c>
      <c r="Q124" s="16" t="str">
        <f>TRIM(MID(Table3[[#This Row],[Shipping Address]],FIND(",",Table3[[#This Row],[Shipping Address]])+1,FIND(",",Table3[[#This Row],[Shipping Address]],FIND(",",Table3[[#This Row],[Shipping Address]])+1)-FIND(",",Table3[[#This Row],[Shipping Address]])-1))</f>
        <v>Bengaluru</v>
      </c>
      <c r="R124" s="16" t="str">
        <f>TRIM(MID(Table3[[#This Row],[Shipping Address]],FIND(",",Table3[[#This Row],[Shipping Address]],FIND(",",Table3[[#This Row],[Shipping Address]])+1)+1,20))</f>
        <v>560001</v>
      </c>
      <c r="S124" s="16" t="s">
        <v>21</v>
      </c>
      <c r="T124" s="16" t="str">
        <f>_xlfn.IFNA(_xlfn.XLOOKUP(Table3[[#This Row],[Country Code]],Lookups!$A$2:$A$5,Lookups!$B$2:$B$5),"CHECK CODE")</f>
        <v>India</v>
      </c>
      <c r="U124" s="16" t="str">
        <f>_xlfn.IFNA(_xlfn.XLOOKUP(Table3[[#This Row],[Country Code]],Lookups!$A$2:$A$5,Lookups!$C$2:$C$5),"CHECK CODE")</f>
        <v>Asia</v>
      </c>
      <c r="V124" s="16" t="s">
        <v>34</v>
      </c>
      <c r="W124" s="16" t="str">
        <f>_xlfn.IFNA(_xlfn.XLOOKUP(Table3[[#This Row],[Country Code]],Lookups!$A$2:$A$5,Lookups!$D$2:$D$5),"CHECK CODE")</f>
        <v>INR</v>
      </c>
      <c r="X124" s="16">
        <f>VALUE(MID(Table3[[#This Row],[Unit Price]],2,50))</f>
        <v>22000</v>
      </c>
      <c r="Y124" s="19">
        <f>_xlfn.IFNA(_xlfn.XLOOKUP(Table3[[#This Row],[Country Code]],Lookups!$A$2:$A$5,Lookups!$E$2:$E$5),"")</f>
        <v>109.88200000000001</v>
      </c>
      <c r="Z124" s="87">
        <f>Table3[[#This Row],[Unit Price (local)]]/Table3[[#This Row],[FX Rate (per EUR)]]</f>
        <v>200.21477585045776</v>
      </c>
      <c r="AA124" s="16">
        <v>300</v>
      </c>
      <c r="AB124" s="20">
        <v>15</v>
      </c>
      <c r="AC124" s="21">
        <f>ROUND(Table3[[#This Row],[Unit Price (EUR)]]*Table3[[#This Row],[Units Sold]],0)</f>
        <v>60064</v>
      </c>
      <c r="AD124" s="22">
        <f>ROUND(Table3[[#This Row],[Gross Sales (EUR)]]*(1-Table3[[#This Row],[Discount (%)]]/100),0)</f>
        <v>51054</v>
      </c>
      <c r="AE124" s="22">
        <f>_xlfn.IFNA(_xlfn.XLOOKUP(Table3[[#This Row],[Month]],Lookups!$N$2:$N$13,Lookups!$O$2:$O$13),"CHECK MONTH")</f>
        <v>11</v>
      </c>
      <c r="AF124" s="22" t="str">
        <f>TEXT(Table3[[#This Row],[Month No]],"00")&amp;" - "&amp;Table3[[#This Row],[Month]]</f>
        <v>11 - November</v>
      </c>
      <c r="AG124" s="22" t="str">
        <f>_xlfn.IFNA(_xlfn.XLOOKUP(Table3[[#This Row],[Month]],Lookups!$N$2:$N$13,Lookups!$P$2:$P$13),"CHECK MONTH")</f>
        <v>Q4</v>
      </c>
      <c r="AH124" s="22">
        <f>Table3[[#This Row],[Gross Sales (EUR)]]-Table3[[#This Row],[Total Sales (EUR)]]</f>
        <v>9010</v>
      </c>
      <c r="AI124" s="89">
        <f>DATE(Lookups!$O$15,Table3[[#This Row],[Month No]],1)</f>
        <v>45962</v>
      </c>
    </row>
    <row r="125" spans="1:35" x14ac:dyDescent="0.3">
      <c r="A125" s="15">
        <v>124</v>
      </c>
      <c r="B125" s="16" t="s">
        <v>35</v>
      </c>
      <c r="C125" s="16" t="s">
        <v>36</v>
      </c>
      <c r="D125" s="16" t="str">
        <f>TRIM(Table3[[#This Row],[Rep Last Name]])&amp;", "&amp;TRIM(Table3[[#This Row],[Rep First Name]])</f>
        <v>Liu, Fang</v>
      </c>
      <c r="E125" s="16" t="s">
        <v>74</v>
      </c>
      <c r="F125" s="16" t="s">
        <v>16</v>
      </c>
      <c r="G125" s="16" t="s">
        <v>17</v>
      </c>
      <c r="H125" s="16" t="str">
        <f>IF(Table3[[#This Row],[Min Speed (original, incomplete)]]="",_xlfn.IFNA(_xlfn.XLOOKUP(Table3[[#This Row],[Product Type]],Lookups!$G$2:$G$4,Lookups!$H$2:$H$4),"CHECK PRODUCT"),Table3[[#This Row],[Min Speed (original, incomplete)]])</f>
        <v>15 mph</v>
      </c>
      <c r="I125" s="16" t="s">
        <v>18</v>
      </c>
      <c r="J125" s="16" t="s">
        <v>19</v>
      </c>
      <c r="K125" s="17">
        <f>ROUND(VALUE(SUBSTITUTE(Table3[[#This Row],[Min Speed (mph)]]," mph",""))*Lookups!$L$2,0)</f>
        <v>24</v>
      </c>
      <c r="L125" s="17">
        <f>ROUND(VALUE(SUBSTITUTE(Table3[[#This Row],[Speed]]," mph",""))*Lookups!$L$2,0)</f>
        <v>48</v>
      </c>
      <c r="M125" s="17" t="str">
        <f>Table3[[#This Row],[Min Speed (km/h)]]&amp;" – "&amp;Table3[[#This Row],[Max Speed (km/h)]]&amp;" km/h"</f>
        <v>24 – 48 km/h</v>
      </c>
      <c r="N125" s="18">
        <f>IF(ISNUMBER(SEARCH("mile",Table3[[#This Row],[Distance]])),ROUND(VALUE(SUBSTITUTE(Table3[[#This Row],[Distance]]," miles",""))*Lookups!$L$3,0),ROUND(VALUE(SUBSTITUTE(Table3[[#This Row],[Distance]]," meters",""))*Lookups!$L$4,0))</f>
        <v>48</v>
      </c>
      <c r="O125" s="16" t="s">
        <v>37</v>
      </c>
      <c r="P125" s="16" t="str">
        <f>TRIM(LEFT(Table3[[#This Row],[Shipping Address]],FIND(",",Table3[[#This Row],[Shipping Address]])-1))</f>
        <v>99 Nanjing Road</v>
      </c>
      <c r="Q125" s="16" t="str">
        <f>TRIM(MID(Table3[[#This Row],[Shipping Address]],FIND(",",Table3[[#This Row],[Shipping Address]])+1,FIND(",",Table3[[#This Row],[Shipping Address]],FIND(",",Table3[[#This Row],[Shipping Address]])+1)-FIND(",",Table3[[#This Row],[Shipping Address]])-1))</f>
        <v>Shanghai</v>
      </c>
      <c r="R125" s="16" t="str">
        <f>TRIM(MID(Table3[[#This Row],[Shipping Address]],FIND(",",Table3[[#This Row],[Shipping Address]],FIND(",",Table3[[#This Row],[Shipping Address]])+1)+1,20))</f>
        <v>200001</v>
      </c>
      <c r="S125" s="16" t="s">
        <v>38</v>
      </c>
      <c r="T125" s="16" t="str">
        <f>_xlfn.IFNA(_xlfn.XLOOKUP(Table3[[#This Row],[Country Code]],Lookups!$A$2:$A$5,Lookups!$B$2:$B$5),"CHECK CODE")</f>
        <v>China</v>
      </c>
      <c r="U125" s="16" t="str">
        <f>_xlfn.IFNA(_xlfn.XLOOKUP(Table3[[#This Row],[Country Code]],Lookups!$A$2:$A$5,Lookups!$C$2:$C$5),"CHECK CODE")</f>
        <v>Asia</v>
      </c>
      <c r="V125" s="16" t="s">
        <v>39</v>
      </c>
      <c r="W125" s="16" t="str">
        <f>_xlfn.IFNA(_xlfn.XLOOKUP(Table3[[#This Row],[Country Code]],Lookups!$A$2:$A$5,Lookups!$D$2:$D$5),"CHECK CODE")</f>
        <v>CNY</v>
      </c>
      <c r="X125" s="16">
        <f>VALUE(MID(Table3[[#This Row],[Unit Price]],2,50))</f>
        <v>5000</v>
      </c>
      <c r="Y125" s="19">
        <f>_xlfn.IFNA(_xlfn.XLOOKUP(Table3[[#This Row],[Country Code]],Lookups!$A$2:$A$5,Lookups!$E$2:$E$5),"")</f>
        <v>7.7255000000000003</v>
      </c>
      <c r="Z125" s="87">
        <f>Table3[[#This Row],[Unit Price (local)]]/Table3[[#This Row],[FX Rate (per EUR)]]</f>
        <v>647.20730049834958</v>
      </c>
      <c r="AA125" s="16">
        <v>600</v>
      </c>
      <c r="AB125" s="20">
        <v>15</v>
      </c>
      <c r="AC125" s="21">
        <f>ROUND(Table3[[#This Row],[Unit Price (EUR)]]*Table3[[#This Row],[Units Sold]],0)</f>
        <v>388324</v>
      </c>
      <c r="AD125" s="22">
        <f>ROUND(Table3[[#This Row],[Gross Sales (EUR)]]*(1-Table3[[#This Row],[Discount (%)]]/100),0)</f>
        <v>330075</v>
      </c>
      <c r="AE125" s="22">
        <f>_xlfn.IFNA(_xlfn.XLOOKUP(Table3[[#This Row],[Month]],Lookups!$N$2:$N$13,Lookups!$O$2:$O$13),"CHECK MONTH")</f>
        <v>11</v>
      </c>
      <c r="AF125" s="22" t="str">
        <f>TEXT(Table3[[#This Row],[Month No]],"00")&amp;" - "&amp;Table3[[#This Row],[Month]]</f>
        <v>11 - November</v>
      </c>
      <c r="AG125" s="22" t="str">
        <f>_xlfn.IFNA(_xlfn.XLOOKUP(Table3[[#This Row],[Month]],Lookups!$N$2:$N$13,Lookups!$P$2:$P$13),"CHECK MONTH")</f>
        <v>Q4</v>
      </c>
      <c r="AH125" s="22">
        <f>Table3[[#This Row],[Gross Sales (EUR)]]-Table3[[#This Row],[Total Sales (EUR)]]</f>
        <v>58249</v>
      </c>
      <c r="AI125" s="89">
        <f>DATE(Lookups!$O$15,Table3[[#This Row],[Month No]],1)</f>
        <v>45962</v>
      </c>
    </row>
    <row r="126" spans="1:35" x14ac:dyDescent="0.3">
      <c r="A126" s="15">
        <v>125</v>
      </c>
      <c r="B126" s="16" t="s">
        <v>35</v>
      </c>
      <c r="C126" s="16" t="s">
        <v>36</v>
      </c>
      <c r="D126" s="16" t="str">
        <f>TRIM(Table3[[#This Row],[Rep Last Name]])&amp;", "&amp;TRIM(Table3[[#This Row],[Rep First Name]])</f>
        <v>Liu, Fang</v>
      </c>
      <c r="E126" s="16" t="s">
        <v>74</v>
      </c>
      <c r="F126" s="16" t="s">
        <v>23</v>
      </c>
      <c r="G126" s="16" t="s">
        <v>24</v>
      </c>
      <c r="H126" s="16" t="str">
        <f>IF(Table3[[#This Row],[Min Speed (original, incomplete)]]="",_xlfn.IFNA(_xlfn.XLOOKUP(Table3[[#This Row],[Product Type]],Lookups!$G$2:$G$4,Lookups!$H$2:$H$4),"CHECK PRODUCT"),Table3[[#This Row],[Min Speed (original, incomplete)]])</f>
        <v>20 mph</v>
      </c>
      <c r="I126" s="16" t="s">
        <v>25</v>
      </c>
      <c r="J126" s="16" t="s">
        <v>26</v>
      </c>
      <c r="K126" s="17">
        <f>ROUND(VALUE(SUBSTITUTE(Table3[[#This Row],[Min Speed (mph)]]," mph",""))*Lookups!$L$2,0)</f>
        <v>32</v>
      </c>
      <c r="L126" s="17">
        <f>ROUND(VALUE(SUBSTITUTE(Table3[[#This Row],[Speed]]," mph",""))*Lookups!$L$2,0)</f>
        <v>56</v>
      </c>
      <c r="M126" s="17" t="str">
        <f>Table3[[#This Row],[Min Speed (km/h)]]&amp;" – "&amp;Table3[[#This Row],[Max Speed (km/h)]]&amp;" km/h"</f>
        <v>32 – 56 km/h</v>
      </c>
      <c r="N126" s="18">
        <f>IF(ISNUMBER(SEARCH("mile",Table3[[#This Row],[Distance]])),ROUND(VALUE(SUBSTITUTE(Table3[[#This Row],[Distance]]," miles",""))*Lookups!$L$3,0),ROUND(VALUE(SUBSTITUTE(Table3[[#This Row],[Distance]]," meters",""))*Lookups!$L$4,0))</f>
        <v>64</v>
      </c>
      <c r="O126" s="16" t="s">
        <v>40</v>
      </c>
      <c r="P126" s="16" t="str">
        <f>TRIM(LEFT(Table3[[#This Row],[Shipping Address]],FIND(",",Table3[[#This Row],[Shipping Address]])-1))</f>
        <v>100 Nanjing Road</v>
      </c>
      <c r="Q126" s="16" t="str">
        <f>TRIM(MID(Table3[[#This Row],[Shipping Address]],FIND(",",Table3[[#This Row],[Shipping Address]])+1,FIND(",",Table3[[#This Row],[Shipping Address]],FIND(",",Table3[[#This Row],[Shipping Address]])+1)-FIND(",",Table3[[#This Row],[Shipping Address]])-1))</f>
        <v>Shanghai</v>
      </c>
      <c r="R126" s="16" t="str">
        <f>TRIM(MID(Table3[[#This Row],[Shipping Address]],FIND(",",Table3[[#This Row],[Shipping Address]],FIND(",",Table3[[#This Row],[Shipping Address]])+1)+1,20))</f>
        <v>200001</v>
      </c>
      <c r="S126" s="16" t="s">
        <v>38</v>
      </c>
      <c r="T126" s="16" t="str">
        <f>_xlfn.IFNA(_xlfn.XLOOKUP(Table3[[#This Row],[Country Code]],Lookups!$A$2:$A$5,Lookups!$B$2:$B$5),"CHECK CODE")</f>
        <v>China</v>
      </c>
      <c r="U126" s="16" t="str">
        <f>_xlfn.IFNA(_xlfn.XLOOKUP(Table3[[#This Row],[Country Code]],Lookups!$A$2:$A$5,Lookups!$C$2:$C$5),"CHECK CODE")</f>
        <v>Asia</v>
      </c>
      <c r="V126" s="16" t="s">
        <v>41</v>
      </c>
      <c r="W126" s="16" t="str">
        <f>_xlfn.IFNA(_xlfn.XLOOKUP(Table3[[#This Row],[Country Code]],Lookups!$A$2:$A$5,Lookups!$D$2:$D$5),"CHECK CODE")</f>
        <v>CNY</v>
      </c>
      <c r="X126" s="16">
        <f>VALUE(MID(Table3[[#This Row],[Unit Price]],2,50))</f>
        <v>3500</v>
      </c>
      <c r="Y126" s="19">
        <f>_xlfn.IFNA(_xlfn.XLOOKUP(Table3[[#This Row],[Country Code]],Lookups!$A$2:$A$5,Lookups!$E$2:$E$5),"")</f>
        <v>7.7255000000000003</v>
      </c>
      <c r="Z126" s="87">
        <f>Table3[[#This Row],[Unit Price (local)]]/Table3[[#This Row],[FX Rate (per EUR)]]</f>
        <v>453.04511034884473</v>
      </c>
      <c r="AA126" s="16">
        <v>1500</v>
      </c>
      <c r="AB126" s="20">
        <v>15</v>
      </c>
      <c r="AC126" s="21">
        <f>ROUND(Table3[[#This Row],[Unit Price (EUR)]]*Table3[[#This Row],[Units Sold]],0)</f>
        <v>679568</v>
      </c>
      <c r="AD126" s="22">
        <f>ROUND(Table3[[#This Row],[Gross Sales (EUR)]]*(1-Table3[[#This Row],[Discount (%)]]/100),0)</f>
        <v>577633</v>
      </c>
      <c r="AE126" s="22">
        <f>_xlfn.IFNA(_xlfn.XLOOKUP(Table3[[#This Row],[Month]],Lookups!$N$2:$N$13,Lookups!$O$2:$O$13),"CHECK MONTH")</f>
        <v>11</v>
      </c>
      <c r="AF126" s="22" t="str">
        <f>TEXT(Table3[[#This Row],[Month No]],"00")&amp;" - "&amp;Table3[[#This Row],[Month]]</f>
        <v>11 - November</v>
      </c>
      <c r="AG126" s="22" t="str">
        <f>_xlfn.IFNA(_xlfn.XLOOKUP(Table3[[#This Row],[Month]],Lookups!$N$2:$N$13,Lookups!$P$2:$P$13),"CHECK MONTH")</f>
        <v>Q4</v>
      </c>
      <c r="AH126" s="22">
        <f>Table3[[#This Row],[Gross Sales (EUR)]]-Table3[[#This Row],[Total Sales (EUR)]]</f>
        <v>101935</v>
      </c>
      <c r="AI126" s="89">
        <f>DATE(Lookups!$O$15,Table3[[#This Row],[Month No]],1)</f>
        <v>45962</v>
      </c>
    </row>
    <row r="127" spans="1:35" x14ac:dyDescent="0.3">
      <c r="A127" s="15">
        <v>126</v>
      </c>
      <c r="B127" s="16" t="s">
        <v>35</v>
      </c>
      <c r="C127" s="16" t="s">
        <v>36</v>
      </c>
      <c r="D127" s="16" t="str">
        <f>TRIM(Table3[[#This Row],[Rep Last Name]])&amp;", "&amp;TRIM(Table3[[#This Row],[Rep First Name]])</f>
        <v>Liu, Fang</v>
      </c>
      <c r="E127" s="16" t="s">
        <v>74</v>
      </c>
      <c r="F127" s="16" t="s">
        <v>29</v>
      </c>
      <c r="G127" s="16" t="s">
        <v>30</v>
      </c>
      <c r="H127" s="16" t="str">
        <f>IF(Table3[[#This Row],[Min Speed (original, incomplete)]]="",_xlfn.IFNA(_xlfn.XLOOKUP(Table3[[#This Row],[Product Type]],Lookups!$G$2:$G$4,Lookups!$H$2:$H$4),"CHECK PRODUCT"),Table3[[#This Row],[Min Speed (original, incomplete)]])</f>
        <v>18 mph</v>
      </c>
      <c r="I127" s="16" t="s">
        <v>31</v>
      </c>
      <c r="J127" s="16" t="s">
        <v>32</v>
      </c>
      <c r="K127" s="17">
        <f>ROUND(VALUE(SUBSTITUTE(Table3[[#This Row],[Min Speed (mph)]]," mph",""))*Lookups!$L$2,0)</f>
        <v>29</v>
      </c>
      <c r="L127" s="17">
        <f>ROUND(VALUE(SUBSTITUTE(Table3[[#This Row],[Speed]]," mph",""))*Lookups!$L$2,0)</f>
        <v>45</v>
      </c>
      <c r="M127" s="17" t="str">
        <f>Table3[[#This Row],[Min Speed (km/h)]]&amp;" – "&amp;Table3[[#This Row],[Max Speed (km/h)]]&amp;" km/h"</f>
        <v>29 – 45 km/h</v>
      </c>
      <c r="N127" s="18">
        <f>IF(ISNUMBER(SEARCH("mile",Table3[[#This Row],[Distance]])),ROUND(VALUE(SUBSTITUTE(Table3[[#This Row],[Distance]]," miles",""))*Lookups!$L$3,0),ROUND(VALUE(SUBSTITUTE(Table3[[#This Row],[Distance]]," meters",""))*Lookups!$L$4,0))</f>
        <v>40</v>
      </c>
      <c r="O127" s="16" t="s">
        <v>43</v>
      </c>
      <c r="P127" s="16" t="str">
        <f>TRIM(LEFT(Table3[[#This Row],[Shipping Address]],FIND(",",Table3[[#This Row],[Shipping Address]])-1))</f>
        <v>101 Nanjing Road</v>
      </c>
      <c r="Q127" s="16" t="str">
        <f>TRIM(MID(Table3[[#This Row],[Shipping Address]],FIND(",",Table3[[#This Row],[Shipping Address]])+1,FIND(",",Table3[[#This Row],[Shipping Address]],FIND(",",Table3[[#This Row],[Shipping Address]])+1)-FIND(",",Table3[[#This Row],[Shipping Address]])-1))</f>
        <v>Shanghai</v>
      </c>
      <c r="R127" s="16" t="str">
        <f>TRIM(MID(Table3[[#This Row],[Shipping Address]],FIND(",",Table3[[#This Row],[Shipping Address]],FIND(",",Table3[[#This Row],[Shipping Address]])+1)+1,20))</f>
        <v>200001</v>
      </c>
      <c r="S127" s="16" t="s">
        <v>38</v>
      </c>
      <c r="T127" s="16" t="str">
        <f>_xlfn.IFNA(_xlfn.XLOOKUP(Table3[[#This Row],[Country Code]],Lookups!$A$2:$A$5,Lookups!$B$2:$B$5),"CHECK CODE")</f>
        <v>China</v>
      </c>
      <c r="U127" s="16" t="str">
        <f>_xlfn.IFNA(_xlfn.XLOOKUP(Table3[[#This Row],[Country Code]],Lookups!$A$2:$A$5,Lookups!$C$2:$C$5),"CHECK CODE")</f>
        <v>Asia</v>
      </c>
      <c r="V127" s="16" t="s">
        <v>44</v>
      </c>
      <c r="W127" s="16" t="str">
        <f>_xlfn.IFNA(_xlfn.XLOOKUP(Table3[[#This Row],[Country Code]],Lookups!$A$2:$A$5,Lookups!$D$2:$D$5),"CHECK CODE")</f>
        <v>CNY</v>
      </c>
      <c r="X127" s="16">
        <f>VALUE(MID(Table3[[#This Row],[Unit Price]],2,50))</f>
        <v>4200</v>
      </c>
      <c r="Y127" s="19">
        <f>_xlfn.IFNA(_xlfn.XLOOKUP(Table3[[#This Row],[Country Code]],Lookups!$A$2:$A$5,Lookups!$E$2:$E$5),"")</f>
        <v>7.7255000000000003</v>
      </c>
      <c r="Z127" s="87">
        <f>Table3[[#This Row],[Unit Price (local)]]/Table3[[#This Row],[FX Rate (per EUR)]]</f>
        <v>543.6541324186137</v>
      </c>
      <c r="AA127" s="16">
        <v>800</v>
      </c>
      <c r="AB127" s="20">
        <v>15</v>
      </c>
      <c r="AC127" s="21">
        <f>ROUND(Table3[[#This Row],[Unit Price (EUR)]]*Table3[[#This Row],[Units Sold]],0)</f>
        <v>434923</v>
      </c>
      <c r="AD127" s="22">
        <f>ROUND(Table3[[#This Row],[Gross Sales (EUR)]]*(1-Table3[[#This Row],[Discount (%)]]/100),0)</f>
        <v>369685</v>
      </c>
      <c r="AE127" s="22">
        <f>_xlfn.IFNA(_xlfn.XLOOKUP(Table3[[#This Row],[Month]],Lookups!$N$2:$N$13,Lookups!$O$2:$O$13),"CHECK MONTH")</f>
        <v>11</v>
      </c>
      <c r="AF127" s="22" t="str">
        <f>TEXT(Table3[[#This Row],[Month No]],"00")&amp;" - "&amp;Table3[[#This Row],[Month]]</f>
        <v>11 - November</v>
      </c>
      <c r="AG127" s="22" t="str">
        <f>_xlfn.IFNA(_xlfn.XLOOKUP(Table3[[#This Row],[Month]],Lookups!$N$2:$N$13,Lookups!$P$2:$P$13),"CHECK MONTH")</f>
        <v>Q4</v>
      </c>
      <c r="AH127" s="22">
        <f>Table3[[#This Row],[Gross Sales (EUR)]]-Table3[[#This Row],[Total Sales (EUR)]]</f>
        <v>65238</v>
      </c>
      <c r="AI127" s="89">
        <f>DATE(Lookups!$O$15,Table3[[#This Row],[Month No]],1)</f>
        <v>45962</v>
      </c>
    </row>
    <row r="128" spans="1:35" x14ac:dyDescent="0.3">
      <c r="A128" s="15">
        <v>127</v>
      </c>
      <c r="B128" s="16" t="s">
        <v>45</v>
      </c>
      <c r="C128" s="16" t="s">
        <v>46</v>
      </c>
      <c r="D128" s="16" t="str">
        <f>TRIM(Table3[[#This Row],[Rep Last Name]])&amp;", "&amp;TRIM(Table3[[#This Row],[Rep First Name]])</f>
        <v>Fischer, Jonas</v>
      </c>
      <c r="E128" s="16" t="s">
        <v>74</v>
      </c>
      <c r="F128" s="16" t="s">
        <v>16</v>
      </c>
      <c r="G128" s="16" t="s">
        <v>17</v>
      </c>
      <c r="H128" s="16" t="str">
        <f>IF(Table3[[#This Row],[Min Speed (original, incomplete)]]="",_xlfn.IFNA(_xlfn.XLOOKUP(Table3[[#This Row],[Product Type]],Lookups!$G$2:$G$4,Lookups!$H$2:$H$4),"CHECK PRODUCT"),Table3[[#This Row],[Min Speed (original, incomplete)]])</f>
        <v>15 mph</v>
      </c>
      <c r="I128" s="16" t="s">
        <v>18</v>
      </c>
      <c r="J128" s="16" t="s">
        <v>19</v>
      </c>
      <c r="K128" s="17">
        <f>ROUND(VALUE(SUBSTITUTE(Table3[[#This Row],[Min Speed (mph)]]," mph",""))*Lookups!$L$2,0)</f>
        <v>24</v>
      </c>
      <c r="L128" s="17">
        <f>ROUND(VALUE(SUBSTITUTE(Table3[[#This Row],[Speed]]," mph",""))*Lookups!$L$2,0)</f>
        <v>48</v>
      </c>
      <c r="M128" s="17" t="str">
        <f>Table3[[#This Row],[Min Speed (km/h)]]&amp;" – "&amp;Table3[[#This Row],[Max Speed (km/h)]]&amp;" km/h"</f>
        <v>24 – 48 km/h</v>
      </c>
      <c r="N128" s="18">
        <f>IF(ISNUMBER(SEARCH("mile",Table3[[#This Row],[Distance]])),ROUND(VALUE(SUBSTITUTE(Table3[[#This Row],[Distance]]," miles",""))*Lookups!$L$3,0),ROUND(VALUE(SUBSTITUTE(Table3[[#This Row],[Distance]]," meters",""))*Lookups!$L$4,0))</f>
        <v>48</v>
      </c>
      <c r="O128" s="16" t="s">
        <v>48</v>
      </c>
      <c r="P128" s="16" t="str">
        <f>TRIM(LEFT(Table3[[#This Row],[Shipping Address]],FIND(",",Table3[[#This Row],[Shipping Address]])-1))</f>
        <v>303 Ringstraße</v>
      </c>
      <c r="Q128" s="16" t="str">
        <f>TRIM(MID(Table3[[#This Row],[Shipping Address]],FIND(",",Table3[[#This Row],[Shipping Address]])+1,FIND(",",Table3[[#This Row],[Shipping Address]],FIND(",",Table3[[#This Row],[Shipping Address]])+1)-FIND(",",Table3[[#This Row],[Shipping Address]])-1))</f>
        <v>Hamburg</v>
      </c>
      <c r="R128" s="16" t="str">
        <f>TRIM(MID(Table3[[#This Row],[Shipping Address]],FIND(",",Table3[[#This Row],[Shipping Address]],FIND(",",Table3[[#This Row],[Shipping Address]])+1)+1,20))</f>
        <v>20095</v>
      </c>
      <c r="S128" s="16" t="s">
        <v>49</v>
      </c>
      <c r="T128" s="16" t="str">
        <f>_xlfn.IFNA(_xlfn.XLOOKUP(Table3[[#This Row],[Country Code]],Lookups!$A$2:$A$5,Lookups!$B$2:$B$5),"CHECK CODE")</f>
        <v>Germany</v>
      </c>
      <c r="U128" s="16" t="str">
        <f>_xlfn.IFNA(_xlfn.XLOOKUP(Table3[[#This Row],[Country Code]],Lookups!$A$2:$A$5,Lookups!$C$2:$C$5),"CHECK CODE")</f>
        <v>Europe</v>
      </c>
      <c r="V128" s="16" t="s">
        <v>50</v>
      </c>
      <c r="W128" s="16" t="str">
        <f>_xlfn.IFNA(_xlfn.XLOOKUP(Table3[[#This Row],[Country Code]],Lookups!$A$2:$A$5,Lookups!$D$2:$D$5),"CHECK CODE")</f>
        <v>EUR</v>
      </c>
      <c r="X128" s="16">
        <f>VALUE(MID(Table3[[#This Row],[Unit Price]],2,50))</f>
        <v>1000</v>
      </c>
      <c r="Y128" s="19">
        <f>_xlfn.IFNA(_xlfn.XLOOKUP(Table3[[#This Row],[Country Code]],Lookups!$A$2:$A$5,Lookups!$E$2:$E$5),"")</f>
        <v>1</v>
      </c>
      <c r="Z128" s="87">
        <f>Table3[[#This Row],[Unit Price (local)]]/Table3[[#This Row],[FX Rate (per EUR)]]</f>
        <v>1000</v>
      </c>
      <c r="AA128" s="16">
        <v>160</v>
      </c>
      <c r="AB128" s="20">
        <v>15</v>
      </c>
      <c r="AC128" s="21">
        <f>ROUND(Table3[[#This Row],[Unit Price (EUR)]]*Table3[[#This Row],[Units Sold]],0)</f>
        <v>160000</v>
      </c>
      <c r="AD128" s="22">
        <f>ROUND(Table3[[#This Row],[Gross Sales (EUR)]]*(1-Table3[[#This Row],[Discount (%)]]/100),0)</f>
        <v>136000</v>
      </c>
      <c r="AE128" s="22">
        <f>_xlfn.IFNA(_xlfn.XLOOKUP(Table3[[#This Row],[Month]],Lookups!$N$2:$N$13,Lookups!$O$2:$O$13),"CHECK MONTH")</f>
        <v>11</v>
      </c>
      <c r="AF128" s="22" t="str">
        <f>TEXT(Table3[[#This Row],[Month No]],"00")&amp;" - "&amp;Table3[[#This Row],[Month]]</f>
        <v>11 - November</v>
      </c>
      <c r="AG128" s="22" t="str">
        <f>_xlfn.IFNA(_xlfn.XLOOKUP(Table3[[#This Row],[Month]],Lookups!$N$2:$N$13,Lookups!$P$2:$P$13),"CHECK MONTH")</f>
        <v>Q4</v>
      </c>
      <c r="AH128" s="22">
        <f>Table3[[#This Row],[Gross Sales (EUR)]]-Table3[[#This Row],[Total Sales (EUR)]]</f>
        <v>24000</v>
      </c>
      <c r="AI128" s="89">
        <f>DATE(Lookups!$O$15,Table3[[#This Row],[Month No]],1)</f>
        <v>45962</v>
      </c>
    </row>
    <row r="129" spans="1:35" x14ac:dyDescent="0.3">
      <c r="A129" s="15">
        <v>128</v>
      </c>
      <c r="B129" s="16" t="s">
        <v>45</v>
      </c>
      <c r="C129" s="16" t="s">
        <v>46</v>
      </c>
      <c r="D129" s="16" t="str">
        <f>TRIM(Table3[[#This Row],[Rep Last Name]])&amp;", "&amp;TRIM(Table3[[#This Row],[Rep First Name]])</f>
        <v>Fischer, Jonas</v>
      </c>
      <c r="E129" s="16" t="s">
        <v>74</v>
      </c>
      <c r="F129" s="16" t="s">
        <v>23</v>
      </c>
      <c r="G129" s="16" t="s">
        <v>24</v>
      </c>
      <c r="H129" s="16" t="str">
        <f>IF(Table3[[#This Row],[Min Speed (original, incomplete)]]="",_xlfn.IFNA(_xlfn.XLOOKUP(Table3[[#This Row],[Product Type]],Lookups!$G$2:$G$4,Lookups!$H$2:$H$4),"CHECK PRODUCT"),Table3[[#This Row],[Min Speed (original, incomplete)]])</f>
        <v>20 mph</v>
      </c>
      <c r="I129" s="16" t="s">
        <v>25</v>
      </c>
      <c r="J129" s="16" t="s">
        <v>26</v>
      </c>
      <c r="K129" s="17">
        <f>ROUND(VALUE(SUBSTITUTE(Table3[[#This Row],[Min Speed (mph)]]," mph",""))*Lookups!$L$2,0)</f>
        <v>32</v>
      </c>
      <c r="L129" s="17">
        <f>ROUND(VALUE(SUBSTITUTE(Table3[[#This Row],[Speed]]," mph",""))*Lookups!$L$2,0)</f>
        <v>56</v>
      </c>
      <c r="M129" s="17" t="str">
        <f>Table3[[#This Row],[Min Speed (km/h)]]&amp;" – "&amp;Table3[[#This Row],[Max Speed (km/h)]]&amp;" km/h"</f>
        <v>32 – 56 km/h</v>
      </c>
      <c r="N129" s="18">
        <f>IF(ISNUMBER(SEARCH("mile",Table3[[#This Row],[Distance]])),ROUND(VALUE(SUBSTITUTE(Table3[[#This Row],[Distance]]," miles",""))*Lookups!$L$3,0),ROUND(VALUE(SUBSTITUTE(Table3[[#This Row],[Distance]]," meters",""))*Lookups!$L$4,0))</f>
        <v>64</v>
      </c>
      <c r="O129" s="16" t="s">
        <v>51</v>
      </c>
      <c r="P129" s="16" t="str">
        <f>TRIM(LEFT(Table3[[#This Row],[Shipping Address]],FIND(",",Table3[[#This Row],[Shipping Address]])-1))</f>
        <v>304 Ringstraße</v>
      </c>
      <c r="Q129" s="16" t="str">
        <f>TRIM(MID(Table3[[#This Row],[Shipping Address]],FIND(",",Table3[[#This Row],[Shipping Address]])+1,FIND(",",Table3[[#This Row],[Shipping Address]],FIND(",",Table3[[#This Row],[Shipping Address]])+1)-FIND(",",Table3[[#This Row],[Shipping Address]])-1))</f>
        <v>Hamburg</v>
      </c>
      <c r="R129" s="16" t="str">
        <f>TRIM(MID(Table3[[#This Row],[Shipping Address]],FIND(",",Table3[[#This Row],[Shipping Address]],FIND(",",Table3[[#This Row],[Shipping Address]])+1)+1,20))</f>
        <v>20095</v>
      </c>
      <c r="S129" s="16" t="s">
        <v>49</v>
      </c>
      <c r="T129" s="16" t="str">
        <f>_xlfn.IFNA(_xlfn.XLOOKUP(Table3[[#This Row],[Country Code]],Lookups!$A$2:$A$5,Lookups!$B$2:$B$5),"CHECK CODE")</f>
        <v>Germany</v>
      </c>
      <c r="U129" s="16" t="str">
        <f>_xlfn.IFNA(_xlfn.XLOOKUP(Table3[[#This Row],[Country Code]],Lookups!$A$2:$A$5,Lookups!$C$2:$C$5),"CHECK CODE")</f>
        <v>Europe</v>
      </c>
      <c r="V129" s="16" t="s">
        <v>52</v>
      </c>
      <c r="W129" s="16" t="str">
        <f>_xlfn.IFNA(_xlfn.XLOOKUP(Table3[[#This Row],[Country Code]],Lookups!$A$2:$A$5,Lookups!$D$2:$D$5),"CHECK CODE")</f>
        <v>EUR</v>
      </c>
      <c r="X129" s="16">
        <f>VALUE(MID(Table3[[#This Row],[Unit Price]],2,50))</f>
        <v>800</v>
      </c>
      <c r="Y129" s="19">
        <f>_xlfn.IFNA(_xlfn.XLOOKUP(Table3[[#This Row],[Country Code]],Lookups!$A$2:$A$5,Lookups!$E$2:$E$5),"")</f>
        <v>1</v>
      </c>
      <c r="Z129" s="87">
        <f>Table3[[#This Row],[Unit Price (local)]]/Table3[[#This Row],[FX Rate (per EUR)]]</f>
        <v>800</v>
      </c>
      <c r="AA129" s="16">
        <v>320</v>
      </c>
      <c r="AB129" s="20">
        <v>15</v>
      </c>
      <c r="AC129" s="21">
        <f>ROUND(Table3[[#This Row],[Unit Price (EUR)]]*Table3[[#This Row],[Units Sold]],0)</f>
        <v>256000</v>
      </c>
      <c r="AD129" s="22">
        <f>ROUND(Table3[[#This Row],[Gross Sales (EUR)]]*(1-Table3[[#This Row],[Discount (%)]]/100),0)</f>
        <v>217600</v>
      </c>
      <c r="AE129" s="22">
        <f>_xlfn.IFNA(_xlfn.XLOOKUP(Table3[[#This Row],[Month]],Lookups!$N$2:$N$13,Lookups!$O$2:$O$13),"CHECK MONTH")</f>
        <v>11</v>
      </c>
      <c r="AF129" s="22" t="str">
        <f>TEXT(Table3[[#This Row],[Month No]],"00")&amp;" - "&amp;Table3[[#This Row],[Month]]</f>
        <v>11 - November</v>
      </c>
      <c r="AG129" s="22" t="str">
        <f>_xlfn.IFNA(_xlfn.XLOOKUP(Table3[[#This Row],[Month]],Lookups!$N$2:$N$13,Lookups!$P$2:$P$13),"CHECK MONTH")</f>
        <v>Q4</v>
      </c>
      <c r="AH129" s="22">
        <f>Table3[[#This Row],[Gross Sales (EUR)]]-Table3[[#This Row],[Total Sales (EUR)]]</f>
        <v>38400</v>
      </c>
      <c r="AI129" s="89">
        <f>DATE(Lookups!$O$15,Table3[[#This Row],[Month No]],1)</f>
        <v>45962</v>
      </c>
    </row>
    <row r="130" spans="1:35" x14ac:dyDescent="0.3">
      <c r="A130" s="15">
        <v>129</v>
      </c>
      <c r="B130" s="16" t="s">
        <v>45</v>
      </c>
      <c r="C130" s="16" t="s">
        <v>46</v>
      </c>
      <c r="D130" s="16" t="str">
        <f>TRIM(Table3[[#This Row],[Rep Last Name]])&amp;", "&amp;TRIM(Table3[[#This Row],[Rep First Name]])</f>
        <v>Fischer, Jonas</v>
      </c>
      <c r="E130" s="16" t="s">
        <v>74</v>
      </c>
      <c r="F130" s="16" t="s">
        <v>29</v>
      </c>
      <c r="G130" s="16" t="s">
        <v>30</v>
      </c>
      <c r="H130" s="16" t="str">
        <f>IF(Table3[[#This Row],[Min Speed (original, incomplete)]]="",_xlfn.IFNA(_xlfn.XLOOKUP(Table3[[#This Row],[Product Type]],Lookups!$G$2:$G$4,Lookups!$H$2:$H$4),"CHECK PRODUCT"),Table3[[#This Row],[Min Speed (original, incomplete)]])</f>
        <v>18 mph</v>
      </c>
      <c r="I130" s="16" t="s">
        <v>31</v>
      </c>
      <c r="J130" s="16" t="s">
        <v>32</v>
      </c>
      <c r="K130" s="17">
        <f>ROUND(VALUE(SUBSTITUTE(Table3[[#This Row],[Min Speed (mph)]]," mph",""))*Lookups!$L$2,0)</f>
        <v>29</v>
      </c>
      <c r="L130" s="17">
        <f>ROUND(VALUE(SUBSTITUTE(Table3[[#This Row],[Speed]]," mph",""))*Lookups!$L$2,0)</f>
        <v>45</v>
      </c>
      <c r="M130" s="17" t="str">
        <f>Table3[[#This Row],[Min Speed (km/h)]]&amp;" – "&amp;Table3[[#This Row],[Max Speed (km/h)]]&amp;" km/h"</f>
        <v>29 – 45 km/h</v>
      </c>
      <c r="N130" s="18">
        <f>IF(ISNUMBER(SEARCH("mile",Table3[[#This Row],[Distance]])),ROUND(VALUE(SUBSTITUTE(Table3[[#This Row],[Distance]]," miles",""))*Lookups!$L$3,0),ROUND(VALUE(SUBSTITUTE(Table3[[#This Row],[Distance]]," meters",""))*Lookups!$L$4,0))</f>
        <v>40</v>
      </c>
      <c r="O130" s="16" t="s">
        <v>53</v>
      </c>
      <c r="P130" s="16" t="str">
        <f>TRIM(LEFT(Table3[[#This Row],[Shipping Address]],FIND(",",Table3[[#This Row],[Shipping Address]])-1))</f>
        <v>305 Ringstraße</v>
      </c>
      <c r="Q130" s="16" t="str">
        <f>TRIM(MID(Table3[[#This Row],[Shipping Address]],FIND(",",Table3[[#This Row],[Shipping Address]])+1,FIND(",",Table3[[#This Row],[Shipping Address]],FIND(",",Table3[[#This Row],[Shipping Address]])+1)-FIND(",",Table3[[#This Row],[Shipping Address]])-1))</f>
        <v>Hamburg</v>
      </c>
      <c r="R130" s="16" t="str">
        <f>TRIM(MID(Table3[[#This Row],[Shipping Address]],FIND(",",Table3[[#This Row],[Shipping Address]],FIND(",",Table3[[#This Row],[Shipping Address]])+1)+1,20))</f>
        <v>20095</v>
      </c>
      <c r="S130" s="16" t="s">
        <v>49</v>
      </c>
      <c r="T130" s="16" t="str">
        <f>_xlfn.IFNA(_xlfn.XLOOKUP(Table3[[#This Row],[Country Code]],Lookups!$A$2:$A$5,Lookups!$B$2:$B$5),"CHECK CODE")</f>
        <v>Germany</v>
      </c>
      <c r="U130" s="16" t="str">
        <f>_xlfn.IFNA(_xlfn.XLOOKUP(Table3[[#This Row],[Country Code]],Lookups!$A$2:$A$5,Lookups!$C$2:$C$5),"CHECK CODE")</f>
        <v>Europe</v>
      </c>
      <c r="V130" s="16" t="s">
        <v>54</v>
      </c>
      <c r="W130" s="16" t="str">
        <f>_xlfn.IFNA(_xlfn.XLOOKUP(Table3[[#This Row],[Country Code]],Lookups!$A$2:$A$5,Lookups!$D$2:$D$5),"CHECK CODE")</f>
        <v>EUR</v>
      </c>
      <c r="X130" s="16">
        <f>VALUE(MID(Table3[[#This Row],[Unit Price]],2,50))</f>
        <v>950</v>
      </c>
      <c r="Y130" s="19">
        <f>_xlfn.IFNA(_xlfn.XLOOKUP(Table3[[#This Row],[Country Code]],Lookups!$A$2:$A$5,Lookups!$E$2:$E$5),"")</f>
        <v>1</v>
      </c>
      <c r="Z130" s="87">
        <f>Table3[[#This Row],[Unit Price (local)]]/Table3[[#This Row],[FX Rate (per EUR)]]</f>
        <v>950</v>
      </c>
      <c r="AA130" s="16">
        <v>250</v>
      </c>
      <c r="AB130" s="20">
        <v>15</v>
      </c>
      <c r="AC130" s="21">
        <f>ROUND(Table3[[#This Row],[Unit Price (EUR)]]*Table3[[#This Row],[Units Sold]],0)</f>
        <v>237500</v>
      </c>
      <c r="AD130" s="22">
        <f>ROUND(Table3[[#This Row],[Gross Sales (EUR)]]*(1-Table3[[#This Row],[Discount (%)]]/100),0)</f>
        <v>201875</v>
      </c>
      <c r="AE130" s="22">
        <f>_xlfn.IFNA(_xlfn.XLOOKUP(Table3[[#This Row],[Month]],Lookups!$N$2:$N$13,Lookups!$O$2:$O$13),"CHECK MONTH")</f>
        <v>11</v>
      </c>
      <c r="AF130" s="22" t="str">
        <f>TEXT(Table3[[#This Row],[Month No]],"00")&amp;" - "&amp;Table3[[#This Row],[Month]]</f>
        <v>11 - November</v>
      </c>
      <c r="AG130" s="22" t="str">
        <f>_xlfn.IFNA(_xlfn.XLOOKUP(Table3[[#This Row],[Month]],Lookups!$N$2:$N$13,Lookups!$P$2:$P$13),"CHECK MONTH")</f>
        <v>Q4</v>
      </c>
      <c r="AH130" s="22">
        <f>Table3[[#This Row],[Gross Sales (EUR)]]-Table3[[#This Row],[Total Sales (EUR)]]</f>
        <v>35625</v>
      </c>
      <c r="AI130" s="89">
        <f>DATE(Lookups!$O$15,Table3[[#This Row],[Month No]],1)</f>
        <v>45962</v>
      </c>
    </row>
    <row r="131" spans="1:35" x14ac:dyDescent="0.3">
      <c r="A131" s="15">
        <v>130</v>
      </c>
      <c r="B131" s="16" t="s">
        <v>55</v>
      </c>
      <c r="C131" s="16" t="s">
        <v>56</v>
      </c>
      <c r="D131" s="16" t="str">
        <f>TRIM(Table3[[#This Row],[Rep Last Name]])&amp;", "&amp;TRIM(Table3[[#This Row],[Rep First Name]])</f>
        <v>Bernard, Théo</v>
      </c>
      <c r="E131" s="16" t="s">
        <v>74</v>
      </c>
      <c r="F131" s="16" t="s">
        <v>16</v>
      </c>
      <c r="G131" s="16" t="s">
        <v>17</v>
      </c>
      <c r="H131" s="16" t="str">
        <f>IF(Table3[[#This Row],[Min Speed (original, incomplete)]]="",_xlfn.IFNA(_xlfn.XLOOKUP(Table3[[#This Row],[Product Type]],Lookups!$G$2:$G$4,Lookups!$H$2:$H$4),"CHECK PRODUCT"),Table3[[#This Row],[Min Speed (original, incomplete)]])</f>
        <v>15 mph</v>
      </c>
      <c r="I131" s="16" t="s">
        <v>18</v>
      </c>
      <c r="J131" s="16" t="s">
        <v>19</v>
      </c>
      <c r="K131" s="17">
        <f>ROUND(VALUE(SUBSTITUTE(Table3[[#This Row],[Min Speed (mph)]]," mph",""))*Lookups!$L$2,0)</f>
        <v>24</v>
      </c>
      <c r="L131" s="17">
        <f>ROUND(VALUE(SUBSTITUTE(Table3[[#This Row],[Speed]]," mph",""))*Lookups!$L$2,0)</f>
        <v>48</v>
      </c>
      <c r="M131" s="17" t="str">
        <f>Table3[[#This Row],[Min Speed (km/h)]]&amp;" – "&amp;Table3[[#This Row],[Max Speed (km/h)]]&amp;" km/h"</f>
        <v>24 – 48 km/h</v>
      </c>
      <c r="N131" s="18">
        <f>IF(ISNUMBER(SEARCH("mile",Table3[[#This Row],[Distance]])),ROUND(VALUE(SUBSTITUTE(Table3[[#This Row],[Distance]]," miles",""))*Lookups!$L$3,0),ROUND(VALUE(SUBSTITUTE(Table3[[#This Row],[Distance]]," meters",""))*Lookups!$L$4,0))</f>
        <v>48</v>
      </c>
      <c r="O131" s="16" t="s">
        <v>57</v>
      </c>
      <c r="P131" s="16" t="str">
        <f>TRIM(LEFT(Table3[[#This Row],[Shipping Address]],FIND(",",Table3[[#This Row],[Shipping Address]])-1))</f>
        <v>56 Boulevard Saint-Germain</v>
      </c>
      <c r="Q131" s="16" t="str">
        <f>TRIM(MID(Table3[[#This Row],[Shipping Address]],FIND(",",Table3[[#This Row],[Shipping Address]])+1,FIND(",",Table3[[#This Row],[Shipping Address]],FIND(",",Table3[[#This Row],[Shipping Address]])+1)-FIND(",",Table3[[#This Row],[Shipping Address]])-1))</f>
        <v>Paris</v>
      </c>
      <c r="R131" s="16" t="str">
        <f>TRIM(MID(Table3[[#This Row],[Shipping Address]],FIND(",",Table3[[#This Row],[Shipping Address]],FIND(",",Table3[[#This Row],[Shipping Address]])+1)+1,20))</f>
        <v>75005</v>
      </c>
      <c r="S131" s="16" t="s">
        <v>58</v>
      </c>
      <c r="T131" s="16" t="str">
        <f>_xlfn.IFNA(_xlfn.XLOOKUP(Table3[[#This Row],[Country Code]],Lookups!$A$2:$A$5,Lookups!$B$2:$B$5),"CHECK CODE")</f>
        <v>France</v>
      </c>
      <c r="U131" s="16" t="str">
        <f>_xlfn.IFNA(_xlfn.XLOOKUP(Table3[[#This Row],[Country Code]],Lookups!$A$2:$A$5,Lookups!$C$2:$C$5),"CHECK CODE")</f>
        <v>Europe</v>
      </c>
      <c r="V131" s="16" t="s">
        <v>59</v>
      </c>
      <c r="W131" s="16" t="str">
        <f>_xlfn.IFNA(_xlfn.XLOOKUP(Table3[[#This Row],[Country Code]],Lookups!$A$2:$A$5,Lookups!$D$2:$D$5),"CHECK CODE")</f>
        <v>EUR</v>
      </c>
      <c r="X131" s="16">
        <f>VALUE(MID(Table3[[#This Row],[Unit Price]],2,50))</f>
        <v>1100</v>
      </c>
      <c r="Y131" s="19">
        <f>_xlfn.IFNA(_xlfn.XLOOKUP(Table3[[#This Row],[Country Code]],Lookups!$A$2:$A$5,Lookups!$E$2:$E$5),"")</f>
        <v>1</v>
      </c>
      <c r="Z131" s="87">
        <f>Table3[[#This Row],[Unit Price (local)]]/Table3[[#This Row],[FX Rate (per EUR)]]</f>
        <v>1100</v>
      </c>
      <c r="AA131" s="16">
        <v>140</v>
      </c>
      <c r="AB131" s="20">
        <v>15</v>
      </c>
      <c r="AC131" s="21">
        <f>ROUND(Table3[[#This Row],[Unit Price (EUR)]]*Table3[[#This Row],[Units Sold]],0)</f>
        <v>154000</v>
      </c>
      <c r="AD131" s="22">
        <f>ROUND(Table3[[#This Row],[Gross Sales (EUR)]]*(1-Table3[[#This Row],[Discount (%)]]/100),0)</f>
        <v>130900</v>
      </c>
      <c r="AE131" s="22">
        <f>_xlfn.IFNA(_xlfn.XLOOKUP(Table3[[#This Row],[Month]],Lookups!$N$2:$N$13,Lookups!$O$2:$O$13),"CHECK MONTH")</f>
        <v>11</v>
      </c>
      <c r="AF131" s="22" t="str">
        <f>TEXT(Table3[[#This Row],[Month No]],"00")&amp;" - "&amp;Table3[[#This Row],[Month]]</f>
        <v>11 - November</v>
      </c>
      <c r="AG131" s="22" t="str">
        <f>_xlfn.IFNA(_xlfn.XLOOKUP(Table3[[#This Row],[Month]],Lookups!$N$2:$N$13,Lookups!$P$2:$P$13),"CHECK MONTH")</f>
        <v>Q4</v>
      </c>
      <c r="AH131" s="22">
        <f>Table3[[#This Row],[Gross Sales (EUR)]]-Table3[[#This Row],[Total Sales (EUR)]]</f>
        <v>23100</v>
      </c>
      <c r="AI131" s="89">
        <f>DATE(Lookups!$O$15,Table3[[#This Row],[Month No]],1)</f>
        <v>45962</v>
      </c>
    </row>
    <row r="132" spans="1:35" x14ac:dyDescent="0.3">
      <c r="A132" s="15">
        <v>131</v>
      </c>
      <c r="B132" s="16" t="s">
        <v>55</v>
      </c>
      <c r="C132" s="16" t="s">
        <v>56</v>
      </c>
      <c r="D132" s="16" t="str">
        <f>TRIM(Table3[[#This Row],[Rep Last Name]])&amp;", "&amp;TRIM(Table3[[#This Row],[Rep First Name]])</f>
        <v>Bernard, Théo</v>
      </c>
      <c r="E132" s="16" t="s">
        <v>74</v>
      </c>
      <c r="F132" s="16" t="s">
        <v>23</v>
      </c>
      <c r="G132" s="16" t="s">
        <v>24</v>
      </c>
      <c r="H132" s="16" t="str">
        <f>IF(Table3[[#This Row],[Min Speed (original, incomplete)]]="",_xlfn.IFNA(_xlfn.XLOOKUP(Table3[[#This Row],[Product Type]],Lookups!$G$2:$G$4,Lookups!$H$2:$H$4),"CHECK PRODUCT"),Table3[[#This Row],[Min Speed (original, incomplete)]])</f>
        <v>20 mph</v>
      </c>
      <c r="I132" s="16" t="s">
        <v>25</v>
      </c>
      <c r="J132" s="16" t="s">
        <v>26</v>
      </c>
      <c r="K132" s="17">
        <f>ROUND(VALUE(SUBSTITUTE(Table3[[#This Row],[Min Speed (mph)]]," mph",""))*Lookups!$L$2,0)</f>
        <v>32</v>
      </c>
      <c r="L132" s="17">
        <f>ROUND(VALUE(SUBSTITUTE(Table3[[#This Row],[Speed]]," mph",""))*Lookups!$L$2,0)</f>
        <v>56</v>
      </c>
      <c r="M132" s="17" t="str">
        <f>Table3[[#This Row],[Min Speed (km/h)]]&amp;" – "&amp;Table3[[#This Row],[Max Speed (km/h)]]&amp;" km/h"</f>
        <v>32 – 56 km/h</v>
      </c>
      <c r="N132" s="18">
        <f>IF(ISNUMBER(SEARCH("mile",Table3[[#This Row],[Distance]])),ROUND(VALUE(SUBSTITUTE(Table3[[#This Row],[Distance]]," miles",""))*Lookups!$L$3,0),ROUND(VALUE(SUBSTITUTE(Table3[[#This Row],[Distance]]," meters",""))*Lookups!$L$4,0))</f>
        <v>64</v>
      </c>
      <c r="O132" s="16" t="s">
        <v>61</v>
      </c>
      <c r="P132" s="16" t="str">
        <f>TRIM(LEFT(Table3[[#This Row],[Shipping Address]],FIND(",",Table3[[#This Row],[Shipping Address]])-1))</f>
        <v>57 Boulevard Saint-Germain</v>
      </c>
      <c r="Q132" s="16" t="str">
        <f>TRIM(MID(Table3[[#This Row],[Shipping Address]],FIND(",",Table3[[#This Row],[Shipping Address]])+1,FIND(",",Table3[[#This Row],[Shipping Address]],FIND(",",Table3[[#This Row],[Shipping Address]])+1)-FIND(",",Table3[[#This Row],[Shipping Address]])-1))</f>
        <v>Paris</v>
      </c>
      <c r="R132" s="16" t="str">
        <f>TRIM(MID(Table3[[#This Row],[Shipping Address]],FIND(",",Table3[[#This Row],[Shipping Address]],FIND(",",Table3[[#This Row],[Shipping Address]])+1)+1,20))</f>
        <v>75005</v>
      </c>
      <c r="S132" s="16" t="s">
        <v>58</v>
      </c>
      <c r="T132" s="16" t="str">
        <f>_xlfn.IFNA(_xlfn.XLOOKUP(Table3[[#This Row],[Country Code]],Lookups!$A$2:$A$5,Lookups!$B$2:$B$5),"CHECK CODE")</f>
        <v>France</v>
      </c>
      <c r="U132" s="16" t="str">
        <f>_xlfn.IFNA(_xlfn.XLOOKUP(Table3[[#This Row],[Country Code]],Lookups!$A$2:$A$5,Lookups!$C$2:$C$5),"CHECK CODE")</f>
        <v>Europe</v>
      </c>
      <c r="V132" s="16" t="s">
        <v>62</v>
      </c>
      <c r="W132" s="16" t="str">
        <f>_xlfn.IFNA(_xlfn.XLOOKUP(Table3[[#This Row],[Country Code]],Lookups!$A$2:$A$5,Lookups!$D$2:$D$5),"CHECK CODE")</f>
        <v>EUR</v>
      </c>
      <c r="X132" s="16">
        <f>VALUE(MID(Table3[[#This Row],[Unit Price]],2,50))</f>
        <v>900</v>
      </c>
      <c r="Y132" s="19">
        <f>_xlfn.IFNA(_xlfn.XLOOKUP(Table3[[#This Row],[Country Code]],Lookups!$A$2:$A$5,Lookups!$E$2:$E$5),"")</f>
        <v>1</v>
      </c>
      <c r="Z132" s="87">
        <f>Table3[[#This Row],[Unit Price (local)]]/Table3[[#This Row],[FX Rate (per EUR)]]</f>
        <v>900</v>
      </c>
      <c r="AA132" s="16">
        <v>310</v>
      </c>
      <c r="AB132" s="20">
        <v>15</v>
      </c>
      <c r="AC132" s="21">
        <f>ROUND(Table3[[#This Row],[Unit Price (EUR)]]*Table3[[#This Row],[Units Sold]],0)</f>
        <v>279000</v>
      </c>
      <c r="AD132" s="22">
        <f>ROUND(Table3[[#This Row],[Gross Sales (EUR)]]*(1-Table3[[#This Row],[Discount (%)]]/100),0)</f>
        <v>237150</v>
      </c>
      <c r="AE132" s="22">
        <f>_xlfn.IFNA(_xlfn.XLOOKUP(Table3[[#This Row],[Month]],Lookups!$N$2:$N$13,Lookups!$O$2:$O$13),"CHECK MONTH")</f>
        <v>11</v>
      </c>
      <c r="AF132" s="22" t="str">
        <f>TEXT(Table3[[#This Row],[Month No]],"00")&amp;" - "&amp;Table3[[#This Row],[Month]]</f>
        <v>11 - November</v>
      </c>
      <c r="AG132" s="22" t="str">
        <f>_xlfn.IFNA(_xlfn.XLOOKUP(Table3[[#This Row],[Month]],Lookups!$N$2:$N$13,Lookups!$P$2:$P$13),"CHECK MONTH")</f>
        <v>Q4</v>
      </c>
      <c r="AH132" s="22">
        <f>Table3[[#This Row],[Gross Sales (EUR)]]-Table3[[#This Row],[Total Sales (EUR)]]</f>
        <v>41850</v>
      </c>
      <c r="AI132" s="89">
        <f>DATE(Lookups!$O$15,Table3[[#This Row],[Month No]],1)</f>
        <v>45962</v>
      </c>
    </row>
    <row r="133" spans="1:35" x14ac:dyDescent="0.3">
      <c r="A133" s="15">
        <v>132</v>
      </c>
      <c r="B133" s="16" t="s">
        <v>55</v>
      </c>
      <c r="C133" s="16" t="s">
        <v>56</v>
      </c>
      <c r="D133" s="16" t="str">
        <f>TRIM(Table3[[#This Row],[Rep Last Name]])&amp;", "&amp;TRIM(Table3[[#This Row],[Rep First Name]])</f>
        <v>Bernard, Théo</v>
      </c>
      <c r="E133" s="16" t="s">
        <v>74</v>
      </c>
      <c r="F133" s="16" t="s">
        <v>29</v>
      </c>
      <c r="G133" s="16" t="s">
        <v>30</v>
      </c>
      <c r="H133" s="16" t="str">
        <f>IF(Table3[[#This Row],[Min Speed (original, incomplete)]]="",_xlfn.IFNA(_xlfn.XLOOKUP(Table3[[#This Row],[Product Type]],Lookups!$G$2:$G$4,Lookups!$H$2:$H$4),"CHECK PRODUCT"),Table3[[#This Row],[Min Speed (original, incomplete)]])</f>
        <v>18 mph</v>
      </c>
      <c r="I133" s="16" t="s">
        <v>31</v>
      </c>
      <c r="J133" s="16" t="s">
        <v>32</v>
      </c>
      <c r="K133" s="17">
        <f>ROUND(VALUE(SUBSTITUTE(Table3[[#This Row],[Min Speed (mph)]]," mph",""))*Lookups!$L$2,0)</f>
        <v>29</v>
      </c>
      <c r="L133" s="17">
        <f>ROUND(VALUE(SUBSTITUTE(Table3[[#This Row],[Speed]]," mph",""))*Lookups!$L$2,0)</f>
        <v>45</v>
      </c>
      <c r="M133" s="17" t="str">
        <f>Table3[[#This Row],[Min Speed (km/h)]]&amp;" – "&amp;Table3[[#This Row],[Max Speed (km/h)]]&amp;" km/h"</f>
        <v>29 – 45 km/h</v>
      </c>
      <c r="N133" s="18">
        <f>IF(ISNUMBER(SEARCH("mile",Table3[[#This Row],[Distance]])),ROUND(VALUE(SUBSTITUTE(Table3[[#This Row],[Distance]]," miles",""))*Lookups!$L$3,0),ROUND(VALUE(SUBSTITUTE(Table3[[#This Row],[Distance]]," meters",""))*Lookups!$L$4,0))</f>
        <v>40</v>
      </c>
      <c r="O133" s="16" t="s">
        <v>63</v>
      </c>
      <c r="P133" s="16" t="str">
        <f>TRIM(LEFT(Table3[[#This Row],[Shipping Address]],FIND(",",Table3[[#This Row],[Shipping Address]])-1))</f>
        <v>58 Boulevard Saint-Germain</v>
      </c>
      <c r="Q133" s="16" t="str">
        <f>TRIM(MID(Table3[[#This Row],[Shipping Address]],FIND(",",Table3[[#This Row],[Shipping Address]])+1,FIND(",",Table3[[#This Row],[Shipping Address]],FIND(",",Table3[[#This Row],[Shipping Address]])+1)-FIND(",",Table3[[#This Row],[Shipping Address]])-1))</f>
        <v>Paris</v>
      </c>
      <c r="R133" s="16" t="str">
        <f>TRIM(MID(Table3[[#This Row],[Shipping Address]],FIND(",",Table3[[#This Row],[Shipping Address]],FIND(",",Table3[[#This Row],[Shipping Address]])+1)+1,20))</f>
        <v>75005</v>
      </c>
      <c r="S133" s="16" t="s">
        <v>58</v>
      </c>
      <c r="T133" s="16" t="str">
        <f>_xlfn.IFNA(_xlfn.XLOOKUP(Table3[[#This Row],[Country Code]],Lookups!$A$2:$A$5,Lookups!$B$2:$B$5),"CHECK CODE")</f>
        <v>France</v>
      </c>
      <c r="U133" s="16" t="str">
        <f>_xlfn.IFNA(_xlfn.XLOOKUP(Table3[[#This Row],[Country Code]],Lookups!$A$2:$A$5,Lookups!$C$2:$C$5),"CHECK CODE")</f>
        <v>Europe</v>
      </c>
      <c r="V133" s="16" t="s">
        <v>64</v>
      </c>
      <c r="W133" s="16" t="str">
        <f>_xlfn.IFNA(_xlfn.XLOOKUP(Table3[[#This Row],[Country Code]],Lookups!$A$2:$A$5,Lookups!$D$2:$D$5),"CHECK CODE")</f>
        <v>EUR</v>
      </c>
      <c r="X133" s="16">
        <f>VALUE(MID(Table3[[#This Row],[Unit Price]],2,50))</f>
        <v>1050</v>
      </c>
      <c r="Y133" s="19">
        <f>_xlfn.IFNA(_xlfn.XLOOKUP(Table3[[#This Row],[Country Code]],Lookups!$A$2:$A$5,Lookups!$E$2:$E$5),"")</f>
        <v>1</v>
      </c>
      <c r="Z133" s="87">
        <f>Table3[[#This Row],[Unit Price (local)]]/Table3[[#This Row],[FX Rate (per EUR)]]</f>
        <v>1050</v>
      </c>
      <c r="AA133" s="16">
        <v>290</v>
      </c>
      <c r="AB133" s="20">
        <v>15</v>
      </c>
      <c r="AC133" s="21">
        <f>ROUND(Table3[[#This Row],[Unit Price (EUR)]]*Table3[[#This Row],[Units Sold]],0)</f>
        <v>304500</v>
      </c>
      <c r="AD133" s="22">
        <f>ROUND(Table3[[#This Row],[Gross Sales (EUR)]]*(1-Table3[[#This Row],[Discount (%)]]/100),0)</f>
        <v>258825</v>
      </c>
      <c r="AE133" s="22">
        <f>_xlfn.IFNA(_xlfn.XLOOKUP(Table3[[#This Row],[Month]],Lookups!$N$2:$N$13,Lookups!$O$2:$O$13),"CHECK MONTH")</f>
        <v>11</v>
      </c>
      <c r="AF133" s="22" t="str">
        <f>TEXT(Table3[[#This Row],[Month No]],"00")&amp;" - "&amp;Table3[[#This Row],[Month]]</f>
        <v>11 - November</v>
      </c>
      <c r="AG133" s="22" t="str">
        <f>_xlfn.IFNA(_xlfn.XLOOKUP(Table3[[#This Row],[Month]],Lookups!$N$2:$N$13,Lookups!$P$2:$P$13),"CHECK MONTH")</f>
        <v>Q4</v>
      </c>
      <c r="AH133" s="22">
        <f>Table3[[#This Row],[Gross Sales (EUR)]]-Table3[[#This Row],[Total Sales (EUR)]]</f>
        <v>45675</v>
      </c>
      <c r="AI133" s="89">
        <f>DATE(Lookups!$O$15,Table3[[#This Row],[Month No]],1)</f>
        <v>45962</v>
      </c>
    </row>
    <row r="134" spans="1:35" x14ac:dyDescent="0.3">
      <c r="A134" s="15">
        <v>133</v>
      </c>
      <c r="B134" s="16" t="s">
        <v>13</v>
      </c>
      <c r="C134" s="16" t="s">
        <v>14</v>
      </c>
      <c r="D134" s="16" t="str">
        <f>TRIM(Table3[[#This Row],[Rep Last Name]])&amp;", "&amp;TRIM(Table3[[#This Row],[Rep First Name]])</f>
        <v>Joshi, Sanya</v>
      </c>
      <c r="E134" s="16" t="s">
        <v>75</v>
      </c>
      <c r="F134" s="16" t="s">
        <v>16</v>
      </c>
      <c r="G134" s="16" t="s">
        <v>17</v>
      </c>
      <c r="H134" s="16" t="str">
        <f>IF(Table3[[#This Row],[Min Speed (original, incomplete)]]="",_xlfn.IFNA(_xlfn.XLOOKUP(Table3[[#This Row],[Product Type]],Lookups!$G$2:$G$4,Lookups!$H$2:$H$4),"CHECK PRODUCT"),Table3[[#This Row],[Min Speed (original, incomplete)]])</f>
        <v>15 mph</v>
      </c>
      <c r="I134" s="16" t="s">
        <v>18</v>
      </c>
      <c r="J134" s="16" t="s">
        <v>19</v>
      </c>
      <c r="K134" s="17">
        <f>ROUND(VALUE(SUBSTITUTE(Table3[[#This Row],[Min Speed (mph)]]," mph",""))*Lookups!$L$2,0)</f>
        <v>24</v>
      </c>
      <c r="L134" s="17">
        <f>ROUND(VALUE(SUBSTITUTE(Table3[[#This Row],[Speed]]," mph",""))*Lookups!$L$2,0)</f>
        <v>48</v>
      </c>
      <c r="M134" s="17" t="str">
        <f>Table3[[#This Row],[Min Speed (km/h)]]&amp;" – "&amp;Table3[[#This Row],[Max Speed (km/h)]]&amp;" km/h"</f>
        <v>24 – 48 km/h</v>
      </c>
      <c r="N134" s="18">
        <f>IF(ISNUMBER(SEARCH("mile",Table3[[#This Row],[Distance]])),ROUND(VALUE(SUBSTITUTE(Table3[[#This Row],[Distance]]," miles",""))*Lookups!$L$3,0),ROUND(VALUE(SUBSTITUTE(Table3[[#This Row],[Distance]]," meters",""))*Lookups!$L$4,0))</f>
        <v>48</v>
      </c>
      <c r="O134" s="16" t="s">
        <v>20</v>
      </c>
      <c r="P134" s="16" t="str">
        <f>TRIM(LEFT(Table3[[#This Row],[Shipping Address]],FIND(",",Table3[[#This Row],[Shipping Address]])-1))</f>
        <v>456 Brigade Road</v>
      </c>
      <c r="Q134" s="16" t="str">
        <f>TRIM(MID(Table3[[#This Row],[Shipping Address]],FIND(",",Table3[[#This Row],[Shipping Address]])+1,FIND(",",Table3[[#This Row],[Shipping Address]],FIND(",",Table3[[#This Row],[Shipping Address]])+1)-FIND(",",Table3[[#This Row],[Shipping Address]])-1))</f>
        <v>Bengaluru</v>
      </c>
      <c r="R134" s="16" t="str">
        <f>TRIM(MID(Table3[[#This Row],[Shipping Address]],FIND(",",Table3[[#This Row],[Shipping Address]],FIND(",",Table3[[#This Row],[Shipping Address]])+1)+1,20))</f>
        <v>560001</v>
      </c>
      <c r="S134" s="16" t="s">
        <v>21</v>
      </c>
      <c r="T134" s="16" t="str">
        <f>_xlfn.IFNA(_xlfn.XLOOKUP(Table3[[#This Row],[Country Code]],Lookups!$A$2:$A$5,Lookups!$B$2:$B$5),"CHECK CODE")</f>
        <v>India</v>
      </c>
      <c r="U134" s="16" t="str">
        <f>_xlfn.IFNA(_xlfn.XLOOKUP(Table3[[#This Row],[Country Code]],Lookups!$A$2:$A$5,Lookups!$C$2:$C$5),"CHECK CODE")</f>
        <v>Asia</v>
      </c>
      <c r="V134" s="16" t="s">
        <v>22</v>
      </c>
      <c r="W134" s="16" t="str">
        <f>_xlfn.IFNA(_xlfn.XLOOKUP(Table3[[#This Row],[Country Code]],Lookups!$A$2:$A$5,Lookups!$D$2:$D$5),"CHECK CODE")</f>
        <v>INR</v>
      </c>
      <c r="X134" s="16">
        <f>VALUE(MID(Table3[[#This Row],[Unit Price]],2,50))</f>
        <v>30000</v>
      </c>
      <c r="Y134" s="19">
        <f>_xlfn.IFNA(_xlfn.XLOOKUP(Table3[[#This Row],[Country Code]],Lookups!$A$2:$A$5,Lookups!$E$2:$E$5),"")</f>
        <v>109.88200000000001</v>
      </c>
      <c r="Z134" s="87">
        <f>Table3[[#This Row],[Unit Price (local)]]/Table3[[#This Row],[FX Rate (per EUR)]]</f>
        <v>273.02014888698784</v>
      </c>
      <c r="AA134" s="16">
        <v>250</v>
      </c>
      <c r="AB134" s="20">
        <v>20</v>
      </c>
      <c r="AC134" s="21">
        <f>ROUND(Table3[[#This Row],[Unit Price (EUR)]]*Table3[[#This Row],[Units Sold]],0)</f>
        <v>68255</v>
      </c>
      <c r="AD134" s="22">
        <f>ROUND(Table3[[#This Row],[Gross Sales (EUR)]]*(1-Table3[[#This Row],[Discount (%)]]/100),0)</f>
        <v>54604</v>
      </c>
      <c r="AE134" s="22">
        <f>_xlfn.IFNA(_xlfn.XLOOKUP(Table3[[#This Row],[Month]],Lookups!$N$2:$N$13,Lookups!$O$2:$O$13),"CHECK MONTH")</f>
        <v>12</v>
      </c>
      <c r="AF134" s="22" t="str">
        <f>TEXT(Table3[[#This Row],[Month No]],"00")&amp;" - "&amp;Table3[[#This Row],[Month]]</f>
        <v>12 - December</v>
      </c>
      <c r="AG134" s="22" t="str">
        <f>_xlfn.IFNA(_xlfn.XLOOKUP(Table3[[#This Row],[Month]],Lookups!$N$2:$N$13,Lookups!$P$2:$P$13),"CHECK MONTH")</f>
        <v>Q4</v>
      </c>
      <c r="AH134" s="22">
        <f>Table3[[#This Row],[Gross Sales (EUR)]]-Table3[[#This Row],[Total Sales (EUR)]]</f>
        <v>13651</v>
      </c>
      <c r="AI134" s="89">
        <f>DATE(Lookups!$O$15,Table3[[#This Row],[Month No]],1)</f>
        <v>45992</v>
      </c>
    </row>
    <row r="135" spans="1:35" x14ac:dyDescent="0.3">
      <c r="A135" s="15">
        <v>134</v>
      </c>
      <c r="B135" s="16" t="s">
        <v>13</v>
      </c>
      <c r="C135" s="16" t="s">
        <v>14</v>
      </c>
      <c r="D135" s="16" t="str">
        <f>TRIM(Table3[[#This Row],[Rep Last Name]])&amp;", "&amp;TRIM(Table3[[#This Row],[Rep First Name]])</f>
        <v>Joshi, Sanya</v>
      </c>
      <c r="E135" s="16" t="s">
        <v>75</v>
      </c>
      <c r="F135" s="16" t="s">
        <v>23</v>
      </c>
      <c r="G135" s="16" t="s">
        <v>24</v>
      </c>
      <c r="H135" s="16" t="str">
        <f>IF(Table3[[#This Row],[Min Speed (original, incomplete)]]="",_xlfn.IFNA(_xlfn.XLOOKUP(Table3[[#This Row],[Product Type]],Lookups!$G$2:$G$4,Lookups!$H$2:$H$4),"CHECK PRODUCT"),Table3[[#This Row],[Min Speed (original, incomplete)]])</f>
        <v>20 mph</v>
      </c>
      <c r="I135" s="16" t="s">
        <v>25</v>
      </c>
      <c r="J135" s="16" t="s">
        <v>26</v>
      </c>
      <c r="K135" s="17">
        <f>ROUND(VALUE(SUBSTITUTE(Table3[[#This Row],[Min Speed (mph)]]," mph",""))*Lookups!$L$2,0)</f>
        <v>32</v>
      </c>
      <c r="L135" s="17">
        <f>ROUND(VALUE(SUBSTITUTE(Table3[[#This Row],[Speed]]," mph",""))*Lookups!$L$2,0)</f>
        <v>56</v>
      </c>
      <c r="M135" s="17" t="str">
        <f>Table3[[#This Row],[Min Speed (km/h)]]&amp;" – "&amp;Table3[[#This Row],[Max Speed (km/h)]]&amp;" km/h"</f>
        <v>32 – 56 km/h</v>
      </c>
      <c r="N135" s="18">
        <f>IF(ISNUMBER(SEARCH("mile",Table3[[#This Row],[Distance]])),ROUND(VALUE(SUBSTITUTE(Table3[[#This Row],[Distance]]," miles",""))*Lookups!$L$3,0),ROUND(VALUE(SUBSTITUTE(Table3[[#This Row],[Distance]]," meters",""))*Lookups!$L$4,0))</f>
        <v>64</v>
      </c>
      <c r="O135" s="16" t="s">
        <v>27</v>
      </c>
      <c r="P135" s="16" t="str">
        <f>TRIM(LEFT(Table3[[#This Row],[Shipping Address]],FIND(",",Table3[[#This Row],[Shipping Address]])-1))</f>
        <v>457 Brigade Road</v>
      </c>
      <c r="Q135" s="16" t="str">
        <f>TRIM(MID(Table3[[#This Row],[Shipping Address]],FIND(",",Table3[[#This Row],[Shipping Address]])+1,FIND(",",Table3[[#This Row],[Shipping Address]],FIND(",",Table3[[#This Row],[Shipping Address]])+1)-FIND(",",Table3[[#This Row],[Shipping Address]])-1))</f>
        <v>Bengaluru</v>
      </c>
      <c r="R135" s="16" t="str">
        <f>TRIM(MID(Table3[[#This Row],[Shipping Address]],FIND(",",Table3[[#This Row],[Shipping Address]],FIND(",",Table3[[#This Row],[Shipping Address]])+1)+1,20))</f>
        <v>560001</v>
      </c>
      <c r="S135" s="16" t="s">
        <v>21</v>
      </c>
      <c r="T135" s="16" t="str">
        <f>_xlfn.IFNA(_xlfn.XLOOKUP(Table3[[#This Row],[Country Code]],Lookups!$A$2:$A$5,Lookups!$B$2:$B$5),"CHECK CODE")</f>
        <v>India</v>
      </c>
      <c r="U135" s="16" t="str">
        <f>_xlfn.IFNA(_xlfn.XLOOKUP(Table3[[#This Row],[Country Code]],Lookups!$A$2:$A$5,Lookups!$C$2:$C$5),"CHECK CODE")</f>
        <v>Asia</v>
      </c>
      <c r="V135" s="16" t="s">
        <v>28</v>
      </c>
      <c r="W135" s="16" t="str">
        <f>_xlfn.IFNA(_xlfn.XLOOKUP(Table3[[#This Row],[Country Code]],Lookups!$A$2:$A$5,Lookups!$D$2:$D$5),"CHECK CODE")</f>
        <v>INR</v>
      </c>
      <c r="X135" s="16">
        <f>VALUE(MID(Table3[[#This Row],[Unit Price]],2,50))</f>
        <v>25000</v>
      </c>
      <c r="Y135" s="19">
        <f>_xlfn.IFNA(_xlfn.XLOOKUP(Table3[[#This Row],[Country Code]],Lookups!$A$2:$A$5,Lookups!$E$2:$E$5),"")</f>
        <v>109.88200000000001</v>
      </c>
      <c r="Z135" s="87">
        <f>Table3[[#This Row],[Unit Price (local)]]/Table3[[#This Row],[FX Rate (per EUR)]]</f>
        <v>227.51679073915653</v>
      </c>
      <c r="AA135" s="16">
        <v>600</v>
      </c>
      <c r="AB135" s="20">
        <v>20</v>
      </c>
      <c r="AC135" s="21">
        <f>ROUND(Table3[[#This Row],[Unit Price (EUR)]]*Table3[[#This Row],[Units Sold]],0)</f>
        <v>136510</v>
      </c>
      <c r="AD135" s="22">
        <f>ROUND(Table3[[#This Row],[Gross Sales (EUR)]]*(1-Table3[[#This Row],[Discount (%)]]/100),0)</f>
        <v>109208</v>
      </c>
      <c r="AE135" s="22">
        <f>_xlfn.IFNA(_xlfn.XLOOKUP(Table3[[#This Row],[Month]],Lookups!$N$2:$N$13,Lookups!$O$2:$O$13),"CHECK MONTH")</f>
        <v>12</v>
      </c>
      <c r="AF135" s="22" t="str">
        <f>TEXT(Table3[[#This Row],[Month No]],"00")&amp;" - "&amp;Table3[[#This Row],[Month]]</f>
        <v>12 - December</v>
      </c>
      <c r="AG135" s="22" t="str">
        <f>_xlfn.IFNA(_xlfn.XLOOKUP(Table3[[#This Row],[Month]],Lookups!$N$2:$N$13,Lookups!$P$2:$P$13),"CHECK MONTH")</f>
        <v>Q4</v>
      </c>
      <c r="AH135" s="22">
        <f>Table3[[#This Row],[Gross Sales (EUR)]]-Table3[[#This Row],[Total Sales (EUR)]]</f>
        <v>27302</v>
      </c>
      <c r="AI135" s="89">
        <f>DATE(Lookups!$O$15,Table3[[#This Row],[Month No]],1)</f>
        <v>45992</v>
      </c>
    </row>
    <row r="136" spans="1:35" x14ac:dyDescent="0.3">
      <c r="A136" s="15">
        <v>135</v>
      </c>
      <c r="B136" s="16" t="s">
        <v>13</v>
      </c>
      <c r="C136" s="16" t="s">
        <v>14</v>
      </c>
      <c r="D136" s="16" t="str">
        <f>TRIM(Table3[[#This Row],[Rep Last Name]])&amp;", "&amp;TRIM(Table3[[#This Row],[Rep First Name]])</f>
        <v>Joshi, Sanya</v>
      </c>
      <c r="E136" s="16" t="s">
        <v>75</v>
      </c>
      <c r="F136" s="16" t="s">
        <v>29</v>
      </c>
      <c r="G136" s="16" t="s">
        <v>30</v>
      </c>
      <c r="H136" s="16" t="str">
        <f>IF(Table3[[#This Row],[Min Speed (original, incomplete)]]="",_xlfn.IFNA(_xlfn.XLOOKUP(Table3[[#This Row],[Product Type]],Lookups!$G$2:$G$4,Lookups!$H$2:$H$4),"CHECK PRODUCT"),Table3[[#This Row],[Min Speed (original, incomplete)]])</f>
        <v>18 mph</v>
      </c>
      <c r="I136" s="16" t="s">
        <v>31</v>
      </c>
      <c r="J136" s="16" t="s">
        <v>42</v>
      </c>
      <c r="K136" s="17">
        <f>ROUND(VALUE(SUBSTITUTE(Table3[[#This Row],[Min Speed (mph)]]," mph",""))*Lookups!$L$2,0)</f>
        <v>29</v>
      </c>
      <c r="L136" s="17">
        <f>ROUND(VALUE(SUBSTITUTE(Table3[[#This Row],[Speed]]," mph",""))*Lookups!$L$2,0)</f>
        <v>45</v>
      </c>
      <c r="M136" s="17" t="str">
        <f>Table3[[#This Row],[Min Speed (km/h)]]&amp;" – "&amp;Table3[[#This Row],[Max Speed (km/h)]]&amp;" km/h"</f>
        <v>29 – 45 km/h</v>
      </c>
      <c r="N136" s="18">
        <f>IF(ISNUMBER(SEARCH("mile",Table3[[#This Row],[Distance]])),ROUND(VALUE(SUBSTITUTE(Table3[[#This Row],[Distance]]," miles",""))*Lookups!$L$3,0),ROUND(VALUE(SUBSTITUTE(Table3[[#This Row],[Distance]]," meters",""))*Lookups!$L$4,0))</f>
        <v>40</v>
      </c>
      <c r="O136" s="16" t="s">
        <v>33</v>
      </c>
      <c r="P136" s="16" t="str">
        <f>TRIM(LEFT(Table3[[#This Row],[Shipping Address]],FIND(",",Table3[[#This Row],[Shipping Address]])-1))</f>
        <v>458 Brigade Road</v>
      </c>
      <c r="Q136" s="16" t="str">
        <f>TRIM(MID(Table3[[#This Row],[Shipping Address]],FIND(",",Table3[[#This Row],[Shipping Address]])+1,FIND(",",Table3[[#This Row],[Shipping Address]],FIND(",",Table3[[#This Row],[Shipping Address]])+1)-FIND(",",Table3[[#This Row],[Shipping Address]])-1))</f>
        <v>Bengaluru</v>
      </c>
      <c r="R136" s="16" t="str">
        <f>TRIM(MID(Table3[[#This Row],[Shipping Address]],FIND(",",Table3[[#This Row],[Shipping Address]],FIND(",",Table3[[#This Row],[Shipping Address]])+1)+1,20))</f>
        <v>560001</v>
      </c>
      <c r="S136" s="16" t="s">
        <v>21</v>
      </c>
      <c r="T136" s="16" t="str">
        <f>_xlfn.IFNA(_xlfn.XLOOKUP(Table3[[#This Row],[Country Code]],Lookups!$A$2:$A$5,Lookups!$B$2:$B$5),"CHECK CODE")</f>
        <v>India</v>
      </c>
      <c r="U136" s="16" t="str">
        <f>_xlfn.IFNA(_xlfn.XLOOKUP(Table3[[#This Row],[Country Code]],Lookups!$A$2:$A$5,Lookups!$C$2:$C$5),"CHECK CODE")</f>
        <v>Asia</v>
      </c>
      <c r="V136" s="16" t="s">
        <v>34</v>
      </c>
      <c r="W136" s="16" t="str">
        <f>_xlfn.IFNA(_xlfn.XLOOKUP(Table3[[#This Row],[Country Code]],Lookups!$A$2:$A$5,Lookups!$D$2:$D$5),"CHECK CODE")</f>
        <v>INR</v>
      </c>
      <c r="X136" s="16">
        <f>VALUE(MID(Table3[[#This Row],[Unit Price]],2,50))</f>
        <v>22000</v>
      </c>
      <c r="Y136" s="19">
        <f>_xlfn.IFNA(_xlfn.XLOOKUP(Table3[[#This Row],[Country Code]],Lookups!$A$2:$A$5,Lookups!$E$2:$E$5),"")</f>
        <v>109.88200000000001</v>
      </c>
      <c r="Z136" s="87">
        <f>Table3[[#This Row],[Unit Price (local)]]/Table3[[#This Row],[FX Rate (per EUR)]]</f>
        <v>200.21477585045776</v>
      </c>
      <c r="AA136" s="16">
        <v>400</v>
      </c>
      <c r="AB136" s="20">
        <v>20</v>
      </c>
      <c r="AC136" s="21">
        <f>ROUND(Table3[[#This Row],[Unit Price (EUR)]]*Table3[[#This Row],[Units Sold]],0)</f>
        <v>80086</v>
      </c>
      <c r="AD136" s="22">
        <f>ROUND(Table3[[#This Row],[Gross Sales (EUR)]]*(1-Table3[[#This Row],[Discount (%)]]/100),0)</f>
        <v>64069</v>
      </c>
      <c r="AE136" s="22">
        <f>_xlfn.IFNA(_xlfn.XLOOKUP(Table3[[#This Row],[Month]],Lookups!$N$2:$N$13,Lookups!$O$2:$O$13),"CHECK MONTH")</f>
        <v>12</v>
      </c>
      <c r="AF136" s="22" t="str">
        <f>TEXT(Table3[[#This Row],[Month No]],"00")&amp;" - "&amp;Table3[[#This Row],[Month]]</f>
        <v>12 - December</v>
      </c>
      <c r="AG136" s="22" t="str">
        <f>_xlfn.IFNA(_xlfn.XLOOKUP(Table3[[#This Row],[Month]],Lookups!$N$2:$N$13,Lookups!$P$2:$P$13),"CHECK MONTH")</f>
        <v>Q4</v>
      </c>
      <c r="AH136" s="22">
        <f>Table3[[#This Row],[Gross Sales (EUR)]]-Table3[[#This Row],[Total Sales (EUR)]]</f>
        <v>16017</v>
      </c>
      <c r="AI136" s="89">
        <f>DATE(Lookups!$O$15,Table3[[#This Row],[Month No]],1)</f>
        <v>45992</v>
      </c>
    </row>
    <row r="137" spans="1:35" x14ac:dyDescent="0.3">
      <c r="A137" s="15">
        <v>136</v>
      </c>
      <c r="B137" s="16" t="s">
        <v>35</v>
      </c>
      <c r="C137" s="16" t="s">
        <v>36</v>
      </c>
      <c r="D137" s="16" t="str">
        <f>TRIM(Table3[[#This Row],[Rep Last Name]])&amp;", "&amp;TRIM(Table3[[#This Row],[Rep First Name]])</f>
        <v>Liu, Fang</v>
      </c>
      <c r="E137" s="16" t="s">
        <v>75</v>
      </c>
      <c r="F137" s="16" t="s">
        <v>16</v>
      </c>
      <c r="G137" s="16" t="s">
        <v>17</v>
      </c>
      <c r="H137" s="16" t="str">
        <f>IF(Table3[[#This Row],[Min Speed (original, incomplete)]]="",_xlfn.IFNA(_xlfn.XLOOKUP(Table3[[#This Row],[Product Type]],Lookups!$G$2:$G$4,Lookups!$H$2:$H$4),"CHECK PRODUCT"),Table3[[#This Row],[Min Speed (original, incomplete)]])</f>
        <v>15 mph</v>
      </c>
      <c r="I137" s="16" t="s">
        <v>18</v>
      </c>
      <c r="J137" s="16" t="s">
        <v>19</v>
      </c>
      <c r="K137" s="17">
        <f>ROUND(VALUE(SUBSTITUTE(Table3[[#This Row],[Min Speed (mph)]]," mph",""))*Lookups!$L$2,0)</f>
        <v>24</v>
      </c>
      <c r="L137" s="17">
        <f>ROUND(VALUE(SUBSTITUTE(Table3[[#This Row],[Speed]]," mph",""))*Lookups!$L$2,0)</f>
        <v>48</v>
      </c>
      <c r="M137" s="17" t="str">
        <f>Table3[[#This Row],[Min Speed (km/h)]]&amp;" – "&amp;Table3[[#This Row],[Max Speed (km/h)]]&amp;" km/h"</f>
        <v>24 – 48 km/h</v>
      </c>
      <c r="N137" s="18">
        <f>IF(ISNUMBER(SEARCH("mile",Table3[[#This Row],[Distance]])),ROUND(VALUE(SUBSTITUTE(Table3[[#This Row],[Distance]]," miles",""))*Lookups!$L$3,0),ROUND(VALUE(SUBSTITUTE(Table3[[#This Row],[Distance]]," meters",""))*Lookups!$L$4,0))</f>
        <v>48</v>
      </c>
      <c r="O137" s="16" t="s">
        <v>37</v>
      </c>
      <c r="P137" s="16" t="str">
        <f>TRIM(LEFT(Table3[[#This Row],[Shipping Address]],FIND(",",Table3[[#This Row],[Shipping Address]])-1))</f>
        <v>99 Nanjing Road</v>
      </c>
      <c r="Q137" s="16" t="str">
        <f>TRIM(MID(Table3[[#This Row],[Shipping Address]],FIND(",",Table3[[#This Row],[Shipping Address]])+1,FIND(",",Table3[[#This Row],[Shipping Address]],FIND(",",Table3[[#This Row],[Shipping Address]])+1)-FIND(",",Table3[[#This Row],[Shipping Address]])-1))</f>
        <v>Shanghai</v>
      </c>
      <c r="R137" s="16" t="str">
        <f>TRIM(MID(Table3[[#This Row],[Shipping Address]],FIND(",",Table3[[#This Row],[Shipping Address]],FIND(",",Table3[[#This Row],[Shipping Address]])+1)+1,20))</f>
        <v>200001</v>
      </c>
      <c r="S137" s="16" t="s">
        <v>38</v>
      </c>
      <c r="T137" s="16" t="str">
        <f>_xlfn.IFNA(_xlfn.XLOOKUP(Table3[[#This Row],[Country Code]],Lookups!$A$2:$A$5,Lookups!$B$2:$B$5),"CHECK CODE")</f>
        <v>China</v>
      </c>
      <c r="U137" s="16" t="str">
        <f>_xlfn.IFNA(_xlfn.XLOOKUP(Table3[[#This Row],[Country Code]],Lookups!$A$2:$A$5,Lookups!$C$2:$C$5),"CHECK CODE")</f>
        <v>Asia</v>
      </c>
      <c r="V137" s="16" t="s">
        <v>39</v>
      </c>
      <c r="W137" s="16" t="str">
        <f>_xlfn.IFNA(_xlfn.XLOOKUP(Table3[[#This Row],[Country Code]],Lookups!$A$2:$A$5,Lookups!$D$2:$D$5),"CHECK CODE")</f>
        <v>CNY</v>
      </c>
      <c r="X137" s="16">
        <f>VALUE(MID(Table3[[#This Row],[Unit Price]],2,50))</f>
        <v>5000</v>
      </c>
      <c r="Y137" s="19">
        <f>_xlfn.IFNA(_xlfn.XLOOKUP(Table3[[#This Row],[Country Code]],Lookups!$A$2:$A$5,Lookups!$E$2:$E$5),"")</f>
        <v>7.7255000000000003</v>
      </c>
      <c r="Z137" s="87">
        <f>Table3[[#This Row],[Unit Price (local)]]/Table3[[#This Row],[FX Rate (per EUR)]]</f>
        <v>647.20730049834958</v>
      </c>
      <c r="AA137" s="16">
        <v>800</v>
      </c>
      <c r="AB137" s="20">
        <v>20</v>
      </c>
      <c r="AC137" s="21">
        <f>ROUND(Table3[[#This Row],[Unit Price (EUR)]]*Table3[[#This Row],[Units Sold]],0)</f>
        <v>517766</v>
      </c>
      <c r="AD137" s="22">
        <f>ROUND(Table3[[#This Row],[Gross Sales (EUR)]]*(1-Table3[[#This Row],[Discount (%)]]/100),0)</f>
        <v>414213</v>
      </c>
      <c r="AE137" s="22">
        <f>_xlfn.IFNA(_xlfn.XLOOKUP(Table3[[#This Row],[Month]],Lookups!$N$2:$N$13,Lookups!$O$2:$O$13),"CHECK MONTH")</f>
        <v>12</v>
      </c>
      <c r="AF137" s="22" t="str">
        <f>TEXT(Table3[[#This Row],[Month No]],"00")&amp;" - "&amp;Table3[[#This Row],[Month]]</f>
        <v>12 - December</v>
      </c>
      <c r="AG137" s="22" t="str">
        <f>_xlfn.IFNA(_xlfn.XLOOKUP(Table3[[#This Row],[Month]],Lookups!$N$2:$N$13,Lookups!$P$2:$P$13),"CHECK MONTH")</f>
        <v>Q4</v>
      </c>
      <c r="AH137" s="22">
        <f>Table3[[#This Row],[Gross Sales (EUR)]]-Table3[[#This Row],[Total Sales (EUR)]]</f>
        <v>103553</v>
      </c>
      <c r="AI137" s="89">
        <f>DATE(Lookups!$O$15,Table3[[#This Row],[Month No]],1)</f>
        <v>45992</v>
      </c>
    </row>
    <row r="138" spans="1:35" x14ac:dyDescent="0.3">
      <c r="A138" s="15">
        <v>137</v>
      </c>
      <c r="B138" s="16" t="s">
        <v>35</v>
      </c>
      <c r="C138" s="16" t="s">
        <v>36</v>
      </c>
      <c r="D138" s="16" t="str">
        <f>TRIM(Table3[[#This Row],[Rep Last Name]])&amp;", "&amp;TRIM(Table3[[#This Row],[Rep First Name]])</f>
        <v>Liu, Fang</v>
      </c>
      <c r="E138" s="16" t="s">
        <v>75</v>
      </c>
      <c r="F138" s="16" t="s">
        <v>23</v>
      </c>
      <c r="G138" s="23"/>
      <c r="H138" s="16" t="str">
        <f>IF(Table3[[#This Row],[Min Speed (original, incomplete)]]="",_xlfn.IFNA(_xlfn.XLOOKUP(Table3[[#This Row],[Product Type]],Lookups!$G$2:$G$4,Lookups!$H$2:$H$4),"CHECK PRODUCT"),Table3[[#This Row],[Min Speed (original, incomplete)]])</f>
        <v>20 mph</v>
      </c>
      <c r="I138" s="16" t="s">
        <v>25</v>
      </c>
      <c r="J138" s="16" t="s">
        <v>60</v>
      </c>
      <c r="K138" s="17">
        <f>ROUND(VALUE(SUBSTITUTE(Table3[[#This Row],[Min Speed (mph)]]," mph",""))*Lookups!$L$2,0)</f>
        <v>32</v>
      </c>
      <c r="L138" s="17">
        <f>ROUND(VALUE(SUBSTITUTE(Table3[[#This Row],[Speed]]," mph",""))*Lookups!$L$2,0)</f>
        <v>56</v>
      </c>
      <c r="M138" s="17" t="str">
        <f>Table3[[#This Row],[Min Speed (km/h)]]&amp;" – "&amp;Table3[[#This Row],[Max Speed (km/h)]]&amp;" km/h"</f>
        <v>32 – 56 km/h</v>
      </c>
      <c r="N138" s="18">
        <f>IF(ISNUMBER(SEARCH("mile",Table3[[#This Row],[Distance]])),ROUND(VALUE(SUBSTITUTE(Table3[[#This Row],[Distance]]," miles",""))*Lookups!$L$3,0),ROUND(VALUE(SUBSTITUTE(Table3[[#This Row],[Distance]]," meters",""))*Lookups!$L$4,0))</f>
        <v>64</v>
      </c>
      <c r="O138" s="16" t="s">
        <v>40</v>
      </c>
      <c r="P138" s="16" t="str">
        <f>TRIM(LEFT(Table3[[#This Row],[Shipping Address]],FIND(",",Table3[[#This Row],[Shipping Address]])-1))</f>
        <v>100 Nanjing Road</v>
      </c>
      <c r="Q138" s="16" t="str">
        <f>TRIM(MID(Table3[[#This Row],[Shipping Address]],FIND(",",Table3[[#This Row],[Shipping Address]])+1,FIND(",",Table3[[#This Row],[Shipping Address]],FIND(",",Table3[[#This Row],[Shipping Address]])+1)-FIND(",",Table3[[#This Row],[Shipping Address]])-1))</f>
        <v>Shanghai</v>
      </c>
      <c r="R138" s="16" t="str">
        <f>TRIM(MID(Table3[[#This Row],[Shipping Address]],FIND(",",Table3[[#This Row],[Shipping Address]],FIND(",",Table3[[#This Row],[Shipping Address]])+1)+1,20))</f>
        <v>200001</v>
      </c>
      <c r="S138" s="16" t="s">
        <v>38</v>
      </c>
      <c r="T138" s="16" t="str">
        <f>_xlfn.IFNA(_xlfn.XLOOKUP(Table3[[#This Row],[Country Code]],Lookups!$A$2:$A$5,Lookups!$B$2:$B$5),"CHECK CODE")</f>
        <v>China</v>
      </c>
      <c r="U138" s="16" t="str">
        <f>_xlfn.IFNA(_xlfn.XLOOKUP(Table3[[#This Row],[Country Code]],Lookups!$A$2:$A$5,Lookups!$C$2:$C$5),"CHECK CODE")</f>
        <v>Asia</v>
      </c>
      <c r="V138" s="16" t="s">
        <v>41</v>
      </c>
      <c r="W138" s="16" t="str">
        <f>_xlfn.IFNA(_xlfn.XLOOKUP(Table3[[#This Row],[Country Code]],Lookups!$A$2:$A$5,Lookups!$D$2:$D$5),"CHECK CODE")</f>
        <v>CNY</v>
      </c>
      <c r="X138" s="16">
        <f>VALUE(MID(Table3[[#This Row],[Unit Price]],2,50))</f>
        <v>3500</v>
      </c>
      <c r="Y138" s="19">
        <f>_xlfn.IFNA(_xlfn.XLOOKUP(Table3[[#This Row],[Country Code]],Lookups!$A$2:$A$5,Lookups!$E$2:$E$5),"")</f>
        <v>7.7255000000000003</v>
      </c>
      <c r="Z138" s="87">
        <f>Table3[[#This Row],[Unit Price (local)]]/Table3[[#This Row],[FX Rate (per EUR)]]</f>
        <v>453.04511034884473</v>
      </c>
      <c r="AA138" s="16">
        <v>2000</v>
      </c>
      <c r="AB138" s="20">
        <v>20</v>
      </c>
      <c r="AC138" s="21">
        <f>ROUND(Table3[[#This Row],[Unit Price (EUR)]]*Table3[[#This Row],[Units Sold]],0)</f>
        <v>906090</v>
      </c>
      <c r="AD138" s="22">
        <f>ROUND(Table3[[#This Row],[Gross Sales (EUR)]]*(1-Table3[[#This Row],[Discount (%)]]/100),0)</f>
        <v>724872</v>
      </c>
      <c r="AE138" s="22">
        <f>_xlfn.IFNA(_xlfn.XLOOKUP(Table3[[#This Row],[Month]],Lookups!$N$2:$N$13,Lookups!$O$2:$O$13),"CHECK MONTH")</f>
        <v>12</v>
      </c>
      <c r="AF138" s="22" t="str">
        <f>TEXT(Table3[[#This Row],[Month No]],"00")&amp;" - "&amp;Table3[[#This Row],[Month]]</f>
        <v>12 - December</v>
      </c>
      <c r="AG138" s="22" t="str">
        <f>_xlfn.IFNA(_xlfn.XLOOKUP(Table3[[#This Row],[Month]],Lookups!$N$2:$N$13,Lookups!$P$2:$P$13),"CHECK MONTH")</f>
        <v>Q4</v>
      </c>
      <c r="AH138" s="22">
        <f>Table3[[#This Row],[Gross Sales (EUR)]]-Table3[[#This Row],[Total Sales (EUR)]]</f>
        <v>181218</v>
      </c>
      <c r="AI138" s="89">
        <f>DATE(Lookups!$O$15,Table3[[#This Row],[Month No]],1)</f>
        <v>45992</v>
      </c>
    </row>
    <row r="139" spans="1:35" x14ac:dyDescent="0.3">
      <c r="A139" s="15">
        <v>138</v>
      </c>
      <c r="B139" s="16" t="s">
        <v>35</v>
      </c>
      <c r="C139" s="16" t="s">
        <v>36</v>
      </c>
      <c r="D139" s="16" t="str">
        <f>TRIM(Table3[[#This Row],[Rep Last Name]])&amp;", "&amp;TRIM(Table3[[#This Row],[Rep First Name]])</f>
        <v>Liu, Fang</v>
      </c>
      <c r="E139" s="16" t="s">
        <v>75</v>
      </c>
      <c r="F139" s="16" t="s">
        <v>29</v>
      </c>
      <c r="G139" s="16" t="s">
        <v>30</v>
      </c>
      <c r="H139" s="16" t="str">
        <f>IF(Table3[[#This Row],[Min Speed (original, incomplete)]]="",_xlfn.IFNA(_xlfn.XLOOKUP(Table3[[#This Row],[Product Type]],Lookups!$G$2:$G$4,Lookups!$H$2:$H$4),"CHECK PRODUCT"),Table3[[#This Row],[Min Speed (original, incomplete)]])</f>
        <v>18 mph</v>
      </c>
      <c r="I139" s="16" t="s">
        <v>31</v>
      </c>
      <c r="J139" s="16" t="s">
        <v>32</v>
      </c>
      <c r="K139" s="17">
        <f>ROUND(VALUE(SUBSTITUTE(Table3[[#This Row],[Min Speed (mph)]]," mph",""))*Lookups!$L$2,0)</f>
        <v>29</v>
      </c>
      <c r="L139" s="17">
        <f>ROUND(VALUE(SUBSTITUTE(Table3[[#This Row],[Speed]]," mph",""))*Lookups!$L$2,0)</f>
        <v>45</v>
      </c>
      <c r="M139" s="17" t="str">
        <f>Table3[[#This Row],[Min Speed (km/h)]]&amp;" – "&amp;Table3[[#This Row],[Max Speed (km/h)]]&amp;" km/h"</f>
        <v>29 – 45 km/h</v>
      </c>
      <c r="N139" s="18">
        <f>IF(ISNUMBER(SEARCH("mile",Table3[[#This Row],[Distance]])),ROUND(VALUE(SUBSTITUTE(Table3[[#This Row],[Distance]]," miles",""))*Lookups!$L$3,0),ROUND(VALUE(SUBSTITUTE(Table3[[#This Row],[Distance]]," meters",""))*Lookups!$L$4,0))</f>
        <v>40</v>
      </c>
      <c r="O139" s="16" t="s">
        <v>43</v>
      </c>
      <c r="P139" s="16" t="str">
        <f>TRIM(LEFT(Table3[[#This Row],[Shipping Address]],FIND(",",Table3[[#This Row],[Shipping Address]])-1))</f>
        <v>101 Nanjing Road</v>
      </c>
      <c r="Q139" s="16" t="str">
        <f>TRIM(MID(Table3[[#This Row],[Shipping Address]],FIND(",",Table3[[#This Row],[Shipping Address]])+1,FIND(",",Table3[[#This Row],[Shipping Address]],FIND(",",Table3[[#This Row],[Shipping Address]])+1)-FIND(",",Table3[[#This Row],[Shipping Address]])-1))</f>
        <v>Shanghai</v>
      </c>
      <c r="R139" s="16" t="str">
        <f>TRIM(MID(Table3[[#This Row],[Shipping Address]],FIND(",",Table3[[#This Row],[Shipping Address]],FIND(",",Table3[[#This Row],[Shipping Address]])+1)+1,20))</f>
        <v>200001</v>
      </c>
      <c r="S139" s="16" t="s">
        <v>38</v>
      </c>
      <c r="T139" s="16" t="str">
        <f>_xlfn.IFNA(_xlfn.XLOOKUP(Table3[[#This Row],[Country Code]],Lookups!$A$2:$A$5,Lookups!$B$2:$B$5),"CHECK CODE")</f>
        <v>China</v>
      </c>
      <c r="U139" s="16" t="str">
        <f>_xlfn.IFNA(_xlfn.XLOOKUP(Table3[[#This Row],[Country Code]],Lookups!$A$2:$A$5,Lookups!$C$2:$C$5),"CHECK CODE")</f>
        <v>Asia</v>
      </c>
      <c r="V139" s="16" t="s">
        <v>44</v>
      </c>
      <c r="W139" s="16" t="str">
        <f>_xlfn.IFNA(_xlfn.XLOOKUP(Table3[[#This Row],[Country Code]],Lookups!$A$2:$A$5,Lookups!$D$2:$D$5),"CHECK CODE")</f>
        <v>CNY</v>
      </c>
      <c r="X139" s="16">
        <f>VALUE(MID(Table3[[#This Row],[Unit Price]],2,50))</f>
        <v>4200</v>
      </c>
      <c r="Y139" s="19">
        <f>_xlfn.IFNA(_xlfn.XLOOKUP(Table3[[#This Row],[Country Code]],Lookups!$A$2:$A$5,Lookups!$E$2:$E$5),"")</f>
        <v>7.7255000000000003</v>
      </c>
      <c r="Z139" s="87">
        <f>Table3[[#This Row],[Unit Price (local)]]/Table3[[#This Row],[FX Rate (per EUR)]]</f>
        <v>543.6541324186137</v>
      </c>
      <c r="AA139" s="16">
        <v>1200</v>
      </c>
      <c r="AB139" s="20">
        <v>20</v>
      </c>
      <c r="AC139" s="21">
        <f>ROUND(Table3[[#This Row],[Unit Price (EUR)]]*Table3[[#This Row],[Units Sold]],0)</f>
        <v>652385</v>
      </c>
      <c r="AD139" s="22">
        <f>ROUND(Table3[[#This Row],[Gross Sales (EUR)]]*(1-Table3[[#This Row],[Discount (%)]]/100),0)</f>
        <v>521908</v>
      </c>
      <c r="AE139" s="22">
        <f>_xlfn.IFNA(_xlfn.XLOOKUP(Table3[[#This Row],[Month]],Lookups!$N$2:$N$13,Lookups!$O$2:$O$13),"CHECK MONTH")</f>
        <v>12</v>
      </c>
      <c r="AF139" s="22" t="str">
        <f>TEXT(Table3[[#This Row],[Month No]],"00")&amp;" - "&amp;Table3[[#This Row],[Month]]</f>
        <v>12 - December</v>
      </c>
      <c r="AG139" s="22" t="str">
        <f>_xlfn.IFNA(_xlfn.XLOOKUP(Table3[[#This Row],[Month]],Lookups!$N$2:$N$13,Lookups!$P$2:$P$13),"CHECK MONTH")</f>
        <v>Q4</v>
      </c>
      <c r="AH139" s="22">
        <f>Table3[[#This Row],[Gross Sales (EUR)]]-Table3[[#This Row],[Total Sales (EUR)]]</f>
        <v>130477</v>
      </c>
      <c r="AI139" s="89">
        <f>DATE(Lookups!$O$15,Table3[[#This Row],[Month No]],1)</f>
        <v>45992</v>
      </c>
    </row>
    <row r="140" spans="1:35" x14ac:dyDescent="0.3">
      <c r="A140" s="15">
        <v>139</v>
      </c>
      <c r="B140" s="16" t="s">
        <v>45</v>
      </c>
      <c r="C140" s="16" t="s">
        <v>46</v>
      </c>
      <c r="D140" s="16" t="str">
        <f>TRIM(Table3[[#This Row],[Rep Last Name]])&amp;", "&amp;TRIM(Table3[[#This Row],[Rep First Name]])</f>
        <v>Fischer, Jonas</v>
      </c>
      <c r="E140" s="16" t="s">
        <v>75</v>
      </c>
      <c r="F140" s="16" t="s">
        <v>16</v>
      </c>
      <c r="G140" s="16" t="s">
        <v>17</v>
      </c>
      <c r="H140" s="16" t="str">
        <f>IF(Table3[[#This Row],[Min Speed (original, incomplete)]]="",_xlfn.IFNA(_xlfn.XLOOKUP(Table3[[#This Row],[Product Type]],Lookups!$G$2:$G$4,Lookups!$H$2:$H$4),"CHECK PRODUCT"),Table3[[#This Row],[Min Speed (original, incomplete)]])</f>
        <v>15 mph</v>
      </c>
      <c r="I140" s="16" t="s">
        <v>18</v>
      </c>
      <c r="J140" s="16" t="s">
        <v>47</v>
      </c>
      <c r="K140" s="17">
        <f>ROUND(VALUE(SUBSTITUTE(Table3[[#This Row],[Min Speed (mph)]]," mph",""))*Lookups!$L$2,0)</f>
        <v>24</v>
      </c>
      <c r="L140" s="17">
        <f>ROUND(VALUE(SUBSTITUTE(Table3[[#This Row],[Speed]]," mph",""))*Lookups!$L$2,0)</f>
        <v>48</v>
      </c>
      <c r="M140" s="17" t="str">
        <f>Table3[[#This Row],[Min Speed (km/h)]]&amp;" – "&amp;Table3[[#This Row],[Max Speed (km/h)]]&amp;" km/h"</f>
        <v>24 – 48 km/h</v>
      </c>
      <c r="N140" s="18">
        <f>IF(ISNUMBER(SEARCH("mile",Table3[[#This Row],[Distance]])),ROUND(VALUE(SUBSTITUTE(Table3[[#This Row],[Distance]]," miles",""))*Lookups!$L$3,0),ROUND(VALUE(SUBSTITUTE(Table3[[#This Row],[Distance]]," meters",""))*Lookups!$L$4,0))</f>
        <v>48</v>
      </c>
      <c r="O140" s="16" t="s">
        <v>48</v>
      </c>
      <c r="P140" s="16" t="str">
        <f>TRIM(LEFT(Table3[[#This Row],[Shipping Address]],FIND(",",Table3[[#This Row],[Shipping Address]])-1))</f>
        <v>303 Ringstraße</v>
      </c>
      <c r="Q140" s="16" t="str">
        <f>TRIM(MID(Table3[[#This Row],[Shipping Address]],FIND(",",Table3[[#This Row],[Shipping Address]])+1,FIND(",",Table3[[#This Row],[Shipping Address]],FIND(",",Table3[[#This Row],[Shipping Address]])+1)-FIND(",",Table3[[#This Row],[Shipping Address]])-1))</f>
        <v>Hamburg</v>
      </c>
      <c r="R140" s="16" t="str">
        <f>TRIM(MID(Table3[[#This Row],[Shipping Address]],FIND(",",Table3[[#This Row],[Shipping Address]],FIND(",",Table3[[#This Row],[Shipping Address]])+1)+1,20))</f>
        <v>20095</v>
      </c>
      <c r="S140" s="16" t="s">
        <v>49</v>
      </c>
      <c r="T140" s="16" t="str">
        <f>_xlfn.IFNA(_xlfn.XLOOKUP(Table3[[#This Row],[Country Code]],Lookups!$A$2:$A$5,Lookups!$B$2:$B$5),"CHECK CODE")</f>
        <v>Germany</v>
      </c>
      <c r="U140" s="16" t="str">
        <f>_xlfn.IFNA(_xlfn.XLOOKUP(Table3[[#This Row],[Country Code]],Lookups!$A$2:$A$5,Lookups!$C$2:$C$5),"CHECK CODE")</f>
        <v>Europe</v>
      </c>
      <c r="V140" s="16" t="s">
        <v>50</v>
      </c>
      <c r="W140" s="16" t="str">
        <f>_xlfn.IFNA(_xlfn.XLOOKUP(Table3[[#This Row],[Country Code]],Lookups!$A$2:$A$5,Lookups!$D$2:$D$5),"CHECK CODE")</f>
        <v>EUR</v>
      </c>
      <c r="X140" s="16">
        <f>VALUE(MID(Table3[[#This Row],[Unit Price]],2,50))</f>
        <v>1000</v>
      </c>
      <c r="Y140" s="19">
        <f>_xlfn.IFNA(_xlfn.XLOOKUP(Table3[[#This Row],[Country Code]],Lookups!$A$2:$A$5,Lookups!$E$2:$E$5),"")</f>
        <v>1</v>
      </c>
      <c r="Z140" s="87">
        <f>Table3[[#This Row],[Unit Price (local)]]/Table3[[#This Row],[FX Rate (per EUR)]]</f>
        <v>1000</v>
      </c>
      <c r="AA140" s="16">
        <v>200</v>
      </c>
      <c r="AB140" s="20">
        <v>20</v>
      </c>
      <c r="AC140" s="21">
        <f>ROUND(Table3[[#This Row],[Unit Price (EUR)]]*Table3[[#This Row],[Units Sold]],0)</f>
        <v>200000</v>
      </c>
      <c r="AD140" s="22">
        <f>ROUND(Table3[[#This Row],[Gross Sales (EUR)]]*(1-Table3[[#This Row],[Discount (%)]]/100),0)</f>
        <v>160000</v>
      </c>
      <c r="AE140" s="22">
        <f>_xlfn.IFNA(_xlfn.XLOOKUP(Table3[[#This Row],[Month]],Lookups!$N$2:$N$13,Lookups!$O$2:$O$13),"CHECK MONTH")</f>
        <v>12</v>
      </c>
      <c r="AF140" s="22" t="str">
        <f>TEXT(Table3[[#This Row],[Month No]],"00")&amp;" - "&amp;Table3[[#This Row],[Month]]</f>
        <v>12 - December</v>
      </c>
      <c r="AG140" s="22" t="str">
        <f>_xlfn.IFNA(_xlfn.XLOOKUP(Table3[[#This Row],[Month]],Lookups!$N$2:$N$13,Lookups!$P$2:$P$13),"CHECK MONTH")</f>
        <v>Q4</v>
      </c>
      <c r="AH140" s="22">
        <f>Table3[[#This Row],[Gross Sales (EUR)]]-Table3[[#This Row],[Total Sales (EUR)]]</f>
        <v>40000</v>
      </c>
      <c r="AI140" s="89">
        <f>DATE(Lookups!$O$15,Table3[[#This Row],[Month No]],1)</f>
        <v>45992</v>
      </c>
    </row>
    <row r="141" spans="1:35" x14ac:dyDescent="0.3">
      <c r="A141" s="15">
        <v>140</v>
      </c>
      <c r="B141" s="16" t="s">
        <v>45</v>
      </c>
      <c r="C141" s="16" t="s">
        <v>46</v>
      </c>
      <c r="D141" s="16" t="str">
        <f>TRIM(Table3[[#This Row],[Rep Last Name]])&amp;", "&amp;TRIM(Table3[[#This Row],[Rep First Name]])</f>
        <v>Fischer, Jonas</v>
      </c>
      <c r="E141" s="16" t="s">
        <v>75</v>
      </c>
      <c r="F141" s="16" t="s">
        <v>23</v>
      </c>
      <c r="G141" s="16" t="s">
        <v>24</v>
      </c>
      <c r="H141" s="16" t="str">
        <f>IF(Table3[[#This Row],[Min Speed (original, incomplete)]]="",_xlfn.IFNA(_xlfn.XLOOKUP(Table3[[#This Row],[Product Type]],Lookups!$G$2:$G$4,Lookups!$H$2:$H$4),"CHECK PRODUCT"),Table3[[#This Row],[Min Speed (original, incomplete)]])</f>
        <v>20 mph</v>
      </c>
      <c r="I141" s="16" t="s">
        <v>25</v>
      </c>
      <c r="J141" s="16" t="s">
        <v>60</v>
      </c>
      <c r="K141" s="17">
        <f>ROUND(VALUE(SUBSTITUTE(Table3[[#This Row],[Min Speed (mph)]]," mph",""))*Lookups!$L$2,0)</f>
        <v>32</v>
      </c>
      <c r="L141" s="17">
        <f>ROUND(VALUE(SUBSTITUTE(Table3[[#This Row],[Speed]]," mph",""))*Lookups!$L$2,0)</f>
        <v>56</v>
      </c>
      <c r="M141" s="17" t="str">
        <f>Table3[[#This Row],[Min Speed (km/h)]]&amp;" – "&amp;Table3[[#This Row],[Max Speed (km/h)]]&amp;" km/h"</f>
        <v>32 – 56 km/h</v>
      </c>
      <c r="N141" s="18">
        <f>IF(ISNUMBER(SEARCH("mile",Table3[[#This Row],[Distance]])),ROUND(VALUE(SUBSTITUTE(Table3[[#This Row],[Distance]]," miles",""))*Lookups!$L$3,0),ROUND(VALUE(SUBSTITUTE(Table3[[#This Row],[Distance]]," meters",""))*Lookups!$L$4,0))</f>
        <v>64</v>
      </c>
      <c r="O141" s="16" t="s">
        <v>51</v>
      </c>
      <c r="P141" s="16" t="str">
        <f>TRIM(LEFT(Table3[[#This Row],[Shipping Address]],FIND(",",Table3[[#This Row],[Shipping Address]])-1))</f>
        <v>304 Ringstraße</v>
      </c>
      <c r="Q141" s="16" t="str">
        <f>TRIM(MID(Table3[[#This Row],[Shipping Address]],FIND(",",Table3[[#This Row],[Shipping Address]])+1,FIND(",",Table3[[#This Row],[Shipping Address]],FIND(",",Table3[[#This Row],[Shipping Address]])+1)-FIND(",",Table3[[#This Row],[Shipping Address]])-1))</f>
        <v>Hamburg</v>
      </c>
      <c r="R141" s="16" t="str">
        <f>TRIM(MID(Table3[[#This Row],[Shipping Address]],FIND(",",Table3[[#This Row],[Shipping Address]],FIND(",",Table3[[#This Row],[Shipping Address]])+1)+1,20))</f>
        <v>20095</v>
      </c>
      <c r="S141" s="16" t="s">
        <v>49</v>
      </c>
      <c r="T141" s="16" t="str">
        <f>_xlfn.IFNA(_xlfn.XLOOKUP(Table3[[#This Row],[Country Code]],Lookups!$A$2:$A$5,Lookups!$B$2:$B$5),"CHECK CODE")</f>
        <v>Germany</v>
      </c>
      <c r="U141" s="16" t="str">
        <f>_xlfn.IFNA(_xlfn.XLOOKUP(Table3[[#This Row],[Country Code]],Lookups!$A$2:$A$5,Lookups!$C$2:$C$5),"CHECK CODE")</f>
        <v>Europe</v>
      </c>
      <c r="V141" s="16" t="s">
        <v>52</v>
      </c>
      <c r="W141" s="16" t="str">
        <f>_xlfn.IFNA(_xlfn.XLOOKUP(Table3[[#This Row],[Country Code]],Lookups!$A$2:$A$5,Lookups!$D$2:$D$5),"CHECK CODE")</f>
        <v>EUR</v>
      </c>
      <c r="X141" s="16">
        <f>VALUE(MID(Table3[[#This Row],[Unit Price]],2,50))</f>
        <v>800</v>
      </c>
      <c r="Y141" s="19">
        <f>_xlfn.IFNA(_xlfn.XLOOKUP(Table3[[#This Row],[Country Code]],Lookups!$A$2:$A$5,Lookups!$E$2:$E$5),"")</f>
        <v>1</v>
      </c>
      <c r="Z141" s="87">
        <f>Table3[[#This Row],[Unit Price (local)]]/Table3[[#This Row],[FX Rate (per EUR)]]</f>
        <v>800</v>
      </c>
      <c r="AA141" s="16">
        <v>400</v>
      </c>
      <c r="AB141" s="20">
        <v>20</v>
      </c>
      <c r="AC141" s="21">
        <f>ROUND(Table3[[#This Row],[Unit Price (EUR)]]*Table3[[#This Row],[Units Sold]],0)</f>
        <v>320000</v>
      </c>
      <c r="AD141" s="22">
        <f>ROUND(Table3[[#This Row],[Gross Sales (EUR)]]*(1-Table3[[#This Row],[Discount (%)]]/100),0)</f>
        <v>256000</v>
      </c>
      <c r="AE141" s="22">
        <f>_xlfn.IFNA(_xlfn.XLOOKUP(Table3[[#This Row],[Month]],Lookups!$N$2:$N$13,Lookups!$O$2:$O$13),"CHECK MONTH")</f>
        <v>12</v>
      </c>
      <c r="AF141" s="22" t="str">
        <f>TEXT(Table3[[#This Row],[Month No]],"00")&amp;" - "&amp;Table3[[#This Row],[Month]]</f>
        <v>12 - December</v>
      </c>
      <c r="AG141" s="22" t="str">
        <f>_xlfn.IFNA(_xlfn.XLOOKUP(Table3[[#This Row],[Month]],Lookups!$N$2:$N$13,Lookups!$P$2:$P$13),"CHECK MONTH")</f>
        <v>Q4</v>
      </c>
      <c r="AH141" s="22">
        <f>Table3[[#This Row],[Gross Sales (EUR)]]-Table3[[#This Row],[Total Sales (EUR)]]</f>
        <v>64000</v>
      </c>
      <c r="AI141" s="89">
        <f>DATE(Lookups!$O$15,Table3[[#This Row],[Month No]],1)</f>
        <v>45992</v>
      </c>
    </row>
    <row r="142" spans="1:35" x14ac:dyDescent="0.3">
      <c r="A142" s="15">
        <v>141</v>
      </c>
      <c r="B142" s="16" t="s">
        <v>45</v>
      </c>
      <c r="C142" s="16" t="s">
        <v>46</v>
      </c>
      <c r="D142" s="16" t="str">
        <f>TRIM(Table3[[#This Row],[Rep Last Name]])&amp;", "&amp;TRIM(Table3[[#This Row],[Rep First Name]])</f>
        <v>Fischer, Jonas</v>
      </c>
      <c r="E142" s="16" t="s">
        <v>75</v>
      </c>
      <c r="F142" s="16" t="s">
        <v>29</v>
      </c>
      <c r="G142" s="23"/>
      <c r="H142" s="16" t="str">
        <f>IF(Table3[[#This Row],[Min Speed (original, incomplete)]]="",_xlfn.IFNA(_xlfn.XLOOKUP(Table3[[#This Row],[Product Type]],Lookups!$G$2:$G$4,Lookups!$H$2:$H$4),"CHECK PRODUCT"),Table3[[#This Row],[Min Speed (original, incomplete)]])</f>
        <v>18 mph</v>
      </c>
      <c r="I142" s="16" t="s">
        <v>31</v>
      </c>
      <c r="J142" s="16" t="s">
        <v>32</v>
      </c>
      <c r="K142" s="17">
        <f>ROUND(VALUE(SUBSTITUTE(Table3[[#This Row],[Min Speed (mph)]]," mph",""))*Lookups!$L$2,0)</f>
        <v>29</v>
      </c>
      <c r="L142" s="17">
        <f>ROUND(VALUE(SUBSTITUTE(Table3[[#This Row],[Speed]]," mph",""))*Lookups!$L$2,0)</f>
        <v>45</v>
      </c>
      <c r="M142" s="17" t="str">
        <f>Table3[[#This Row],[Min Speed (km/h)]]&amp;" – "&amp;Table3[[#This Row],[Max Speed (km/h)]]&amp;" km/h"</f>
        <v>29 – 45 km/h</v>
      </c>
      <c r="N142" s="18">
        <f>IF(ISNUMBER(SEARCH("mile",Table3[[#This Row],[Distance]])),ROUND(VALUE(SUBSTITUTE(Table3[[#This Row],[Distance]]," miles",""))*Lookups!$L$3,0),ROUND(VALUE(SUBSTITUTE(Table3[[#This Row],[Distance]]," meters",""))*Lookups!$L$4,0))</f>
        <v>40</v>
      </c>
      <c r="O142" s="16" t="s">
        <v>53</v>
      </c>
      <c r="P142" s="16" t="str">
        <f>TRIM(LEFT(Table3[[#This Row],[Shipping Address]],FIND(",",Table3[[#This Row],[Shipping Address]])-1))</f>
        <v>305 Ringstraße</v>
      </c>
      <c r="Q142" s="16" t="str">
        <f>TRIM(MID(Table3[[#This Row],[Shipping Address]],FIND(",",Table3[[#This Row],[Shipping Address]])+1,FIND(",",Table3[[#This Row],[Shipping Address]],FIND(",",Table3[[#This Row],[Shipping Address]])+1)-FIND(",",Table3[[#This Row],[Shipping Address]])-1))</f>
        <v>Hamburg</v>
      </c>
      <c r="R142" s="16" t="str">
        <f>TRIM(MID(Table3[[#This Row],[Shipping Address]],FIND(",",Table3[[#This Row],[Shipping Address]],FIND(",",Table3[[#This Row],[Shipping Address]])+1)+1,20))</f>
        <v>20095</v>
      </c>
      <c r="S142" s="16" t="s">
        <v>49</v>
      </c>
      <c r="T142" s="16" t="str">
        <f>_xlfn.IFNA(_xlfn.XLOOKUP(Table3[[#This Row],[Country Code]],Lookups!$A$2:$A$5,Lookups!$B$2:$B$5),"CHECK CODE")</f>
        <v>Germany</v>
      </c>
      <c r="U142" s="16" t="str">
        <f>_xlfn.IFNA(_xlfn.XLOOKUP(Table3[[#This Row],[Country Code]],Lookups!$A$2:$A$5,Lookups!$C$2:$C$5),"CHECK CODE")</f>
        <v>Europe</v>
      </c>
      <c r="V142" s="16" t="s">
        <v>54</v>
      </c>
      <c r="W142" s="16" t="str">
        <f>_xlfn.IFNA(_xlfn.XLOOKUP(Table3[[#This Row],[Country Code]],Lookups!$A$2:$A$5,Lookups!$D$2:$D$5),"CHECK CODE")</f>
        <v>EUR</v>
      </c>
      <c r="X142" s="16">
        <f>VALUE(MID(Table3[[#This Row],[Unit Price]],2,50))</f>
        <v>950</v>
      </c>
      <c r="Y142" s="19">
        <f>_xlfn.IFNA(_xlfn.XLOOKUP(Table3[[#This Row],[Country Code]],Lookups!$A$2:$A$5,Lookups!$E$2:$E$5),"")</f>
        <v>1</v>
      </c>
      <c r="Z142" s="87">
        <f>Table3[[#This Row],[Unit Price (local)]]/Table3[[#This Row],[FX Rate (per EUR)]]</f>
        <v>950</v>
      </c>
      <c r="AA142" s="16">
        <v>350</v>
      </c>
      <c r="AB142" s="20">
        <v>20</v>
      </c>
      <c r="AC142" s="21">
        <f>ROUND(Table3[[#This Row],[Unit Price (EUR)]]*Table3[[#This Row],[Units Sold]],0)</f>
        <v>332500</v>
      </c>
      <c r="AD142" s="22">
        <f>ROUND(Table3[[#This Row],[Gross Sales (EUR)]]*(1-Table3[[#This Row],[Discount (%)]]/100),0)</f>
        <v>266000</v>
      </c>
      <c r="AE142" s="22">
        <f>_xlfn.IFNA(_xlfn.XLOOKUP(Table3[[#This Row],[Month]],Lookups!$N$2:$N$13,Lookups!$O$2:$O$13),"CHECK MONTH")</f>
        <v>12</v>
      </c>
      <c r="AF142" s="22" t="str">
        <f>TEXT(Table3[[#This Row],[Month No]],"00")&amp;" - "&amp;Table3[[#This Row],[Month]]</f>
        <v>12 - December</v>
      </c>
      <c r="AG142" s="22" t="str">
        <f>_xlfn.IFNA(_xlfn.XLOOKUP(Table3[[#This Row],[Month]],Lookups!$N$2:$N$13,Lookups!$P$2:$P$13),"CHECK MONTH")</f>
        <v>Q4</v>
      </c>
      <c r="AH142" s="22">
        <f>Table3[[#This Row],[Gross Sales (EUR)]]-Table3[[#This Row],[Total Sales (EUR)]]</f>
        <v>66500</v>
      </c>
      <c r="AI142" s="89">
        <f>DATE(Lookups!$O$15,Table3[[#This Row],[Month No]],1)</f>
        <v>45992</v>
      </c>
    </row>
    <row r="143" spans="1:35" x14ac:dyDescent="0.3">
      <c r="A143" s="15">
        <v>142</v>
      </c>
      <c r="B143" s="16" t="s">
        <v>55</v>
      </c>
      <c r="C143" s="16" t="s">
        <v>56</v>
      </c>
      <c r="D143" s="16" t="str">
        <f>TRIM(Table3[[#This Row],[Rep Last Name]])&amp;", "&amp;TRIM(Table3[[#This Row],[Rep First Name]])</f>
        <v>Bernard, Théo</v>
      </c>
      <c r="E143" s="16" t="s">
        <v>75</v>
      </c>
      <c r="F143" s="16" t="s">
        <v>16</v>
      </c>
      <c r="G143" s="16" t="s">
        <v>17</v>
      </c>
      <c r="H143" s="16" t="str">
        <f>IF(Table3[[#This Row],[Min Speed (original, incomplete)]]="",_xlfn.IFNA(_xlfn.XLOOKUP(Table3[[#This Row],[Product Type]],Lookups!$G$2:$G$4,Lookups!$H$2:$H$4),"CHECK PRODUCT"),Table3[[#This Row],[Min Speed (original, incomplete)]])</f>
        <v>15 mph</v>
      </c>
      <c r="I143" s="16" t="s">
        <v>18</v>
      </c>
      <c r="J143" s="16" t="s">
        <v>19</v>
      </c>
      <c r="K143" s="17">
        <f>ROUND(VALUE(SUBSTITUTE(Table3[[#This Row],[Min Speed (mph)]]," mph",""))*Lookups!$L$2,0)</f>
        <v>24</v>
      </c>
      <c r="L143" s="17">
        <f>ROUND(VALUE(SUBSTITUTE(Table3[[#This Row],[Speed]]," mph",""))*Lookups!$L$2,0)</f>
        <v>48</v>
      </c>
      <c r="M143" s="17" t="str">
        <f>Table3[[#This Row],[Min Speed (km/h)]]&amp;" – "&amp;Table3[[#This Row],[Max Speed (km/h)]]&amp;" km/h"</f>
        <v>24 – 48 km/h</v>
      </c>
      <c r="N143" s="18">
        <f>IF(ISNUMBER(SEARCH("mile",Table3[[#This Row],[Distance]])),ROUND(VALUE(SUBSTITUTE(Table3[[#This Row],[Distance]]," miles",""))*Lookups!$L$3,0),ROUND(VALUE(SUBSTITUTE(Table3[[#This Row],[Distance]]," meters",""))*Lookups!$L$4,0))</f>
        <v>48</v>
      </c>
      <c r="O143" s="16" t="s">
        <v>57</v>
      </c>
      <c r="P143" s="16" t="str">
        <f>TRIM(LEFT(Table3[[#This Row],[Shipping Address]],FIND(",",Table3[[#This Row],[Shipping Address]])-1))</f>
        <v>56 Boulevard Saint-Germain</v>
      </c>
      <c r="Q143" s="16" t="str">
        <f>TRIM(MID(Table3[[#This Row],[Shipping Address]],FIND(",",Table3[[#This Row],[Shipping Address]])+1,FIND(",",Table3[[#This Row],[Shipping Address]],FIND(",",Table3[[#This Row],[Shipping Address]])+1)-FIND(",",Table3[[#This Row],[Shipping Address]])-1))</f>
        <v>Paris</v>
      </c>
      <c r="R143" s="16" t="str">
        <f>TRIM(MID(Table3[[#This Row],[Shipping Address]],FIND(",",Table3[[#This Row],[Shipping Address]],FIND(",",Table3[[#This Row],[Shipping Address]])+1)+1,20))</f>
        <v>75005</v>
      </c>
      <c r="S143" s="16" t="s">
        <v>58</v>
      </c>
      <c r="T143" s="16" t="str">
        <f>_xlfn.IFNA(_xlfn.XLOOKUP(Table3[[#This Row],[Country Code]],Lookups!$A$2:$A$5,Lookups!$B$2:$B$5),"CHECK CODE")</f>
        <v>France</v>
      </c>
      <c r="U143" s="16" t="str">
        <f>_xlfn.IFNA(_xlfn.XLOOKUP(Table3[[#This Row],[Country Code]],Lookups!$A$2:$A$5,Lookups!$C$2:$C$5),"CHECK CODE")</f>
        <v>Europe</v>
      </c>
      <c r="V143" s="16" t="s">
        <v>59</v>
      </c>
      <c r="W143" s="16" t="str">
        <f>_xlfn.IFNA(_xlfn.XLOOKUP(Table3[[#This Row],[Country Code]],Lookups!$A$2:$A$5,Lookups!$D$2:$D$5),"CHECK CODE")</f>
        <v>EUR</v>
      </c>
      <c r="X143" s="16">
        <f>VALUE(MID(Table3[[#This Row],[Unit Price]],2,50))</f>
        <v>1100</v>
      </c>
      <c r="Y143" s="19">
        <f>_xlfn.IFNA(_xlfn.XLOOKUP(Table3[[#This Row],[Country Code]],Lookups!$A$2:$A$5,Lookups!$E$2:$E$5),"")</f>
        <v>1</v>
      </c>
      <c r="Z143" s="87">
        <f>Table3[[#This Row],[Unit Price (local)]]/Table3[[#This Row],[FX Rate (per EUR)]]</f>
        <v>1100</v>
      </c>
      <c r="AA143" s="16">
        <v>180</v>
      </c>
      <c r="AB143" s="20">
        <v>20</v>
      </c>
      <c r="AC143" s="21">
        <f>ROUND(Table3[[#This Row],[Unit Price (EUR)]]*Table3[[#This Row],[Units Sold]],0)</f>
        <v>198000</v>
      </c>
      <c r="AD143" s="22">
        <f>ROUND(Table3[[#This Row],[Gross Sales (EUR)]]*(1-Table3[[#This Row],[Discount (%)]]/100),0)</f>
        <v>158400</v>
      </c>
      <c r="AE143" s="22">
        <f>_xlfn.IFNA(_xlfn.XLOOKUP(Table3[[#This Row],[Month]],Lookups!$N$2:$N$13,Lookups!$O$2:$O$13),"CHECK MONTH")</f>
        <v>12</v>
      </c>
      <c r="AF143" s="22" t="str">
        <f>TEXT(Table3[[#This Row],[Month No]],"00")&amp;" - "&amp;Table3[[#This Row],[Month]]</f>
        <v>12 - December</v>
      </c>
      <c r="AG143" s="22" t="str">
        <f>_xlfn.IFNA(_xlfn.XLOOKUP(Table3[[#This Row],[Month]],Lookups!$N$2:$N$13,Lookups!$P$2:$P$13),"CHECK MONTH")</f>
        <v>Q4</v>
      </c>
      <c r="AH143" s="22">
        <f>Table3[[#This Row],[Gross Sales (EUR)]]-Table3[[#This Row],[Total Sales (EUR)]]</f>
        <v>39600</v>
      </c>
      <c r="AI143" s="89">
        <f>DATE(Lookups!$O$15,Table3[[#This Row],[Month No]],1)</f>
        <v>45992</v>
      </c>
    </row>
    <row r="144" spans="1:35" x14ac:dyDescent="0.3">
      <c r="A144" s="15">
        <v>143</v>
      </c>
      <c r="B144" s="16" t="s">
        <v>55</v>
      </c>
      <c r="C144" s="16" t="s">
        <v>56</v>
      </c>
      <c r="D144" s="16" t="str">
        <f>TRIM(Table3[[#This Row],[Rep Last Name]])&amp;", "&amp;TRIM(Table3[[#This Row],[Rep First Name]])</f>
        <v>Bernard, Théo</v>
      </c>
      <c r="E144" s="16" t="s">
        <v>75</v>
      </c>
      <c r="F144" s="16" t="s">
        <v>23</v>
      </c>
      <c r="G144" s="16" t="s">
        <v>24</v>
      </c>
      <c r="H144" s="16" t="str">
        <f>IF(Table3[[#This Row],[Min Speed (original, incomplete)]]="",_xlfn.IFNA(_xlfn.XLOOKUP(Table3[[#This Row],[Product Type]],Lookups!$G$2:$G$4,Lookups!$H$2:$H$4),"CHECK PRODUCT"),Table3[[#This Row],[Min Speed (original, incomplete)]])</f>
        <v>20 mph</v>
      </c>
      <c r="I144" s="16" t="s">
        <v>25</v>
      </c>
      <c r="J144" s="16" t="s">
        <v>26</v>
      </c>
      <c r="K144" s="17">
        <f>ROUND(VALUE(SUBSTITUTE(Table3[[#This Row],[Min Speed (mph)]]," mph",""))*Lookups!$L$2,0)</f>
        <v>32</v>
      </c>
      <c r="L144" s="17">
        <f>ROUND(VALUE(SUBSTITUTE(Table3[[#This Row],[Speed]]," mph",""))*Lookups!$L$2,0)</f>
        <v>56</v>
      </c>
      <c r="M144" s="17" t="str">
        <f>Table3[[#This Row],[Min Speed (km/h)]]&amp;" – "&amp;Table3[[#This Row],[Max Speed (km/h)]]&amp;" km/h"</f>
        <v>32 – 56 km/h</v>
      </c>
      <c r="N144" s="18">
        <f>IF(ISNUMBER(SEARCH("mile",Table3[[#This Row],[Distance]])),ROUND(VALUE(SUBSTITUTE(Table3[[#This Row],[Distance]]," miles",""))*Lookups!$L$3,0),ROUND(VALUE(SUBSTITUTE(Table3[[#This Row],[Distance]]," meters",""))*Lookups!$L$4,0))</f>
        <v>64</v>
      </c>
      <c r="O144" s="16" t="s">
        <v>61</v>
      </c>
      <c r="P144" s="16" t="str">
        <f>TRIM(LEFT(Table3[[#This Row],[Shipping Address]],FIND(",",Table3[[#This Row],[Shipping Address]])-1))</f>
        <v>57 Boulevard Saint-Germain</v>
      </c>
      <c r="Q144" s="16" t="str">
        <f>TRIM(MID(Table3[[#This Row],[Shipping Address]],FIND(",",Table3[[#This Row],[Shipping Address]])+1,FIND(",",Table3[[#This Row],[Shipping Address]],FIND(",",Table3[[#This Row],[Shipping Address]])+1)-FIND(",",Table3[[#This Row],[Shipping Address]])-1))</f>
        <v>Paris</v>
      </c>
      <c r="R144" s="16" t="str">
        <f>TRIM(MID(Table3[[#This Row],[Shipping Address]],FIND(",",Table3[[#This Row],[Shipping Address]],FIND(",",Table3[[#This Row],[Shipping Address]])+1)+1,20))</f>
        <v>75005</v>
      </c>
      <c r="S144" s="16" t="s">
        <v>58</v>
      </c>
      <c r="T144" s="16" t="str">
        <f>_xlfn.IFNA(_xlfn.XLOOKUP(Table3[[#This Row],[Country Code]],Lookups!$A$2:$A$5,Lookups!$B$2:$B$5),"CHECK CODE")</f>
        <v>France</v>
      </c>
      <c r="U144" s="16" t="str">
        <f>_xlfn.IFNA(_xlfn.XLOOKUP(Table3[[#This Row],[Country Code]],Lookups!$A$2:$A$5,Lookups!$C$2:$C$5),"CHECK CODE")</f>
        <v>Europe</v>
      </c>
      <c r="V144" s="16" t="s">
        <v>62</v>
      </c>
      <c r="W144" s="16" t="str">
        <f>_xlfn.IFNA(_xlfn.XLOOKUP(Table3[[#This Row],[Country Code]],Lookups!$A$2:$A$5,Lookups!$D$2:$D$5),"CHECK CODE")</f>
        <v>EUR</v>
      </c>
      <c r="X144" s="16">
        <f>VALUE(MID(Table3[[#This Row],[Unit Price]],2,50))</f>
        <v>900</v>
      </c>
      <c r="Y144" s="19">
        <f>_xlfn.IFNA(_xlfn.XLOOKUP(Table3[[#This Row],[Country Code]],Lookups!$A$2:$A$5,Lookups!$E$2:$E$5),"")</f>
        <v>1</v>
      </c>
      <c r="Z144" s="87">
        <f>Table3[[#This Row],[Unit Price (local)]]/Table3[[#This Row],[FX Rate (per EUR)]]</f>
        <v>900</v>
      </c>
      <c r="AA144" s="16">
        <v>400</v>
      </c>
      <c r="AB144" s="20">
        <v>20</v>
      </c>
      <c r="AC144" s="21">
        <f>ROUND(Table3[[#This Row],[Unit Price (EUR)]]*Table3[[#This Row],[Units Sold]],0)</f>
        <v>360000</v>
      </c>
      <c r="AD144" s="22">
        <f>ROUND(Table3[[#This Row],[Gross Sales (EUR)]]*(1-Table3[[#This Row],[Discount (%)]]/100),0)</f>
        <v>288000</v>
      </c>
      <c r="AE144" s="22">
        <f>_xlfn.IFNA(_xlfn.XLOOKUP(Table3[[#This Row],[Month]],Lookups!$N$2:$N$13,Lookups!$O$2:$O$13),"CHECK MONTH")</f>
        <v>12</v>
      </c>
      <c r="AF144" s="22" t="str">
        <f>TEXT(Table3[[#This Row],[Month No]],"00")&amp;" - "&amp;Table3[[#This Row],[Month]]</f>
        <v>12 - December</v>
      </c>
      <c r="AG144" s="22" t="str">
        <f>_xlfn.IFNA(_xlfn.XLOOKUP(Table3[[#This Row],[Month]],Lookups!$N$2:$N$13,Lookups!$P$2:$P$13),"CHECK MONTH")</f>
        <v>Q4</v>
      </c>
      <c r="AH144" s="22">
        <f>Table3[[#This Row],[Gross Sales (EUR)]]-Table3[[#This Row],[Total Sales (EUR)]]</f>
        <v>72000</v>
      </c>
      <c r="AI144" s="89">
        <f>DATE(Lookups!$O$15,Table3[[#This Row],[Month No]],1)</f>
        <v>45992</v>
      </c>
    </row>
    <row r="145" spans="1:35" x14ac:dyDescent="0.3">
      <c r="A145" s="15">
        <v>144</v>
      </c>
      <c r="B145" s="16" t="s">
        <v>55</v>
      </c>
      <c r="C145" s="16" t="s">
        <v>56</v>
      </c>
      <c r="D145" s="16" t="str">
        <f>TRIM(Table3[[#This Row],[Rep Last Name]])&amp;", "&amp;TRIM(Table3[[#This Row],[Rep First Name]])</f>
        <v>Bernard, Théo</v>
      </c>
      <c r="E145" s="16" t="s">
        <v>75</v>
      </c>
      <c r="F145" s="16" t="s">
        <v>29</v>
      </c>
      <c r="G145" s="16" t="s">
        <v>30</v>
      </c>
      <c r="H145" s="16" t="str">
        <f>IF(Table3[[#This Row],[Min Speed (original, incomplete)]]="",_xlfn.IFNA(_xlfn.XLOOKUP(Table3[[#This Row],[Product Type]],Lookups!$G$2:$G$4,Lookups!$H$2:$H$4),"CHECK PRODUCT"),Table3[[#This Row],[Min Speed (original, incomplete)]])</f>
        <v>18 mph</v>
      </c>
      <c r="I145" s="16" t="s">
        <v>31</v>
      </c>
      <c r="J145" s="16" t="s">
        <v>32</v>
      </c>
      <c r="K145" s="17">
        <f>ROUND(VALUE(SUBSTITUTE(Table3[[#This Row],[Min Speed (mph)]]," mph",""))*Lookups!$L$2,0)</f>
        <v>29</v>
      </c>
      <c r="L145" s="17">
        <f>ROUND(VALUE(SUBSTITUTE(Table3[[#This Row],[Speed]]," mph",""))*Lookups!$L$2,0)</f>
        <v>45</v>
      </c>
      <c r="M145" s="17" t="str">
        <f>Table3[[#This Row],[Min Speed (km/h)]]&amp;" – "&amp;Table3[[#This Row],[Max Speed (km/h)]]&amp;" km/h"</f>
        <v>29 – 45 km/h</v>
      </c>
      <c r="N145" s="18">
        <f>IF(ISNUMBER(SEARCH("mile",Table3[[#This Row],[Distance]])),ROUND(VALUE(SUBSTITUTE(Table3[[#This Row],[Distance]]," miles",""))*Lookups!$L$3,0),ROUND(VALUE(SUBSTITUTE(Table3[[#This Row],[Distance]]," meters",""))*Lookups!$L$4,0))</f>
        <v>40</v>
      </c>
      <c r="O145" s="16" t="s">
        <v>63</v>
      </c>
      <c r="P145" s="16" t="str">
        <f>TRIM(LEFT(Table3[[#This Row],[Shipping Address]],FIND(",",Table3[[#This Row],[Shipping Address]])-1))</f>
        <v>58 Boulevard Saint-Germain</v>
      </c>
      <c r="Q145" s="16" t="str">
        <f>TRIM(MID(Table3[[#This Row],[Shipping Address]],FIND(",",Table3[[#This Row],[Shipping Address]])+1,FIND(",",Table3[[#This Row],[Shipping Address]],FIND(",",Table3[[#This Row],[Shipping Address]])+1)-FIND(",",Table3[[#This Row],[Shipping Address]])-1))</f>
        <v>Paris</v>
      </c>
      <c r="R145" s="16" t="str">
        <f>TRIM(MID(Table3[[#This Row],[Shipping Address]],FIND(",",Table3[[#This Row],[Shipping Address]],FIND(",",Table3[[#This Row],[Shipping Address]])+1)+1,20))</f>
        <v>75005</v>
      </c>
      <c r="S145" s="16" t="s">
        <v>58</v>
      </c>
      <c r="T145" s="16" t="str">
        <f>_xlfn.IFNA(_xlfn.XLOOKUP(Table3[[#This Row],[Country Code]],Lookups!$A$2:$A$5,Lookups!$B$2:$B$5),"CHECK CODE")</f>
        <v>France</v>
      </c>
      <c r="U145" s="16" t="str">
        <f>_xlfn.IFNA(_xlfn.XLOOKUP(Table3[[#This Row],[Country Code]],Lookups!$A$2:$A$5,Lookups!$C$2:$C$5),"CHECK CODE")</f>
        <v>Europe</v>
      </c>
      <c r="V145" s="16" t="s">
        <v>64</v>
      </c>
      <c r="W145" s="16" t="str">
        <f>_xlfn.IFNA(_xlfn.XLOOKUP(Table3[[#This Row],[Country Code]],Lookups!$A$2:$A$5,Lookups!$D$2:$D$5),"CHECK CODE")</f>
        <v>EUR</v>
      </c>
      <c r="X145" s="16">
        <f>VALUE(MID(Table3[[#This Row],[Unit Price]],2,50))</f>
        <v>1050</v>
      </c>
      <c r="Y145" s="19">
        <f>_xlfn.IFNA(_xlfn.XLOOKUP(Table3[[#This Row],[Country Code]],Lookups!$A$2:$A$5,Lookups!$E$2:$E$5),"")</f>
        <v>1</v>
      </c>
      <c r="Z145" s="87">
        <f>Table3[[#This Row],[Unit Price (local)]]/Table3[[#This Row],[FX Rate (per EUR)]]</f>
        <v>1050</v>
      </c>
      <c r="AA145" s="16">
        <v>360</v>
      </c>
      <c r="AB145" s="20">
        <v>20</v>
      </c>
      <c r="AC145" s="21">
        <f>ROUND(Table3[[#This Row],[Unit Price (EUR)]]*Table3[[#This Row],[Units Sold]],0)</f>
        <v>378000</v>
      </c>
      <c r="AD145" s="24">
        <f>ROUND(Table3[[#This Row],[Gross Sales (EUR)]]*(1-Table3[[#This Row],[Discount (%)]]/100),0)</f>
        <v>302400</v>
      </c>
      <c r="AE145" s="24">
        <f>_xlfn.IFNA(_xlfn.XLOOKUP(Table3[[#This Row],[Month]],Lookups!$N$2:$N$13,Lookups!$O$2:$O$13),"CHECK MONTH")</f>
        <v>12</v>
      </c>
      <c r="AF145" s="24" t="str">
        <f>TEXT(Table3[[#This Row],[Month No]],"00")&amp;" - "&amp;Table3[[#This Row],[Month]]</f>
        <v>12 - December</v>
      </c>
      <c r="AG145" s="24" t="str">
        <f>_xlfn.IFNA(_xlfn.XLOOKUP(Table3[[#This Row],[Month]],Lookups!$N$2:$N$13,Lookups!$P$2:$P$13),"CHECK MONTH")</f>
        <v>Q4</v>
      </c>
      <c r="AH145" s="24">
        <f>Table3[[#This Row],[Gross Sales (EUR)]]-Table3[[#This Row],[Total Sales (EUR)]]</f>
        <v>75600</v>
      </c>
      <c r="AI145" s="89">
        <f>DATE(Lookups!$O$15,Table3[[#This Row],[Month No]],1)</f>
        <v>45992</v>
      </c>
    </row>
    <row r="146" spans="1:35" x14ac:dyDescent="0.3">
      <c r="A146" s="25" t="s">
        <v>97</v>
      </c>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f>SUBTOTAL(109,Table3[Units Sold])</f>
        <v>65480</v>
      </c>
      <c r="AB146" s="27"/>
      <c r="AC146" s="85">
        <f>SUBTOTAL(109,Table3[Gross Sales (EUR)])</f>
        <v>37908989</v>
      </c>
      <c r="AD146" s="85">
        <f>SUBTOTAL(109,Table3[Total Sales (EUR)])</f>
        <v>36382530</v>
      </c>
      <c r="AE146" s="28"/>
      <c r="AF146" s="28"/>
      <c r="AG146" s="28"/>
      <c r="AH146" s="86">
        <f>SUBTOTAL(109,Table3[Discount (EUR)])</f>
        <v>1526459</v>
      </c>
      <c r="AI146" s="28"/>
    </row>
  </sheetData>
  <phoneticPr fontId="2" type="noConversion"/>
  <conditionalFormatting sqref="A2:AI145">
    <cfRule type="containsBlanks" dxfId="1809" priority="1">
      <formula>LEN(TRIM(A2))=0</formula>
    </cfRule>
  </conditionalFormatting>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1B253-2D8F-41CE-8C63-30C4EFCA8961}">
  <dimension ref="A1:P15"/>
  <sheetViews>
    <sheetView workbookViewId="0">
      <selection activeCell="P13" sqref="P13"/>
    </sheetView>
  </sheetViews>
  <sheetFormatPr defaultRowHeight="14.4" x14ac:dyDescent="0.3"/>
  <cols>
    <col min="1" max="1" width="115.44140625" bestFit="1" customWidth="1"/>
    <col min="2" max="2" width="13.77734375" bestFit="1" customWidth="1"/>
    <col min="3" max="3" width="9.88671875" bestFit="1" customWidth="1"/>
    <col min="4" max="4" width="9" bestFit="1" customWidth="1"/>
    <col min="5" max="5" width="16.33203125" bestFit="1" customWidth="1"/>
    <col min="7" max="7" width="95.5546875" bestFit="1" customWidth="1"/>
    <col min="8" max="8" width="10.109375" bestFit="1" customWidth="1"/>
    <col min="9" max="9" width="7.21875" bestFit="1" customWidth="1"/>
    <col min="11" max="11" width="49.5546875" bestFit="1" customWidth="1"/>
    <col min="12" max="12" width="8.5546875" bestFit="1" customWidth="1"/>
    <col min="14" max="14" width="10" bestFit="1" customWidth="1"/>
    <col min="15" max="15" width="9.44140625" bestFit="1" customWidth="1"/>
    <col min="16" max="16" width="7.6640625" bestFit="1" customWidth="1"/>
  </cols>
  <sheetData>
    <row r="1" spans="1:16" x14ac:dyDescent="0.3">
      <c r="A1" s="2" t="s">
        <v>9</v>
      </c>
      <c r="B1" s="2" t="s">
        <v>76</v>
      </c>
      <c r="C1" s="2" t="s">
        <v>84</v>
      </c>
      <c r="D1" s="2" t="s">
        <v>88</v>
      </c>
      <c r="E1" s="2" t="s">
        <v>89</v>
      </c>
      <c r="G1" s="2" t="s">
        <v>4</v>
      </c>
      <c r="H1" s="2" t="s">
        <v>5</v>
      </c>
      <c r="I1" s="2" t="s">
        <v>6</v>
      </c>
      <c r="K1" s="2" t="s">
        <v>98</v>
      </c>
      <c r="L1" s="2" t="s">
        <v>99</v>
      </c>
      <c r="N1" s="2" t="s">
        <v>3</v>
      </c>
      <c r="O1" s="2" t="s">
        <v>111</v>
      </c>
      <c r="P1" s="2" t="s">
        <v>113</v>
      </c>
    </row>
    <row r="2" spans="1:16" x14ac:dyDescent="0.3">
      <c r="A2" t="s">
        <v>21</v>
      </c>
      <c r="B2" t="s">
        <v>77</v>
      </c>
      <c r="C2" t="s">
        <v>85</v>
      </c>
      <c r="D2" t="s">
        <v>90</v>
      </c>
      <c r="E2" s="8">
        <v>109.88200000000001</v>
      </c>
      <c r="G2" t="s">
        <v>16</v>
      </c>
      <c r="H2" t="s">
        <v>17</v>
      </c>
      <c r="I2" t="s">
        <v>18</v>
      </c>
      <c r="K2" t="s">
        <v>176</v>
      </c>
      <c r="L2" s="13">
        <v>1.6093440000000001</v>
      </c>
      <c r="N2" t="s">
        <v>15</v>
      </c>
      <c r="O2">
        <v>1</v>
      </c>
      <c r="P2" t="s">
        <v>115</v>
      </c>
    </row>
    <row r="3" spans="1:16" x14ac:dyDescent="0.3">
      <c r="A3" t="s">
        <v>38</v>
      </c>
      <c r="B3" t="s">
        <v>78</v>
      </c>
      <c r="C3" t="s">
        <v>85</v>
      </c>
      <c r="D3" t="s">
        <v>91</v>
      </c>
      <c r="E3" s="8">
        <v>7.7255000000000003</v>
      </c>
      <c r="G3" t="s">
        <v>23</v>
      </c>
      <c r="H3" t="s">
        <v>24</v>
      </c>
      <c r="I3" t="s">
        <v>25</v>
      </c>
      <c r="K3" t="s">
        <v>177</v>
      </c>
      <c r="L3" s="13">
        <v>1.6093440000000001</v>
      </c>
      <c r="N3" t="s">
        <v>65</v>
      </c>
      <c r="O3">
        <v>2</v>
      </c>
      <c r="P3" t="s">
        <v>115</v>
      </c>
    </row>
    <row r="4" spans="1:16" x14ac:dyDescent="0.3">
      <c r="A4" t="s">
        <v>49</v>
      </c>
      <c r="B4" t="s">
        <v>79</v>
      </c>
      <c r="C4" t="s">
        <v>86</v>
      </c>
      <c r="D4" t="s">
        <v>92</v>
      </c>
      <c r="E4" s="7">
        <v>1</v>
      </c>
      <c r="G4" t="s">
        <v>29</v>
      </c>
      <c r="H4" t="s">
        <v>30</v>
      </c>
      <c r="I4" t="s">
        <v>31</v>
      </c>
      <c r="K4" t="s">
        <v>178</v>
      </c>
      <c r="L4" s="13">
        <v>1E-3</v>
      </c>
      <c r="N4" t="s">
        <v>66</v>
      </c>
      <c r="O4">
        <v>3</v>
      </c>
      <c r="P4" t="s">
        <v>115</v>
      </c>
    </row>
    <row r="5" spans="1:16" x14ac:dyDescent="0.3">
      <c r="A5" t="s">
        <v>58</v>
      </c>
      <c r="B5" t="s">
        <v>80</v>
      </c>
      <c r="C5" t="s">
        <v>86</v>
      </c>
      <c r="D5" t="s">
        <v>92</v>
      </c>
      <c r="E5" s="7">
        <v>1</v>
      </c>
      <c r="N5" t="s">
        <v>67</v>
      </c>
      <c r="O5">
        <v>4</v>
      </c>
      <c r="P5" t="s">
        <v>116</v>
      </c>
    </row>
    <row r="6" spans="1:16" x14ac:dyDescent="0.3">
      <c r="G6" s="9" t="s">
        <v>155</v>
      </c>
      <c r="K6" s="9" t="s">
        <v>156</v>
      </c>
      <c r="N6" t="s">
        <v>68</v>
      </c>
      <c r="O6">
        <v>5</v>
      </c>
      <c r="P6" t="s">
        <v>116</v>
      </c>
    </row>
    <row r="7" spans="1:16" x14ac:dyDescent="0.3">
      <c r="A7" s="9" t="s">
        <v>157</v>
      </c>
      <c r="N7" t="s">
        <v>69</v>
      </c>
      <c r="O7">
        <v>6</v>
      </c>
      <c r="P7" t="s">
        <v>116</v>
      </c>
    </row>
    <row r="8" spans="1:16" x14ac:dyDescent="0.3">
      <c r="N8" t="s">
        <v>70</v>
      </c>
      <c r="O8">
        <v>7</v>
      </c>
      <c r="P8" t="s">
        <v>117</v>
      </c>
    </row>
    <row r="9" spans="1:16" x14ac:dyDescent="0.3">
      <c r="N9" t="s">
        <v>71</v>
      </c>
      <c r="O9">
        <v>8</v>
      </c>
      <c r="P9" t="s">
        <v>117</v>
      </c>
    </row>
    <row r="10" spans="1:16" x14ac:dyDescent="0.3">
      <c r="N10" t="s">
        <v>72</v>
      </c>
      <c r="O10">
        <v>9</v>
      </c>
      <c r="P10" t="s">
        <v>117</v>
      </c>
    </row>
    <row r="11" spans="1:16" x14ac:dyDescent="0.3">
      <c r="N11" t="s">
        <v>73</v>
      </c>
      <c r="O11">
        <v>10</v>
      </c>
      <c r="P11" t="s">
        <v>118</v>
      </c>
    </row>
    <row r="12" spans="1:16" x14ac:dyDescent="0.3">
      <c r="N12" t="s">
        <v>74</v>
      </c>
      <c r="O12">
        <v>11</v>
      </c>
      <c r="P12" t="s">
        <v>118</v>
      </c>
    </row>
    <row r="13" spans="1:16" x14ac:dyDescent="0.3">
      <c r="N13" t="s">
        <v>75</v>
      </c>
      <c r="O13">
        <v>12</v>
      </c>
      <c r="P13" t="s">
        <v>118</v>
      </c>
    </row>
    <row r="15" spans="1:16" x14ac:dyDescent="0.3">
      <c r="N15" s="32" t="s">
        <v>158</v>
      </c>
      <c r="O15" s="88">
        <v>2025</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66FE2-8E82-4649-8D98-13C50B63DEDF}">
  <sheetPr>
    <tabColor rgb="FF1F4E79"/>
  </sheetPr>
  <dimension ref="A1:L60"/>
  <sheetViews>
    <sheetView showGridLines="0" workbookViewId="0">
      <pane ySplit="2" topLeftCell="A3" activePane="bottomLeft" state="frozen"/>
      <selection pane="bottomLeft" activeCell="I25" sqref="I25"/>
    </sheetView>
  </sheetViews>
  <sheetFormatPr defaultRowHeight="14.4" x14ac:dyDescent="0.3"/>
  <cols>
    <col min="1" max="1" width="17.109375" bestFit="1" customWidth="1"/>
    <col min="2" max="2" width="11.109375" bestFit="1" customWidth="1"/>
    <col min="3" max="3" width="10.109375" bestFit="1" customWidth="1"/>
    <col min="4" max="4" width="11.109375" bestFit="1" customWidth="1"/>
    <col min="5" max="6" width="10.109375" bestFit="1" customWidth="1"/>
    <col min="7" max="7" width="11.88671875" bestFit="1" customWidth="1"/>
    <col min="8" max="8" width="11.109375" bestFit="1" customWidth="1"/>
    <col min="9" max="9" width="21" bestFit="1" customWidth="1"/>
  </cols>
  <sheetData>
    <row r="1" spans="1:12" ht="28.05" customHeight="1" x14ac:dyDescent="0.4">
      <c r="A1" s="34" t="s">
        <v>159</v>
      </c>
    </row>
    <row r="2" spans="1:12" ht="18" customHeight="1" x14ac:dyDescent="0.3">
      <c r="A2" s="35" t="s">
        <v>160</v>
      </c>
    </row>
    <row r="3" spans="1:12" x14ac:dyDescent="0.3">
      <c r="A3" s="39" t="s">
        <v>138</v>
      </c>
      <c r="B3" s="10"/>
      <c r="C3" s="11"/>
      <c r="D3" s="40"/>
      <c r="E3" s="40"/>
      <c r="F3" s="40"/>
      <c r="G3" s="40"/>
      <c r="H3" s="41"/>
      <c r="I3" s="12"/>
      <c r="J3" s="12"/>
      <c r="K3" s="12"/>
      <c r="L3" s="12"/>
    </row>
    <row r="4" spans="1:12" x14ac:dyDescent="0.3">
      <c r="A4" s="42"/>
      <c r="B4" s="39" t="s">
        <v>85</v>
      </c>
      <c r="C4" s="40"/>
      <c r="D4" s="39" t="s">
        <v>131</v>
      </c>
      <c r="E4" s="39" t="s">
        <v>86</v>
      </c>
      <c r="F4" s="40"/>
      <c r="G4" s="39" t="s">
        <v>132</v>
      </c>
      <c r="H4" s="43" t="s">
        <v>87</v>
      </c>
      <c r="I4" s="12"/>
      <c r="J4" s="12"/>
      <c r="K4" s="12"/>
      <c r="L4" s="12"/>
    </row>
    <row r="5" spans="1:12" x14ac:dyDescent="0.3">
      <c r="A5" s="10"/>
      <c r="B5" s="39" t="s">
        <v>78</v>
      </c>
      <c r="C5" s="44" t="s">
        <v>77</v>
      </c>
      <c r="D5" s="42"/>
      <c r="E5" s="39" t="s">
        <v>80</v>
      </c>
      <c r="F5" s="44" t="s">
        <v>79</v>
      </c>
      <c r="G5" s="42"/>
      <c r="H5" s="45"/>
      <c r="I5" s="12"/>
      <c r="J5" s="12"/>
      <c r="K5" s="12"/>
      <c r="L5" s="12"/>
    </row>
    <row r="6" spans="1:12" x14ac:dyDescent="0.3">
      <c r="A6" s="69" t="s">
        <v>23</v>
      </c>
      <c r="B6" s="64">
        <v>7871659</v>
      </c>
      <c r="C6" s="64">
        <v>1156356</v>
      </c>
      <c r="D6" s="64">
        <v>9028015</v>
      </c>
      <c r="E6" s="64">
        <v>3130650</v>
      </c>
      <c r="F6" s="64">
        <v>2745600</v>
      </c>
      <c r="G6" s="64">
        <v>5876250</v>
      </c>
      <c r="H6" s="64">
        <v>14904265</v>
      </c>
      <c r="I6" s="12"/>
      <c r="J6" s="12"/>
      <c r="K6" s="12"/>
      <c r="L6" s="12"/>
    </row>
    <row r="7" spans="1:12" x14ac:dyDescent="0.3">
      <c r="A7" s="70" t="s">
        <v>29</v>
      </c>
      <c r="B7" s="64">
        <v>6012815</v>
      </c>
      <c r="C7" s="64">
        <v>715766</v>
      </c>
      <c r="D7" s="64">
        <v>6728581</v>
      </c>
      <c r="E7" s="64">
        <v>3198825</v>
      </c>
      <c r="F7" s="64">
        <v>2439125</v>
      </c>
      <c r="G7" s="64">
        <v>5637950</v>
      </c>
      <c r="H7" s="64">
        <v>12366531</v>
      </c>
      <c r="I7" s="12"/>
      <c r="J7" s="12"/>
      <c r="K7" s="12"/>
      <c r="L7" s="12"/>
    </row>
    <row r="8" spans="1:12" ht="15" thickBot="1" x14ac:dyDescent="0.35">
      <c r="A8" s="70" t="s">
        <v>16</v>
      </c>
      <c r="B8" s="64">
        <v>4886415</v>
      </c>
      <c r="C8" s="64">
        <v>611019</v>
      </c>
      <c r="D8" s="64">
        <v>5497434</v>
      </c>
      <c r="E8" s="64">
        <v>1730300</v>
      </c>
      <c r="F8" s="64">
        <v>1884000</v>
      </c>
      <c r="G8" s="64">
        <v>3614300</v>
      </c>
      <c r="H8" s="64">
        <v>9111734</v>
      </c>
      <c r="I8" s="12"/>
      <c r="J8" s="12"/>
      <c r="K8" s="12"/>
      <c r="L8" s="12"/>
    </row>
    <row r="9" spans="1:12" x14ac:dyDescent="0.3">
      <c r="A9" s="71" t="s">
        <v>87</v>
      </c>
      <c r="B9" s="67">
        <v>18770889</v>
      </c>
      <c r="C9" s="67">
        <v>2483141</v>
      </c>
      <c r="D9" s="67">
        <v>21254030</v>
      </c>
      <c r="E9" s="67">
        <v>8059775</v>
      </c>
      <c r="F9" s="67">
        <v>7068725</v>
      </c>
      <c r="G9" s="67">
        <v>15128500</v>
      </c>
      <c r="H9" s="67">
        <v>36382530</v>
      </c>
      <c r="I9" s="12"/>
      <c r="J9" s="12"/>
      <c r="K9" s="12"/>
      <c r="L9" s="12"/>
    </row>
    <row r="10" spans="1:12" x14ac:dyDescent="0.3">
      <c r="A10" s="12"/>
      <c r="B10" s="12"/>
      <c r="C10" s="12"/>
      <c r="D10" s="12"/>
      <c r="E10" s="12"/>
      <c r="F10" s="12"/>
      <c r="G10" s="12"/>
      <c r="H10" s="12"/>
      <c r="I10" s="12"/>
      <c r="J10" s="12"/>
      <c r="K10" s="12"/>
      <c r="L10" s="12"/>
    </row>
    <row r="11" spans="1:12" x14ac:dyDescent="0.3">
      <c r="A11" s="95" t="s">
        <v>161</v>
      </c>
      <c r="B11" s="12"/>
      <c r="C11" s="12"/>
      <c r="D11" s="12"/>
      <c r="E11" s="12"/>
      <c r="F11" s="12"/>
      <c r="G11" s="12"/>
      <c r="H11" s="12"/>
      <c r="I11" s="12"/>
      <c r="J11" s="12"/>
      <c r="K11" s="12"/>
      <c r="L11" s="12"/>
    </row>
    <row r="12" spans="1:12" x14ac:dyDescent="0.3">
      <c r="A12" s="96" t="s">
        <v>139</v>
      </c>
      <c r="B12" s="96" t="s">
        <v>78</v>
      </c>
      <c r="C12" s="96" t="s">
        <v>77</v>
      </c>
      <c r="D12" s="96" t="s">
        <v>80</v>
      </c>
      <c r="E12" s="96" t="s">
        <v>79</v>
      </c>
      <c r="F12" s="96" t="s">
        <v>97</v>
      </c>
      <c r="G12" s="12"/>
      <c r="H12" s="12"/>
      <c r="I12" s="12"/>
      <c r="J12" s="12"/>
      <c r="K12" s="12"/>
      <c r="L12" s="12"/>
    </row>
    <row r="13" spans="1:12" x14ac:dyDescent="0.3">
      <c r="A13" s="73" t="s">
        <v>23</v>
      </c>
      <c r="B13" s="99">
        <f>SUMIFS(Table3[Units Sold],Table3[Product Type],$A13,Table3[Country Name],B$12)</f>
        <v>18100</v>
      </c>
      <c r="C13" s="99">
        <f>SUMIFS(Table3[Units Sold],Table3[Product Type],$A13,Table3[Country Name],C$12)</f>
        <v>5300</v>
      </c>
      <c r="D13" s="99">
        <f>SUMIFS(Table3[Units Sold],Table3[Product Type],$A13,Table3[Country Name],D$12)</f>
        <v>3630</v>
      </c>
      <c r="E13" s="99">
        <f>SUMIFS(Table3[Units Sold],Table3[Product Type],$A13,Table3[Country Name],E$12)</f>
        <v>3580</v>
      </c>
      <c r="F13" s="102">
        <f>SUM(B13:E13)</f>
        <v>30610</v>
      </c>
      <c r="G13" s="12"/>
      <c r="H13" s="12"/>
      <c r="I13" s="12"/>
      <c r="J13" s="12"/>
      <c r="K13" s="12"/>
      <c r="L13" s="12"/>
    </row>
    <row r="14" spans="1:12" x14ac:dyDescent="0.3">
      <c r="A14" s="73" t="s">
        <v>29</v>
      </c>
      <c r="B14" s="99">
        <f>SUMIFS(Table3[Units Sold],Table3[Product Type],$A14,Table3[Country Name],B$12)</f>
        <v>11500</v>
      </c>
      <c r="C14" s="99">
        <f>SUMIFS(Table3[Units Sold],Table3[Product Type],$A14,Table3[Country Name],C$12)</f>
        <v>3720</v>
      </c>
      <c r="D14" s="99">
        <f>SUMIFS(Table3[Units Sold],Table3[Product Type],$A14,Table3[Country Name],D$12)</f>
        <v>3180</v>
      </c>
      <c r="E14" s="99">
        <f>SUMIFS(Table3[Units Sold],Table3[Product Type],$A14,Table3[Country Name],E$12)</f>
        <v>2690</v>
      </c>
      <c r="F14" s="102">
        <f t="shared" ref="F14:F15" si="0">SUM(B14:E14)</f>
        <v>21090</v>
      </c>
      <c r="G14" s="12"/>
      <c r="H14" s="12"/>
      <c r="I14" s="12"/>
      <c r="J14" s="12"/>
      <c r="K14" s="12"/>
      <c r="L14" s="12"/>
    </row>
    <row r="15" spans="1:12" x14ac:dyDescent="0.3">
      <c r="A15" s="73" t="s">
        <v>16</v>
      </c>
      <c r="B15" s="99">
        <f>SUMIFS(Table3[Units Sold],Table3[Product Type],$A15,Table3[Country Name],B$12)</f>
        <v>7850</v>
      </c>
      <c r="C15" s="99">
        <f>SUMIFS(Table3[Units Sold],Table3[Product Type],$A15,Table3[Country Name],C$12)</f>
        <v>2330</v>
      </c>
      <c r="D15" s="99">
        <f>SUMIFS(Table3[Units Sold],Table3[Product Type],$A15,Table3[Country Name],D$12)</f>
        <v>1640</v>
      </c>
      <c r="E15" s="99">
        <f>SUMIFS(Table3[Units Sold],Table3[Product Type],$A15,Table3[Country Name],E$12)</f>
        <v>1960</v>
      </c>
      <c r="F15" s="102">
        <f t="shared" si="0"/>
        <v>13780</v>
      </c>
      <c r="G15" s="12"/>
      <c r="H15" s="12"/>
      <c r="I15" s="12"/>
      <c r="J15" s="12"/>
      <c r="K15" s="12"/>
      <c r="L15" s="12"/>
    </row>
    <row r="16" spans="1:12" x14ac:dyDescent="0.3">
      <c r="A16" s="97" t="s">
        <v>97</v>
      </c>
      <c r="B16" s="101">
        <f>SUM(B13:B15)</f>
        <v>37450</v>
      </c>
      <c r="C16" s="101">
        <f t="shared" ref="C16:F16" si="1">SUM(C13:C15)</f>
        <v>11350</v>
      </c>
      <c r="D16" s="101">
        <f t="shared" si="1"/>
        <v>8450</v>
      </c>
      <c r="E16" s="101">
        <f t="shared" si="1"/>
        <v>8230</v>
      </c>
      <c r="F16" s="101">
        <f t="shared" si="1"/>
        <v>65480</v>
      </c>
      <c r="G16" s="12"/>
      <c r="H16" s="12"/>
      <c r="I16" s="12"/>
      <c r="J16" s="12"/>
      <c r="K16" s="12"/>
      <c r="L16" s="12"/>
    </row>
    <row r="17" spans="1:12" x14ac:dyDescent="0.3">
      <c r="A17" s="12"/>
      <c r="B17" s="12"/>
      <c r="C17" s="12"/>
      <c r="D17" s="12"/>
      <c r="E17" s="12"/>
      <c r="F17" s="12"/>
      <c r="G17" s="12"/>
      <c r="H17" s="12"/>
      <c r="I17" s="12"/>
      <c r="J17" s="12"/>
      <c r="K17" s="12"/>
      <c r="L17" s="12"/>
    </row>
    <row r="18" spans="1:12" x14ac:dyDescent="0.3">
      <c r="A18" s="95" t="s">
        <v>162</v>
      </c>
      <c r="B18" s="12"/>
      <c r="C18" s="12"/>
      <c r="D18" s="12"/>
      <c r="E18" s="12"/>
      <c r="F18" s="12"/>
      <c r="G18" s="12"/>
      <c r="H18" s="12"/>
      <c r="I18" s="12"/>
      <c r="J18" s="12"/>
      <c r="K18" s="12"/>
      <c r="L18" s="12"/>
    </row>
    <row r="19" spans="1:12" x14ac:dyDescent="0.3">
      <c r="A19" s="96" t="s">
        <v>144</v>
      </c>
      <c r="B19" s="96" t="str">
        <f>B12</f>
        <v>China</v>
      </c>
      <c r="C19" s="96" t="str">
        <f t="shared" ref="C19:F19" si="2">C12</f>
        <v>India</v>
      </c>
      <c r="D19" s="96" t="str">
        <f t="shared" si="2"/>
        <v>France</v>
      </c>
      <c r="E19" s="96" t="str">
        <f t="shared" si="2"/>
        <v>Germany</v>
      </c>
      <c r="F19" s="96" t="str">
        <f t="shared" si="2"/>
        <v>Total</v>
      </c>
      <c r="G19" s="12"/>
      <c r="H19" s="12"/>
      <c r="I19" s="12"/>
      <c r="J19" s="12"/>
      <c r="K19" s="12"/>
      <c r="L19" s="12"/>
    </row>
    <row r="20" spans="1:12" x14ac:dyDescent="0.3">
      <c r="A20" s="73" t="str">
        <f>A13</f>
        <v>Electric Scooter</v>
      </c>
      <c r="B20" s="103">
        <f>IFERROR(SUMIFS(Table3[Total Sales (EUR)],Table3[Product Type],$A20,Table3[Country Name],B$19)/SUMIFS(Table3[Units Sold],Table3[Product Type],$A20,Table3[Country Name],B$19),"-")</f>
        <v>434.89828729281766</v>
      </c>
      <c r="C20" s="103">
        <f>IFERROR(SUMIFS(Table3[Total Sales (EUR)],Table3[Product Type],$A20,Table3[Country Name],C$19)/SUMIFS(Table3[Units Sold],Table3[Product Type],$A20,Table3[Country Name],C$19),"-")</f>
        <v>218.18037735849057</v>
      </c>
      <c r="D20" s="103">
        <f>IFERROR(SUMIFS(Table3[Total Sales (EUR)],Table3[Product Type],$A20,Table3[Country Name],D$19)/SUMIFS(Table3[Units Sold],Table3[Product Type],$A20,Table3[Country Name],D$19),"-")</f>
        <v>862.43801652892557</v>
      </c>
      <c r="E20" s="103">
        <f>IFERROR(SUMIFS(Table3[Total Sales (EUR)],Table3[Product Type],$A20,Table3[Country Name],E$19)/SUMIFS(Table3[Units Sold],Table3[Product Type],$A20,Table3[Country Name],E$19),"-")</f>
        <v>766.92737430167597</v>
      </c>
      <c r="F20" s="105">
        <f>IFERROR(SUMIFS(Table3[Total Sales (EUR)],Table3[Product Type],$A20)/SUMIFS(Table3[Units Sold],Table3[Product Type],$A20),"-")</f>
        <v>486.90836327997386</v>
      </c>
      <c r="G20" s="12"/>
      <c r="H20" s="12"/>
      <c r="I20" s="12"/>
      <c r="J20" s="12"/>
      <c r="K20" s="12"/>
      <c r="L20" s="12"/>
    </row>
    <row r="21" spans="1:12" x14ac:dyDescent="0.3">
      <c r="A21" s="73" t="str">
        <f t="shared" ref="A21:A22" si="3">A14</f>
        <v>Electric Skateboard</v>
      </c>
      <c r="B21" s="103">
        <f>IFERROR(SUMIFS(Table3[Total Sales (EUR)],Table3[Product Type],$A21,Table3[Country Name],B$19)/SUMIFS(Table3[Units Sold],Table3[Product Type],$A21,Table3[Country Name],B$19),"-")</f>
        <v>522.85347826086957</v>
      </c>
      <c r="C21" s="103">
        <f>IFERROR(SUMIFS(Table3[Total Sales (EUR)],Table3[Product Type],$A21,Table3[Country Name],C$19)/SUMIFS(Table3[Units Sold],Table3[Product Type],$A21,Table3[Country Name],C$19),"-")</f>
        <v>192.41021505376344</v>
      </c>
      <c r="D21" s="103">
        <f>IFERROR(SUMIFS(Table3[Total Sales (EUR)],Table3[Product Type],$A21,Table3[Country Name],D$19)/SUMIFS(Table3[Units Sold],Table3[Product Type],$A21,Table3[Country Name],D$19),"-")</f>
        <v>1005.9198113207547</v>
      </c>
      <c r="E21" s="103">
        <f>IFERROR(SUMIFS(Table3[Total Sales (EUR)],Table3[Product Type],$A21,Table3[Country Name],E$19)/SUMIFS(Table3[Units Sold],Table3[Product Type],$A21,Table3[Country Name],E$19),"-")</f>
        <v>906.73791821561338</v>
      </c>
      <c r="F21" s="105">
        <f>IFERROR(SUMIFS(Table3[Total Sales (EUR)],Table3[Product Type],$A21)/SUMIFS(Table3[Units Sold],Table3[Product Type],$A21),"-")</f>
        <v>586.36941678520623</v>
      </c>
      <c r="G21" s="12"/>
      <c r="H21" s="12"/>
      <c r="I21" s="12"/>
      <c r="J21" s="12"/>
      <c r="K21" s="12"/>
      <c r="L21" s="12"/>
    </row>
    <row r="22" spans="1:12" x14ac:dyDescent="0.3">
      <c r="A22" s="73" t="str">
        <f t="shared" si="3"/>
        <v>Electric Unicycle</v>
      </c>
      <c r="B22" s="103">
        <f>IFERROR(SUMIFS(Table3[Total Sales (EUR)],Table3[Product Type],$A22,Table3[Country Name],B$19)/SUMIFS(Table3[Units Sold],Table3[Product Type],$A22,Table3[Country Name],B$19),"-")</f>
        <v>622.47324840764327</v>
      </c>
      <c r="C22" s="103">
        <f>IFERROR(SUMIFS(Table3[Total Sales (EUR)],Table3[Product Type],$A22,Table3[Country Name],C$19)/SUMIFS(Table3[Units Sold],Table3[Product Type],$A22,Table3[Country Name],C$19),"-")</f>
        <v>262.23991416309013</v>
      </c>
      <c r="D22" s="103">
        <f>IFERROR(SUMIFS(Table3[Total Sales (EUR)],Table3[Product Type],$A22,Table3[Country Name],D$19)/SUMIFS(Table3[Units Sold],Table3[Product Type],$A22,Table3[Country Name],D$19),"-")</f>
        <v>1055.060975609756</v>
      </c>
      <c r="E22" s="103">
        <f>IFERROR(SUMIFS(Table3[Total Sales (EUR)],Table3[Product Type],$A22,Table3[Country Name],E$19)/SUMIFS(Table3[Units Sold],Table3[Product Type],$A22,Table3[Country Name],E$19),"-")</f>
        <v>961.22448979591832</v>
      </c>
      <c r="F22" s="105">
        <f>IFERROR(SUMIFS(Table3[Total Sales (EUR)],Table3[Product Type],$A22)/SUMIFS(Table3[Units Sold],Table3[Product Type],$A22),"-")</f>
        <v>661.22888243831642</v>
      </c>
      <c r="G22" s="12"/>
      <c r="H22" s="12"/>
      <c r="I22" s="12"/>
      <c r="J22" s="12"/>
      <c r="K22" s="12"/>
      <c r="L22" s="12"/>
    </row>
    <row r="23" spans="1:12" x14ac:dyDescent="0.3">
      <c r="A23" s="97" t="s">
        <v>136</v>
      </c>
      <c r="B23" s="104">
        <f>IFERROR(SUMIFS(Table3[Total Sales (EUR)],Table3[Country Name],B$19)/SUMIFS(Table3[Units Sold],Table3[Country Name],B$19),"-")</f>
        <v>501.2253404539386</v>
      </c>
      <c r="C23" s="104">
        <f>IFERROR(SUMIFS(Table3[Total Sales (EUR)],Table3[Country Name],C$19)/SUMIFS(Table3[Units Sold],Table3[Country Name],C$19),"-")</f>
        <v>218.77894273127754</v>
      </c>
      <c r="D23" s="104">
        <f>IFERROR(SUMIFS(Table3[Total Sales (EUR)],Table3[Country Name],D$19)/SUMIFS(Table3[Units Sold],Table3[Country Name],D$19),"-")</f>
        <v>953.81952662721892</v>
      </c>
      <c r="E23" s="104">
        <f>IFERROR(SUMIFS(Table3[Total Sales (EUR)],Table3[Country Name],E$19)/SUMIFS(Table3[Units Sold],Table3[Country Name],E$19),"-")</f>
        <v>858.8973268529769</v>
      </c>
      <c r="F23" s="104">
        <f>IFERROR(SUM(Table3[Total Sales (EUR)])/SUM(Table3[Units Sold]),"-")</f>
        <v>555.6281307269395</v>
      </c>
      <c r="G23" s="12"/>
      <c r="H23" s="12"/>
      <c r="I23" s="12"/>
      <c r="J23" s="12"/>
      <c r="K23" s="12"/>
      <c r="L23" s="12"/>
    </row>
    <row r="24" spans="1:12" x14ac:dyDescent="0.3">
      <c r="A24" s="12"/>
      <c r="B24" s="12"/>
      <c r="C24" s="12"/>
      <c r="D24" s="12"/>
      <c r="E24" s="12"/>
      <c r="F24" s="12"/>
      <c r="G24" s="12"/>
      <c r="H24" s="12"/>
      <c r="I24" s="12"/>
      <c r="J24" s="12"/>
      <c r="K24" s="12"/>
      <c r="L24" s="12"/>
    </row>
    <row r="25" spans="1:12" x14ac:dyDescent="0.3">
      <c r="A25" s="12"/>
      <c r="B25" s="12"/>
      <c r="C25" s="12"/>
      <c r="D25" s="12"/>
      <c r="E25" s="12"/>
      <c r="F25" s="12"/>
      <c r="G25" s="12"/>
      <c r="H25" s="12"/>
      <c r="I25" s="12"/>
      <c r="J25" s="12"/>
      <c r="K25" s="12"/>
      <c r="L25" s="12"/>
    </row>
    <row r="26" spans="1:12" x14ac:dyDescent="0.3">
      <c r="A26" s="12"/>
      <c r="B26" s="12"/>
      <c r="C26" s="12"/>
      <c r="D26" s="12"/>
      <c r="E26" s="12"/>
      <c r="F26" s="12"/>
      <c r="G26" s="12"/>
      <c r="H26" s="12"/>
      <c r="I26" s="12"/>
      <c r="J26" s="12"/>
      <c r="K26" s="12"/>
      <c r="L26" s="12"/>
    </row>
    <row r="27" spans="1:12" x14ac:dyDescent="0.3">
      <c r="A27" s="12"/>
      <c r="B27" s="12"/>
      <c r="C27" s="12"/>
      <c r="D27" s="12"/>
      <c r="E27" s="12"/>
      <c r="F27" s="12"/>
      <c r="G27" s="12"/>
      <c r="H27" s="12"/>
      <c r="I27" s="12"/>
      <c r="J27" s="12"/>
      <c r="K27" s="12"/>
      <c r="L27" s="12"/>
    </row>
    <row r="28" spans="1:12" x14ac:dyDescent="0.3">
      <c r="A28" s="12"/>
      <c r="B28" s="12"/>
      <c r="C28" s="12"/>
      <c r="D28" s="12"/>
      <c r="E28" s="12"/>
      <c r="F28" s="12"/>
      <c r="G28" s="12"/>
      <c r="H28" s="12"/>
      <c r="I28" s="12"/>
      <c r="J28" s="12"/>
      <c r="K28" s="12"/>
      <c r="L28" s="12"/>
    </row>
    <row r="29" spans="1:12" x14ac:dyDescent="0.3">
      <c r="A29" s="12"/>
      <c r="B29" s="12"/>
      <c r="C29" s="12"/>
      <c r="D29" s="12"/>
      <c r="E29" s="12"/>
      <c r="F29" s="12"/>
      <c r="G29" s="12"/>
      <c r="H29" s="12"/>
      <c r="I29" s="12"/>
      <c r="J29" s="12"/>
      <c r="K29" s="12"/>
      <c r="L29" s="12"/>
    </row>
    <row r="30" spans="1:12" x14ac:dyDescent="0.3">
      <c r="A30" s="12"/>
      <c r="B30" s="12"/>
      <c r="C30" s="12"/>
      <c r="D30" s="12"/>
      <c r="E30" s="12"/>
      <c r="F30" s="12"/>
      <c r="G30" s="12"/>
      <c r="H30" s="12"/>
      <c r="I30" s="12"/>
      <c r="J30" s="12"/>
      <c r="K30" s="12"/>
      <c r="L30" s="12"/>
    </row>
    <row r="31" spans="1:12" x14ac:dyDescent="0.3">
      <c r="A31" s="12"/>
      <c r="B31" s="12"/>
      <c r="C31" s="12"/>
      <c r="D31" s="12"/>
      <c r="E31" s="12"/>
      <c r="F31" s="12"/>
      <c r="G31" s="12"/>
      <c r="H31" s="12"/>
      <c r="I31" s="12"/>
      <c r="J31" s="12"/>
    </row>
    <row r="32" spans="1:12" x14ac:dyDescent="0.3">
      <c r="A32" s="12"/>
      <c r="B32" s="12"/>
      <c r="C32" s="12"/>
      <c r="D32" s="12"/>
      <c r="E32" s="12"/>
      <c r="F32" s="12"/>
      <c r="G32" s="12"/>
      <c r="H32" s="12"/>
      <c r="I32" s="12"/>
      <c r="J32" s="12"/>
    </row>
    <row r="33" spans="1:10" x14ac:dyDescent="0.3">
      <c r="A33" s="12"/>
      <c r="B33" s="12"/>
      <c r="C33" s="12"/>
      <c r="D33" s="12"/>
      <c r="E33" s="12"/>
      <c r="F33" s="12"/>
      <c r="G33" s="12"/>
      <c r="H33" s="12"/>
      <c r="I33" s="12"/>
      <c r="J33" s="12"/>
    </row>
    <row r="34" spans="1:10" x14ac:dyDescent="0.3">
      <c r="A34" s="12"/>
      <c r="B34" s="12"/>
      <c r="C34" s="12"/>
      <c r="D34" s="12"/>
      <c r="E34" s="12"/>
      <c r="F34" s="12"/>
      <c r="G34" s="12"/>
      <c r="H34" s="12"/>
      <c r="I34" s="12"/>
      <c r="J34" s="12"/>
    </row>
    <row r="35" spans="1:10" x14ac:dyDescent="0.3">
      <c r="A35" s="12"/>
      <c r="B35" s="12"/>
      <c r="C35" s="12"/>
      <c r="D35" s="12"/>
      <c r="E35" s="12"/>
      <c r="F35" s="12"/>
      <c r="G35" s="12"/>
      <c r="H35" s="12"/>
      <c r="I35" s="12"/>
      <c r="J35" s="12"/>
    </row>
    <row r="36" spans="1:10" x14ac:dyDescent="0.3">
      <c r="A36" s="12"/>
      <c r="B36" s="12"/>
      <c r="C36" s="12"/>
      <c r="D36" s="12"/>
      <c r="E36" s="12"/>
      <c r="F36" s="12"/>
      <c r="G36" s="12"/>
      <c r="H36" s="12"/>
      <c r="I36" s="12"/>
      <c r="J36" s="12"/>
    </row>
    <row r="37" spans="1:10" x14ac:dyDescent="0.3">
      <c r="A37" s="12"/>
      <c r="B37" s="12"/>
      <c r="C37" s="12"/>
      <c r="D37" s="12"/>
      <c r="E37" s="12"/>
      <c r="F37" s="12"/>
      <c r="G37" s="12"/>
      <c r="H37" s="12"/>
      <c r="I37" s="12"/>
      <c r="J37" s="12"/>
    </row>
    <row r="38" spans="1:10" x14ac:dyDescent="0.3">
      <c r="A38" s="12"/>
      <c r="B38" s="12"/>
      <c r="C38" s="12"/>
      <c r="D38" s="12"/>
      <c r="E38" s="12"/>
      <c r="F38" s="12"/>
      <c r="G38" s="12"/>
      <c r="H38" s="12"/>
      <c r="I38" s="12"/>
      <c r="J38" s="12"/>
    </row>
    <row r="39" spans="1:10" x14ac:dyDescent="0.3">
      <c r="A39" s="12"/>
      <c r="B39" s="12"/>
      <c r="C39" s="12"/>
      <c r="D39" s="12"/>
      <c r="E39" s="12"/>
      <c r="F39" s="12"/>
      <c r="G39" s="12"/>
      <c r="H39" s="12"/>
      <c r="I39" s="12"/>
      <c r="J39" s="12"/>
    </row>
    <row r="40" spans="1:10" x14ac:dyDescent="0.3">
      <c r="A40" s="12"/>
      <c r="B40" s="12"/>
      <c r="C40" s="12"/>
      <c r="D40" s="12"/>
      <c r="E40" s="12"/>
      <c r="F40" s="12"/>
      <c r="G40" s="12"/>
      <c r="H40" s="12"/>
      <c r="I40" s="12"/>
      <c r="J40" s="12"/>
    </row>
    <row r="41" spans="1:10" x14ac:dyDescent="0.3">
      <c r="A41" s="12"/>
      <c r="B41" s="12"/>
      <c r="C41" s="12"/>
      <c r="D41" s="12"/>
      <c r="E41" s="12"/>
      <c r="F41" s="12"/>
      <c r="G41" s="12"/>
      <c r="H41" s="12"/>
      <c r="I41" s="12"/>
      <c r="J41" s="12"/>
    </row>
    <row r="42" spans="1:10" x14ac:dyDescent="0.3">
      <c r="A42" s="12"/>
      <c r="B42" s="12"/>
      <c r="C42" s="12"/>
      <c r="D42" s="12"/>
      <c r="E42" s="12"/>
      <c r="F42" s="12"/>
      <c r="G42" s="12"/>
      <c r="H42" s="12"/>
      <c r="I42" s="12"/>
      <c r="J42" s="12"/>
    </row>
    <row r="43" spans="1:10" x14ac:dyDescent="0.3">
      <c r="A43" s="12"/>
      <c r="B43" s="12"/>
      <c r="C43" s="12"/>
      <c r="D43" s="12"/>
      <c r="E43" s="12"/>
      <c r="F43" s="12"/>
      <c r="G43" s="12"/>
      <c r="H43" s="12"/>
      <c r="I43" s="12"/>
      <c r="J43" s="12"/>
    </row>
    <row r="44" spans="1:10" x14ac:dyDescent="0.3">
      <c r="A44" s="12"/>
      <c r="B44" s="12"/>
      <c r="C44" s="12"/>
      <c r="D44" s="12"/>
      <c r="E44" s="12"/>
      <c r="F44" s="12"/>
      <c r="G44" s="12"/>
      <c r="H44" s="12"/>
      <c r="I44" s="12"/>
      <c r="J44" s="12"/>
    </row>
    <row r="45" spans="1:10" x14ac:dyDescent="0.3">
      <c r="A45" s="12"/>
      <c r="B45" s="12"/>
      <c r="C45" s="12"/>
      <c r="D45" s="12"/>
      <c r="E45" s="12"/>
      <c r="F45" s="12"/>
      <c r="G45" s="12"/>
      <c r="H45" s="12"/>
      <c r="I45" s="12"/>
      <c r="J45" s="12"/>
    </row>
    <row r="46" spans="1:10" x14ac:dyDescent="0.3">
      <c r="A46" s="12"/>
      <c r="B46" s="12"/>
      <c r="C46" s="12"/>
      <c r="D46" s="12"/>
      <c r="E46" s="12"/>
      <c r="F46" s="12"/>
      <c r="G46" s="12"/>
      <c r="H46" s="12"/>
      <c r="I46" s="12"/>
      <c r="J46" s="12"/>
    </row>
    <row r="47" spans="1:10" x14ac:dyDescent="0.3">
      <c r="A47" s="12"/>
      <c r="B47" s="12"/>
      <c r="C47" s="12"/>
      <c r="D47" s="12"/>
      <c r="E47" s="12"/>
      <c r="F47" s="12"/>
      <c r="G47" s="12"/>
      <c r="H47" s="12"/>
      <c r="I47" s="12"/>
      <c r="J47" s="12"/>
    </row>
    <row r="48" spans="1:10" x14ac:dyDescent="0.3">
      <c r="A48" s="12"/>
      <c r="B48" s="12"/>
      <c r="C48" s="12"/>
      <c r="D48" s="12"/>
      <c r="E48" s="12"/>
      <c r="F48" s="12"/>
      <c r="G48" s="12"/>
      <c r="H48" s="12"/>
      <c r="I48" s="12"/>
      <c r="J48" s="12"/>
    </row>
    <row r="49" spans="1:10" x14ac:dyDescent="0.3">
      <c r="A49" s="12"/>
      <c r="B49" s="12"/>
      <c r="C49" s="12"/>
      <c r="D49" s="12"/>
      <c r="E49" s="12"/>
      <c r="F49" s="12"/>
      <c r="G49" s="12"/>
      <c r="H49" s="12"/>
      <c r="I49" s="12"/>
      <c r="J49" s="12"/>
    </row>
    <row r="50" spans="1:10" x14ac:dyDescent="0.3">
      <c r="A50" s="12"/>
      <c r="B50" s="12"/>
      <c r="C50" s="12"/>
      <c r="D50" s="12"/>
      <c r="E50" s="12"/>
      <c r="F50" s="12"/>
      <c r="G50" s="12"/>
      <c r="H50" s="12"/>
      <c r="I50" s="12"/>
      <c r="J50" s="12"/>
    </row>
    <row r="51" spans="1:10" x14ac:dyDescent="0.3">
      <c r="A51" s="12"/>
      <c r="B51" s="12"/>
      <c r="C51" s="12"/>
      <c r="D51" s="12"/>
      <c r="E51" s="12"/>
      <c r="F51" s="12"/>
      <c r="G51" s="12"/>
      <c r="H51" s="12"/>
      <c r="I51" s="12"/>
      <c r="J51" s="12"/>
    </row>
    <row r="52" spans="1:10" x14ac:dyDescent="0.3">
      <c r="A52" s="12"/>
      <c r="B52" s="12"/>
      <c r="C52" s="12"/>
      <c r="D52" s="12"/>
      <c r="E52" s="12"/>
      <c r="F52" s="12"/>
      <c r="G52" s="12"/>
      <c r="H52" s="12"/>
      <c r="I52" s="12"/>
      <c r="J52" s="12"/>
    </row>
    <row r="53" spans="1:10" x14ac:dyDescent="0.3">
      <c r="A53" s="12"/>
      <c r="B53" s="12"/>
      <c r="C53" s="12"/>
      <c r="D53" s="12"/>
      <c r="E53" s="12"/>
      <c r="F53" s="12"/>
      <c r="G53" s="12"/>
      <c r="H53" s="12"/>
      <c r="I53" s="12"/>
      <c r="J53" s="12"/>
    </row>
    <row r="54" spans="1:10" x14ac:dyDescent="0.3">
      <c r="A54" s="12"/>
      <c r="B54" s="12"/>
      <c r="C54" s="12"/>
      <c r="D54" s="12"/>
      <c r="E54" s="12"/>
      <c r="F54" s="12"/>
      <c r="G54" s="12"/>
      <c r="H54" s="12"/>
      <c r="I54" s="12"/>
      <c r="J54" s="12"/>
    </row>
    <row r="55" spans="1:10" x14ac:dyDescent="0.3">
      <c r="A55" s="12"/>
      <c r="B55" s="12"/>
      <c r="C55" s="12"/>
      <c r="D55" s="12"/>
      <c r="E55" s="12"/>
      <c r="F55" s="12"/>
      <c r="G55" s="12"/>
      <c r="H55" s="12"/>
      <c r="I55" s="12"/>
      <c r="J55" s="12"/>
    </row>
    <row r="56" spans="1:10" x14ac:dyDescent="0.3">
      <c r="A56" s="12"/>
      <c r="B56" s="12"/>
      <c r="C56" s="12"/>
      <c r="D56" s="12"/>
      <c r="E56" s="12"/>
      <c r="F56" s="12"/>
      <c r="G56" s="12"/>
      <c r="H56" s="12"/>
      <c r="I56" s="12"/>
      <c r="J56" s="12"/>
    </row>
    <row r="57" spans="1:10" x14ac:dyDescent="0.3">
      <c r="A57" s="12"/>
      <c r="B57" s="12"/>
      <c r="C57" s="12"/>
      <c r="D57" s="12"/>
      <c r="E57" s="12"/>
      <c r="F57" s="12"/>
      <c r="G57" s="12"/>
      <c r="H57" s="12"/>
      <c r="I57" s="12"/>
      <c r="J57" s="12"/>
    </row>
    <row r="58" spans="1:10" x14ac:dyDescent="0.3">
      <c r="A58" s="12"/>
      <c r="B58" s="12"/>
      <c r="C58" s="12"/>
      <c r="D58" s="12"/>
      <c r="E58" s="12"/>
      <c r="F58" s="12"/>
      <c r="G58" s="12"/>
      <c r="H58" s="12"/>
      <c r="I58" s="12"/>
      <c r="J58" s="12"/>
    </row>
    <row r="59" spans="1:10" x14ac:dyDescent="0.3">
      <c r="A59" s="12"/>
      <c r="B59" s="12"/>
      <c r="C59" s="12"/>
      <c r="D59" s="12"/>
      <c r="E59" s="12"/>
      <c r="F59" s="12"/>
      <c r="G59" s="12"/>
      <c r="H59" s="12"/>
      <c r="I59" s="12"/>
      <c r="J59" s="12"/>
    </row>
    <row r="60" spans="1:10" x14ac:dyDescent="0.3">
      <c r="A60" s="12"/>
      <c r="B60" s="12"/>
      <c r="C60" s="12"/>
      <c r="D60" s="12"/>
      <c r="E60" s="12"/>
      <c r="F60" s="12"/>
      <c r="G60" s="12"/>
      <c r="H60" s="12"/>
      <c r="I60" s="12"/>
      <c r="J60" s="12"/>
    </row>
  </sheetData>
  <conditionalFormatting sqref="B20:E22">
    <cfRule type="colorScale" priority="1">
      <colorScale>
        <cfvo type="min"/>
        <cfvo type="max"/>
        <color rgb="FFFFFFFF"/>
        <color rgb="FF9DC3E6"/>
      </colorScale>
    </cfRule>
  </conditionalFormatting>
  <conditionalFormatting sqref="B13:E15">
    <cfRule type="dataBar" priority="2">
      <dataBar>
        <cfvo type="min"/>
        <cfvo type="max"/>
        <color rgb="FF638EC6"/>
      </dataBar>
      <extLst>
        <ext xmlns:x14="http://schemas.microsoft.com/office/spreadsheetml/2009/9/main" uri="{B025F937-C7B1-47D3-B67F-A62EFF666E3E}">
          <x14:id>{ECC91D65-FDA4-443E-91B1-8DBF5357786C}</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ECC91D65-FDA4-443E-91B1-8DBF5357786C}">
            <x14:dataBar minLength="0" maxLength="100" negativeBarColorSameAsPositive="1" axisPosition="none">
              <x14:cfvo type="min"/>
              <x14:cfvo type="max"/>
            </x14:dataBar>
          </x14:cfRule>
          <xm:sqref>B13:E15</xm:sqref>
        </x14:conditionalFormatting>
      </x14:conditionalFormattings>
    </ex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1A453-99F2-4315-A74D-4C547D81D32F}">
  <sheetPr>
    <tabColor rgb="FF2E75B6"/>
  </sheetPr>
  <dimension ref="A1:E40"/>
  <sheetViews>
    <sheetView showGridLines="0" topLeftCell="E1" workbookViewId="0">
      <pane ySplit="2" topLeftCell="A3" activePane="bottomLeft" state="frozen"/>
      <selection pane="bottomLeft"/>
    </sheetView>
  </sheetViews>
  <sheetFormatPr defaultRowHeight="14.4" x14ac:dyDescent="0.3"/>
  <cols>
    <col min="1" max="1" width="11.5546875" bestFit="1" customWidth="1"/>
    <col min="2" max="2" width="11.109375" bestFit="1" customWidth="1"/>
    <col min="3" max="3" width="6.5546875" bestFit="1" customWidth="1"/>
    <col min="4" max="4" width="14.77734375" customWidth="1"/>
    <col min="5" max="5" width="15.77734375" customWidth="1"/>
  </cols>
  <sheetData>
    <row r="1" spans="1:5" ht="28.05" customHeight="1" x14ac:dyDescent="0.4">
      <c r="A1" s="34" t="s">
        <v>163</v>
      </c>
    </row>
    <row r="2" spans="1:5" ht="18" customHeight="1" x14ac:dyDescent="0.3">
      <c r="A2" s="35" t="s">
        <v>164</v>
      </c>
    </row>
    <row r="3" spans="1:5" x14ac:dyDescent="0.3">
      <c r="A3" s="6"/>
      <c r="B3" s="36" t="s">
        <v>138</v>
      </c>
      <c r="C3" s="37" t="s">
        <v>139</v>
      </c>
      <c r="D3" s="38" t="s">
        <v>165</v>
      </c>
      <c r="E3" s="38" t="s">
        <v>144</v>
      </c>
    </row>
    <row r="4" spans="1:5" x14ac:dyDescent="0.3">
      <c r="A4" s="46" t="s">
        <v>85</v>
      </c>
      <c r="B4" s="47">
        <v>21254030</v>
      </c>
      <c r="C4" s="48">
        <v>48800</v>
      </c>
      <c r="D4" s="49">
        <f>B4/$B$10</f>
        <v>0.5841822984822661</v>
      </c>
      <c r="E4" s="50">
        <f>B4/C4</f>
        <v>435.53340163934428</v>
      </c>
    </row>
    <row r="5" spans="1:5" x14ac:dyDescent="0.3">
      <c r="A5" s="51" t="s">
        <v>78</v>
      </c>
      <c r="B5" s="52">
        <v>18770889</v>
      </c>
      <c r="C5" s="53">
        <v>37450</v>
      </c>
      <c r="D5" s="54">
        <f t="shared" ref="D5:D10" si="0">B5/$B$10</f>
        <v>0.51593138245196257</v>
      </c>
      <c r="E5" s="55">
        <f t="shared" ref="E5:E10" si="1">B5/C5</f>
        <v>501.2253404539386</v>
      </c>
    </row>
    <row r="6" spans="1:5" x14ac:dyDescent="0.3">
      <c r="A6" s="51" t="s">
        <v>77</v>
      </c>
      <c r="B6" s="52">
        <v>2483141</v>
      </c>
      <c r="C6" s="53">
        <v>11350</v>
      </c>
      <c r="D6" s="54">
        <f t="shared" si="0"/>
        <v>6.825091603030356E-2</v>
      </c>
      <c r="E6" s="55">
        <f t="shared" si="1"/>
        <v>218.77894273127754</v>
      </c>
    </row>
    <row r="7" spans="1:5" x14ac:dyDescent="0.3">
      <c r="A7" s="56" t="s">
        <v>86</v>
      </c>
      <c r="B7" s="52">
        <v>15128500</v>
      </c>
      <c r="C7" s="53">
        <v>16680</v>
      </c>
      <c r="D7" s="54">
        <f t="shared" si="0"/>
        <v>0.41581770151773395</v>
      </c>
      <c r="E7" s="55">
        <f t="shared" si="1"/>
        <v>906.98441247002393</v>
      </c>
    </row>
    <row r="8" spans="1:5" x14ac:dyDescent="0.3">
      <c r="A8" s="51" t="s">
        <v>80</v>
      </c>
      <c r="B8" s="52">
        <v>8059775</v>
      </c>
      <c r="C8" s="53">
        <v>8450</v>
      </c>
      <c r="D8" s="54">
        <f t="shared" si="0"/>
        <v>0.22152871171960828</v>
      </c>
      <c r="E8" s="55">
        <f t="shared" si="1"/>
        <v>953.81952662721892</v>
      </c>
    </row>
    <row r="9" spans="1:5" ht="15" thickBot="1" x14ac:dyDescent="0.35">
      <c r="A9" s="51" t="s">
        <v>79</v>
      </c>
      <c r="B9" s="52">
        <v>7068725</v>
      </c>
      <c r="C9" s="53">
        <v>8230</v>
      </c>
      <c r="D9" s="57">
        <f t="shared" si="0"/>
        <v>0.19428898979812564</v>
      </c>
      <c r="E9" s="58">
        <f t="shared" si="1"/>
        <v>858.8973268529769</v>
      </c>
    </row>
    <row r="10" spans="1:5" x14ac:dyDescent="0.3">
      <c r="A10" s="59" t="s">
        <v>87</v>
      </c>
      <c r="B10" s="60">
        <v>36382530</v>
      </c>
      <c r="C10" s="61">
        <v>65480</v>
      </c>
      <c r="D10" s="62">
        <f t="shared" si="0"/>
        <v>1</v>
      </c>
      <c r="E10" s="63">
        <f t="shared" si="1"/>
        <v>555.6281307269395</v>
      </c>
    </row>
    <row r="11" spans="1:5" x14ac:dyDescent="0.3">
      <c r="B11" s="12"/>
      <c r="C11" s="12"/>
    </row>
    <row r="12" spans="1:5" x14ac:dyDescent="0.3">
      <c r="B12" s="12"/>
      <c r="C12" s="12"/>
    </row>
    <row r="13" spans="1:5" x14ac:dyDescent="0.3">
      <c r="B13" s="12"/>
      <c r="C13" s="12"/>
    </row>
    <row r="14" spans="1:5" x14ac:dyDescent="0.3">
      <c r="B14" s="12"/>
      <c r="C14" s="12"/>
    </row>
    <row r="15" spans="1:5" x14ac:dyDescent="0.3">
      <c r="B15" s="12"/>
      <c r="C15" s="12"/>
    </row>
    <row r="16" spans="1:5" x14ac:dyDescent="0.3">
      <c r="B16" s="12"/>
      <c r="C16" s="12"/>
    </row>
    <row r="17" spans="2:3" x14ac:dyDescent="0.3">
      <c r="B17" s="12"/>
      <c r="C17" s="12"/>
    </row>
    <row r="18" spans="2:3" x14ac:dyDescent="0.3">
      <c r="B18" s="12"/>
      <c r="C18" s="12"/>
    </row>
    <row r="19" spans="2:3" x14ac:dyDescent="0.3">
      <c r="B19" s="12"/>
      <c r="C19" s="12"/>
    </row>
    <row r="20" spans="2:3" x14ac:dyDescent="0.3">
      <c r="B20" s="12"/>
      <c r="C20" s="12"/>
    </row>
    <row r="21" spans="2:3" x14ac:dyDescent="0.3">
      <c r="B21" s="12"/>
      <c r="C21" s="12"/>
    </row>
    <row r="22" spans="2:3" x14ac:dyDescent="0.3">
      <c r="B22" s="12"/>
      <c r="C22" s="12"/>
    </row>
    <row r="23" spans="2:3" x14ac:dyDescent="0.3">
      <c r="B23" s="12"/>
      <c r="C23" s="12"/>
    </row>
    <row r="24" spans="2:3" x14ac:dyDescent="0.3">
      <c r="B24" s="12"/>
      <c r="C24" s="12"/>
    </row>
    <row r="25" spans="2:3" x14ac:dyDescent="0.3">
      <c r="B25" s="12"/>
      <c r="C25" s="12"/>
    </row>
    <row r="26" spans="2:3" x14ac:dyDescent="0.3">
      <c r="B26" s="12"/>
      <c r="C26" s="12"/>
    </row>
    <row r="27" spans="2:3" x14ac:dyDescent="0.3">
      <c r="B27" s="12"/>
      <c r="C27" s="12"/>
    </row>
    <row r="28" spans="2:3" x14ac:dyDescent="0.3">
      <c r="B28" s="12"/>
      <c r="C28" s="12"/>
    </row>
    <row r="29" spans="2:3" x14ac:dyDescent="0.3">
      <c r="B29" s="12"/>
      <c r="C29" s="12"/>
    </row>
    <row r="30" spans="2:3" x14ac:dyDescent="0.3">
      <c r="B30" s="12"/>
      <c r="C30" s="12"/>
    </row>
    <row r="31" spans="2:3" x14ac:dyDescent="0.3">
      <c r="B31" s="12"/>
      <c r="C31" s="12"/>
    </row>
    <row r="32" spans="2:3" x14ac:dyDescent="0.3">
      <c r="B32" s="12"/>
      <c r="C32" s="12"/>
    </row>
    <row r="33" spans="2:3" x14ac:dyDescent="0.3">
      <c r="B33" s="12"/>
      <c r="C33" s="12"/>
    </row>
    <row r="34" spans="2:3" x14ac:dyDescent="0.3">
      <c r="B34" s="12"/>
      <c r="C34" s="12"/>
    </row>
    <row r="35" spans="2:3" x14ac:dyDescent="0.3">
      <c r="B35" s="12"/>
      <c r="C35" s="12"/>
    </row>
    <row r="36" spans="2:3" x14ac:dyDescent="0.3">
      <c r="B36" s="12"/>
      <c r="C36" s="12"/>
    </row>
    <row r="37" spans="2:3" x14ac:dyDescent="0.3">
      <c r="B37" s="12"/>
      <c r="C37" s="12"/>
    </row>
    <row r="38" spans="2:3" x14ac:dyDescent="0.3">
      <c r="B38" s="12"/>
      <c r="C38" s="12"/>
    </row>
    <row r="39" spans="2:3" x14ac:dyDescent="0.3">
      <c r="B39" s="12"/>
      <c r="C39" s="12"/>
    </row>
    <row r="40" spans="2:3" x14ac:dyDescent="0.3">
      <c r="B40" s="12"/>
      <c r="C40" s="12"/>
    </row>
  </sheetData>
  <conditionalFormatting pivot="1" sqref="B5:B6">
    <cfRule type="dataBar" priority="1">
      <dataBar>
        <cfvo type="min"/>
        <cfvo type="max"/>
        <color rgb="FF638EC6"/>
      </dataBar>
      <extLst>
        <ext xmlns:x14="http://schemas.microsoft.com/office/spreadsheetml/2009/9/main" uri="{B025F937-C7B1-47D3-B67F-A62EFF666E3E}">
          <x14:id>{9B967D17-4A76-4569-BB7D-9DB410AD9260}</x14:id>
        </ext>
      </extLst>
    </cfRule>
  </conditionalFormatting>
  <conditionalFormatting pivot="1" sqref="B8:B9">
    <cfRule type="dataBar" priority="2">
      <dataBar>
        <cfvo type="min"/>
        <cfvo type="max"/>
        <color rgb="FF638EC6"/>
      </dataBar>
      <extLst>
        <ext xmlns:x14="http://schemas.microsoft.com/office/spreadsheetml/2009/9/main" uri="{B025F937-C7B1-47D3-B67F-A62EFF666E3E}">
          <x14:id>{E00AC625-C937-4578-9373-3E2A93385204}</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9B967D17-4A76-4569-BB7D-9DB410AD9260}">
            <x14:dataBar minLength="0" maxLength="100" negativeBarColorSameAsPositive="1" axisPosition="none">
              <x14:cfvo type="min"/>
              <x14:cfvo type="max"/>
            </x14:dataBar>
          </x14:cfRule>
          <xm:sqref>B5:B6</xm:sqref>
        </x14:conditionalFormatting>
        <x14:conditionalFormatting xmlns:xm="http://schemas.microsoft.com/office/excel/2006/main" pivot="1">
          <x14:cfRule type="dataBar" id="{E00AC625-C937-4578-9373-3E2A93385204}">
            <x14:dataBar minLength="0" maxLength="100" negativeBarColorSameAsPositive="1" axisPosition="none">
              <x14:cfvo type="min"/>
              <x14:cfvo type="max"/>
            </x14:dataBar>
          </x14:cfRule>
          <xm:sqref>B8:B9</xm:sqref>
        </x14:conditionalFormatting>
      </x14:conditionalFormattings>
    </ex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B7445-36AD-463F-B817-B8D5F511BEE2}">
  <sheetPr>
    <tabColor rgb="FF2E75B6"/>
  </sheetPr>
  <dimension ref="A1:S20"/>
  <sheetViews>
    <sheetView showGridLines="0" workbookViewId="0">
      <selection activeCell="H16" sqref="H16"/>
    </sheetView>
  </sheetViews>
  <sheetFormatPr defaultRowHeight="14.4" outlineLevelCol="1" x14ac:dyDescent="0.3"/>
  <cols>
    <col min="1" max="1" width="13.6640625" bestFit="1" customWidth="1"/>
    <col min="2" max="2" width="11.109375" bestFit="1" customWidth="1"/>
    <col min="3" max="3" width="6.5546875" bestFit="1" customWidth="1"/>
    <col min="4" max="4" width="11.5546875" customWidth="1"/>
    <col min="5" max="5" width="3.33203125" customWidth="1"/>
    <col min="6" max="6" width="11.33203125" bestFit="1" customWidth="1"/>
    <col min="7" max="7" width="11.109375" bestFit="1" customWidth="1"/>
    <col min="8" max="8" width="15.44140625" bestFit="1" customWidth="1"/>
    <col min="13" max="14" width="17.5546875" hidden="1" customWidth="1" outlineLevel="1"/>
    <col min="15" max="15" width="8.88671875" hidden="1" customWidth="1" outlineLevel="1"/>
    <col min="16" max="18" width="17.5546875" hidden="1" customWidth="1" outlineLevel="1"/>
    <col min="19" max="19" width="8.88671875" collapsed="1"/>
  </cols>
  <sheetData>
    <row r="1" spans="1:18" ht="28.05" customHeight="1" x14ac:dyDescent="0.4">
      <c r="A1" s="34" t="s">
        <v>173</v>
      </c>
    </row>
    <row r="2" spans="1:18" ht="18" customHeight="1" x14ac:dyDescent="0.3">
      <c r="A2" s="35" t="s">
        <v>174</v>
      </c>
      <c r="M2" s="72" t="s">
        <v>166</v>
      </c>
    </row>
    <row r="3" spans="1:18" x14ac:dyDescent="0.3">
      <c r="A3" s="6"/>
      <c r="B3" s="36" t="s">
        <v>138</v>
      </c>
      <c r="C3" s="37" t="s">
        <v>139</v>
      </c>
      <c r="D3" s="91" t="s">
        <v>134</v>
      </c>
      <c r="F3" s="6"/>
      <c r="G3" s="36" t="s">
        <v>138</v>
      </c>
      <c r="H3" s="37" t="s">
        <v>140</v>
      </c>
      <c r="M3" s="2" t="s">
        <v>3</v>
      </c>
      <c r="N3" s="2" t="s">
        <v>138</v>
      </c>
      <c r="P3" s="2" t="s">
        <v>113</v>
      </c>
      <c r="Q3" s="2" t="s">
        <v>138</v>
      </c>
      <c r="R3" s="2" t="s">
        <v>140</v>
      </c>
    </row>
    <row r="4" spans="1:18" x14ac:dyDescent="0.3">
      <c r="A4" s="46" t="s">
        <v>119</v>
      </c>
      <c r="B4" s="64">
        <v>2076593</v>
      </c>
      <c r="C4" s="65">
        <v>3950</v>
      </c>
      <c r="D4" s="93" t="s">
        <v>135</v>
      </c>
      <c r="F4" s="46" t="s">
        <v>115</v>
      </c>
      <c r="G4" s="64">
        <v>7180763</v>
      </c>
      <c r="H4" s="64">
        <v>230730</v>
      </c>
      <c r="M4" t="str">
        <f>MID(A4,6,20)</f>
        <v>January</v>
      </c>
      <c r="N4" s="30">
        <f>B4</f>
        <v>2076593</v>
      </c>
      <c r="P4" t="str">
        <f>F4</f>
        <v>Q1</v>
      </c>
      <c r="Q4" s="30">
        <f>G4</f>
        <v>7180763</v>
      </c>
      <c r="R4" s="30">
        <f>H4</f>
        <v>230730</v>
      </c>
    </row>
    <row r="5" spans="1:18" x14ac:dyDescent="0.3">
      <c r="A5" s="56" t="s">
        <v>120</v>
      </c>
      <c r="B5" s="64">
        <v>2552085</v>
      </c>
      <c r="C5" s="65">
        <v>4410</v>
      </c>
      <c r="D5" s="94">
        <f>IFERROR(B5/B4-1,"")</f>
        <v>0.22897698297162705</v>
      </c>
      <c r="F5" s="56" t="s">
        <v>116</v>
      </c>
      <c r="G5" s="64">
        <v>10284291</v>
      </c>
      <c r="H5" s="64">
        <v>0</v>
      </c>
      <c r="M5" t="str">
        <f t="shared" ref="M5:M15" si="0">MID(A5,6,20)</f>
        <v>February</v>
      </c>
      <c r="N5" s="30">
        <f t="shared" ref="N5:N15" si="1">B5</f>
        <v>2552085</v>
      </c>
      <c r="P5" t="str">
        <f t="shared" ref="P5:P7" si="2">F5</f>
        <v>Q2</v>
      </c>
      <c r="Q5" s="30">
        <f t="shared" ref="Q5:Q7" si="3">G5</f>
        <v>10284291</v>
      </c>
      <c r="R5" s="30">
        <f t="shared" ref="R5:R7" si="4">H5</f>
        <v>0</v>
      </c>
    </row>
    <row r="6" spans="1:18" x14ac:dyDescent="0.3">
      <c r="A6" s="56" t="s">
        <v>121</v>
      </c>
      <c r="B6" s="64">
        <v>2552085</v>
      </c>
      <c r="C6" s="65">
        <v>4410</v>
      </c>
      <c r="D6" s="94">
        <f t="shared" ref="D6:D15" si="5">IFERROR(B6/B5-1,"")</f>
        <v>0</v>
      </c>
      <c r="F6" s="56" t="s">
        <v>117</v>
      </c>
      <c r="G6" s="64">
        <v>10141023</v>
      </c>
      <c r="H6" s="64">
        <v>0</v>
      </c>
      <c r="M6" t="str">
        <f t="shared" si="0"/>
        <v>March</v>
      </c>
      <c r="N6" s="30">
        <f t="shared" si="1"/>
        <v>2552085</v>
      </c>
      <c r="P6" t="str">
        <f t="shared" si="2"/>
        <v>Q3</v>
      </c>
      <c r="Q6" s="30">
        <f t="shared" si="3"/>
        <v>10141023</v>
      </c>
      <c r="R6" s="30">
        <f t="shared" si="4"/>
        <v>0</v>
      </c>
    </row>
    <row r="7" spans="1:18" ht="15" thickBot="1" x14ac:dyDescent="0.35">
      <c r="A7" s="56" t="s">
        <v>122</v>
      </c>
      <c r="B7" s="64">
        <v>3167122</v>
      </c>
      <c r="C7" s="65">
        <v>5550</v>
      </c>
      <c r="D7" s="94">
        <f t="shared" si="5"/>
        <v>0.24099393241212574</v>
      </c>
      <c r="F7" s="56" t="s">
        <v>118</v>
      </c>
      <c r="G7" s="64">
        <v>8776453</v>
      </c>
      <c r="H7" s="64">
        <v>1295729</v>
      </c>
      <c r="M7" t="str">
        <f t="shared" si="0"/>
        <v>April</v>
      </c>
      <c r="N7" s="30">
        <f t="shared" si="1"/>
        <v>3167122</v>
      </c>
      <c r="P7" t="str">
        <f t="shared" si="2"/>
        <v>Q4</v>
      </c>
      <c r="Q7" s="30">
        <f t="shared" si="3"/>
        <v>8776453</v>
      </c>
      <c r="R7" s="30">
        <f t="shared" si="4"/>
        <v>1295729</v>
      </c>
    </row>
    <row r="8" spans="1:18" x14ac:dyDescent="0.3">
      <c r="A8" s="56" t="s">
        <v>123</v>
      </c>
      <c r="B8" s="64">
        <v>3311633</v>
      </c>
      <c r="C8" s="65">
        <v>5740</v>
      </c>
      <c r="D8" s="94">
        <f t="shared" si="5"/>
        <v>4.5628491734767351E-2</v>
      </c>
      <c r="F8" s="66" t="s">
        <v>87</v>
      </c>
      <c r="G8" s="67">
        <v>36382530</v>
      </c>
      <c r="H8" s="67">
        <v>1526459</v>
      </c>
      <c r="M8" t="str">
        <f t="shared" si="0"/>
        <v>May</v>
      </c>
      <c r="N8" s="30">
        <f t="shared" si="1"/>
        <v>3311633</v>
      </c>
    </row>
    <row r="9" spans="1:18" x14ac:dyDescent="0.3">
      <c r="A9" s="56" t="s">
        <v>124</v>
      </c>
      <c r="B9" s="64">
        <v>3805536</v>
      </c>
      <c r="C9" s="65">
        <v>6650</v>
      </c>
      <c r="D9" s="94">
        <f t="shared" si="5"/>
        <v>0.14914182821586808</v>
      </c>
      <c r="G9" s="12"/>
      <c r="H9" s="12"/>
      <c r="M9" t="str">
        <f t="shared" si="0"/>
        <v>June</v>
      </c>
      <c r="N9" s="30">
        <f t="shared" si="1"/>
        <v>3805536</v>
      </c>
    </row>
    <row r="10" spans="1:18" x14ac:dyDescent="0.3">
      <c r="A10" s="56" t="s">
        <v>125</v>
      </c>
      <c r="B10" s="64">
        <v>3744231</v>
      </c>
      <c r="C10" s="65">
        <v>6530</v>
      </c>
      <c r="D10" s="94">
        <f t="shared" si="5"/>
        <v>-1.6109425846976611E-2</v>
      </c>
      <c r="G10" s="12"/>
      <c r="H10" s="12"/>
      <c r="M10" t="str">
        <f t="shared" si="0"/>
        <v>July</v>
      </c>
      <c r="N10" s="30">
        <f t="shared" si="1"/>
        <v>3744231</v>
      </c>
    </row>
    <row r="11" spans="1:18" x14ac:dyDescent="0.3">
      <c r="A11" s="56" t="s">
        <v>126</v>
      </c>
      <c r="B11" s="64">
        <v>3308633</v>
      </c>
      <c r="C11" s="65">
        <v>5730</v>
      </c>
      <c r="D11" s="94">
        <f t="shared" si="5"/>
        <v>-0.11633844172541707</v>
      </c>
      <c r="G11" s="12"/>
      <c r="H11" s="12"/>
      <c r="M11" t="str">
        <f t="shared" si="0"/>
        <v>August</v>
      </c>
      <c r="N11" s="30">
        <f t="shared" si="1"/>
        <v>3308633</v>
      </c>
    </row>
    <row r="12" spans="1:18" x14ac:dyDescent="0.3">
      <c r="A12" s="56" t="s">
        <v>127</v>
      </c>
      <c r="B12" s="64">
        <v>3088159</v>
      </c>
      <c r="C12" s="65">
        <v>5290</v>
      </c>
      <c r="D12" s="94">
        <f t="shared" si="5"/>
        <v>-6.6635979269988543E-2</v>
      </c>
      <c r="G12" s="12"/>
      <c r="H12" s="12"/>
      <c r="M12" t="str">
        <f t="shared" si="0"/>
        <v>September</v>
      </c>
      <c r="N12" s="30">
        <f t="shared" si="1"/>
        <v>3088159</v>
      </c>
    </row>
    <row r="13" spans="1:18" x14ac:dyDescent="0.3">
      <c r="A13" s="56" t="s">
        <v>128</v>
      </c>
      <c r="B13" s="64">
        <v>2817184</v>
      </c>
      <c r="C13" s="65">
        <v>4780</v>
      </c>
      <c r="D13" s="94">
        <f t="shared" si="5"/>
        <v>-8.7746453469526697E-2</v>
      </c>
      <c r="G13" s="12"/>
      <c r="H13" s="12"/>
      <c r="M13" t="str">
        <f t="shared" si="0"/>
        <v>October</v>
      </c>
      <c r="N13" s="30">
        <f t="shared" si="1"/>
        <v>2817184</v>
      </c>
    </row>
    <row r="14" spans="1:18" x14ac:dyDescent="0.3">
      <c r="A14" s="56" t="s">
        <v>129</v>
      </c>
      <c r="B14" s="64">
        <v>2639595</v>
      </c>
      <c r="C14" s="65">
        <v>5300</v>
      </c>
      <c r="D14" s="94">
        <f t="shared" si="5"/>
        <v>-6.3037771050808211E-2</v>
      </c>
      <c r="G14" s="12"/>
      <c r="H14" s="12"/>
      <c r="M14" t="str">
        <f t="shared" si="0"/>
        <v>November</v>
      </c>
      <c r="N14" s="30">
        <f t="shared" si="1"/>
        <v>2639595</v>
      </c>
    </row>
    <row r="15" spans="1:18" ht="15" thickBot="1" x14ac:dyDescent="0.35">
      <c r="A15" s="56" t="s">
        <v>130</v>
      </c>
      <c r="B15" s="64">
        <v>3319674</v>
      </c>
      <c r="C15" s="65">
        <v>7140</v>
      </c>
      <c r="D15" s="94">
        <f t="shared" si="5"/>
        <v>0.25764520693515491</v>
      </c>
      <c r="G15" s="12"/>
      <c r="H15" s="12"/>
      <c r="M15" t="str">
        <f t="shared" si="0"/>
        <v>December</v>
      </c>
      <c r="N15" s="30">
        <f t="shared" si="1"/>
        <v>3319674</v>
      </c>
    </row>
    <row r="16" spans="1:18" x14ac:dyDescent="0.3">
      <c r="A16" s="66" t="s">
        <v>87</v>
      </c>
      <c r="B16" s="67">
        <v>36382530</v>
      </c>
      <c r="C16" s="68">
        <v>65480</v>
      </c>
      <c r="G16" s="12"/>
      <c r="H16" s="12"/>
    </row>
    <row r="17" spans="2:8" x14ac:dyDescent="0.3">
      <c r="B17" s="12"/>
      <c r="C17" s="12"/>
      <c r="G17" s="12"/>
      <c r="H17" s="12"/>
    </row>
    <row r="18" spans="2:8" x14ac:dyDescent="0.3">
      <c r="B18" s="12"/>
      <c r="C18" s="12"/>
      <c r="G18" s="12"/>
      <c r="H18" s="12"/>
    </row>
    <row r="19" spans="2:8" x14ac:dyDescent="0.3">
      <c r="B19" s="12"/>
      <c r="C19" s="12"/>
      <c r="G19" s="12"/>
      <c r="H19" s="12"/>
    </row>
    <row r="20" spans="2:8" x14ac:dyDescent="0.3">
      <c r="B20" s="12"/>
      <c r="C20" s="12"/>
      <c r="G20" s="12"/>
      <c r="H20" s="12"/>
    </row>
  </sheetData>
  <conditionalFormatting pivot="1" sqref="B4:B15">
    <cfRule type="dataBar" priority="1">
      <dataBar>
        <cfvo type="min"/>
        <cfvo type="max"/>
        <color rgb="FF638EC6"/>
      </dataBar>
      <extLst>
        <ext xmlns:x14="http://schemas.microsoft.com/office/spreadsheetml/2009/9/main" uri="{B025F937-C7B1-47D3-B67F-A62EFF666E3E}">
          <x14:id>{B5A0CE7C-1CBF-4F6E-8B03-9C97C455A618}</x14:id>
        </ext>
      </extLst>
    </cfRule>
  </conditionalFormatting>
  <conditionalFormatting pivot="1" sqref="B4:B15">
    <cfRule type="dataBar" priority="2">
      <dataBar>
        <cfvo type="min"/>
        <cfvo type="max"/>
        <color rgb="FF638EC6"/>
      </dataBar>
      <extLst>
        <ext xmlns:x14="http://schemas.microsoft.com/office/spreadsheetml/2009/9/main" uri="{B025F937-C7B1-47D3-B67F-A62EFF666E3E}">
          <x14:id>{A45B0CB9-0755-42C1-A113-E375D0A210B4}</x14:id>
        </ext>
      </extLst>
    </cfRule>
  </conditionalFormatting>
  <conditionalFormatting pivot="1" sqref="B4:B15">
    <cfRule type="colorScale" priority="3">
      <colorScale>
        <cfvo type="min"/>
        <cfvo type="max"/>
        <color rgb="FFFF7128"/>
        <color rgb="FFFFEF9C"/>
      </colorScale>
    </cfRule>
  </conditionalFormatting>
  <conditionalFormatting sqref="D5:D15">
    <cfRule type="dataBar" priority="4">
      <dataBar>
        <cfvo type="min"/>
        <cfvo type="max"/>
        <color rgb="FF70AD47"/>
      </dataBar>
      <extLst>
        <ext xmlns:x14="http://schemas.microsoft.com/office/spreadsheetml/2009/9/main" uri="{B025F937-C7B1-47D3-B67F-A62EFF666E3E}">
          <x14:id>{E31CA9CB-C7AE-4FBF-90BD-EB305F52782A}</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B5A0CE7C-1CBF-4F6E-8B03-9C97C455A618}">
            <x14:dataBar minLength="0" maxLength="100" negativeBarColorSameAsPositive="1" axisPosition="none">
              <x14:cfvo type="min"/>
              <x14:cfvo type="max"/>
            </x14:dataBar>
          </x14:cfRule>
          <xm:sqref>B4:B15</xm:sqref>
        </x14:conditionalFormatting>
        <x14:conditionalFormatting xmlns:xm="http://schemas.microsoft.com/office/excel/2006/main" pivot="1">
          <x14:cfRule type="dataBar" id="{A45B0CB9-0755-42C1-A113-E375D0A210B4}">
            <x14:dataBar minLength="0" maxLength="100" negativeBarColorSameAsPositive="1" axisPosition="none">
              <x14:cfvo type="min"/>
              <x14:cfvo type="max"/>
            </x14:dataBar>
          </x14:cfRule>
          <xm:sqref>B4:B15</xm:sqref>
        </x14:conditionalFormatting>
        <x14:conditionalFormatting xmlns:xm="http://schemas.microsoft.com/office/excel/2006/main">
          <x14:cfRule type="dataBar" id="{E31CA9CB-C7AE-4FBF-90BD-EB305F52782A}">
            <x14:dataBar minLength="0" maxLength="100" axisPosition="none">
              <x14:cfvo type="min"/>
              <x14:cfvo type="max"/>
              <x14:negativeFillColor rgb="FFFF0000"/>
            </x14:dataBar>
          </x14:cfRule>
          <xm:sqref>D5:D15</xm:sqref>
        </x14:conditionalFormatting>
      </x14:conditionalFormattings>
    </ex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C4D37-FC81-4270-B0E2-FADBB9442766}">
  <sheetPr>
    <tabColor rgb="FF2E75B6"/>
  </sheetPr>
  <dimension ref="A1:O20"/>
  <sheetViews>
    <sheetView showGridLines="0" workbookViewId="0">
      <selection activeCell="G12" sqref="G12"/>
    </sheetView>
  </sheetViews>
  <sheetFormatPr defaultRowHeight="14.4" outlineLevelCol="1" x14ac:dyDescent="0.3"/>
  <cols>
    <col min="1" max="1" width="13.21875" bestFit="1" customWidth="1"/>
    <col min="2" max="2" width="11.109375" bestFit="1" customWidth="1"/>
    <col min="3" max="3" width="6.5546875" bestFit="1" customWidth="1"/>
    <col min="4" max="4" width="14.77734375" customWidth="1"/>
    <col min="5" max="5" width="3.33203125" customWidth="1"/>
    <col min="6" max="6" width="17.109375" bestFit="1" customWidth="1"/>
    <col min="7" max="7" width="11.109375" bestFit="1" customWidth="1"/>
    <col min="8" max="8" width="6.5546875" bestFit="1" customWidth="1"/>
    <col min="10" max="11" width="17.5546875" hidden="1" customWidth="1" outlineLevel="1"/>
    <col min="12" max="12" width="0" hidden="1" customWidth="1" outlineLevel="1"/>
    <col min="13" max="14" width="17.5546875" hidden="1" customWidth="1" outlineLevel="1"/>
    <col min="15" max="15" width="8.88671875" collapsed="1"/>
  </cols>
  <sheetData>
    <row r="1" spans="1:14" ht="28.05" customHeight="1" x14ac:dyDescent="0.4">
      <c r="A1" s="34" t="s">
        <v>175</v>
      </c>
    </row>
    <row r="2" spans="1:14" ht="18" customHeight="1" x14ac:dyDescent="0.3">
      <c r="A2" s="35" t="s">
        <v>167</v>
      </c>
      <c r="J2" s="72" t="s">
        <v>166</v>
      </c>
    </row>
    <row r="3" spans="1:14" x14ac:dyDescent="0.3">
      <c r="A3" s="6"/>
      <c r="B3" s="36" t="s">
        <v>138</v>
      </c>
      <c r="C3" s="37" t="s">
        <v>139</v>
      </c>
      <c r="D3" s="38" t="s">
        <v>144</v>
      </c>
      <c r="F3" s="6"/>
      <c r="G3" s="36" t="s">
        <v>138</v>
      </c>
      <c r="H3" s="37" t="s">
        <v>139</v>
      </c>
      <c r="J3" s="2" t="s">
        <v>104</v>
      </c>
      <c r="K3" s="2" t="s">
        <v>138</v>
      </c>
      <c r="M3" s="2" t="s">
        <v>150</v>
      </c>
      <c r="N3" s="29" t="s">
        <v>138</v>
      </c>
    </row>
    <row r="4" spans="1:14" x14ac:dyDescent="0.3">
      <c r="A4" s="46" t="s">
        <v>105</v>
      </c>
      <c r="B4" s="47">
        <v>18770889</v>
      </c>
      <c r="C4" s="48">
        <v>37450</v>
      </c>
      <c r="D4" s="50">
        <f>B4/C4</f>
        <v>501.2253404539386</v>
      </c>
      <c r="F4" s="46" t="s">
        <v>23</v>
      </c>
      <c r="G4" s="64">
        <v>14904265</v>
      </c>
      <c r="H4" s="65">
        <v>30610</v>
      </c>
      <c r="J4" t="str">
        <f>A4</f>
        <v>Liu, Fang</v>
      </c>
      <c r="K4" s="30">
        <f>B4</f>
        <v>18770889</v>
      </c>
      <c r="M4" t="str">
        <f>F4</f>
        <v>Electric Scooter</v>
      </c>
      <c r="N4" s="30">
        <f>G4</f>
        <v>14904265</v>
      </c>
    </row>
    <row r="5" spans="1:14" x14ac:dyDescent="0.3">
      <c r="A5" s="56" t="s">
        <v>107</v>
      </c>
      <c r="B5" s="52">
        <v>8059775</v>
      </c>
      <c r="C5" s="53">
        <v>8450</v>
      </c>
      <c r="D5" s="55">
        <f t="shared" ref="D5:D8" si="0">B5/C5</f>
        <v>953.81952662721892</v>
      </c>
      <c r="F5" s="56" t="s">
        <v>29</v>
      </c>
      <c r="G5" s="64">
        <v>12366531</v>
      </c>
      <c r="H5" s="65">
        <v>21090</v>
      </c>
      <c r="J5" t="str">
        <f t="shared" ref="J5:J7" si="1">A5</f>
        <v>Bernard, Théo</v>
      </c>
      <c r="K5" s="30">
        <f t="shared" ref="K5:K7" si="2">B5</f>
        <v>8059775</v>
      </c>
      <c r="M5" t="str">
        <f t="shared" ref="M5:M6" si="3">F5</f>
        <v>Electric Skateboard</v>
      </c>
      <c r="N5" s="30">
        <f t="shared" ref="N5:N6" si="4">G5</f>
        <v>12366531</v>
      </c>
    </row>
    <row r="6" spans="1:14" ht="15" thickBot="1" x14ac:dyDescent="0.35">
      <c r="A6" s="56" t="s">
        <v>108</v>
      </c>
      <c r="B6" s="52">
        <v>7068725</v>
      </c>
      <c r="C6" s="53">
        <v>8230</v>
      </c>
      <c r="D6" s="55">
        <f t="shared" si="0"/>
        <v>858.8973268529769</v>
      </c>
      <c r="F6" s="56" t="s">
        <v>16</v>
      </c>
      <c r="G6" s="64">
        <v>9111734</v>
      </c>
      <c r="H6" s="65">
        <v>13780</v>
      </c>
      <c r="J6" t="str">
        <f t="shared" si="1"/>
        <v>Fischer, Jonas</v>
      </c>
      <c r="K6" s="30">
        <f t="shared" si="2"/>
        <v>7068725</v>
      </c>
      <c r="M6" t="str">
        <f t="shared" si="3"/>
        <v>Electric Unicycle</v>
      </c>
      <c r="N6" s="30">
        <f t="shared" si="4"/>
        <v>9111734</v>
      </c>
    </row>
    <row r="7" spans="1:14" ht="15" thickBot="1" x14ac:dyDescent="0.35">
      <c r="A7" s="56" t="s">
        <v>106</v>
      </c>
      <c r="B7" s="52">
        <v>2483141</v>
      </c>
      <c r="C7" s="53">
        <v>11350</v>
      </c>
      <c r="D7" s="58">
        <f t="shared" si="0"/>
        <v>218.77894273127754</v>
      </c>
      <c r="F7" s="66" t="s">
        <v>87</v>
      </c>
      <c r="G7" s="67">
        <v>36382530</v>
      </c>
      <c r="H7" s="68">
        <v>65480</v>
      </c>
      <c r="J7" t="str">
        <f t="shared" si="1"/>
        <v>Joshi, Sanya</v>
      </c>
      <c r="K7" s="30">
        <f t="shared" si="2"/>
        <v>2483141</v>
      </c>
    </row>
    <row r="8" spans="1:14" x14ac:dyDescent="0.3">
      <c r="A8" s="59" t="s">
        <v>87</v>
      </c>
      <c r="B8" s="60">
        <v>36382530</v>
      </c>
      <c r="C8" s="61">
        <v>65480</v>
      </c>
      <c r="D8" s="63">
        <f t="shared" si="0"/>
        <v>555.6281307269395</v>
      </c>
      <c r="G8" s="12"/>
      <c r="H8" s="12"/>
    </row>
    <row r="9" spans="1:14" x14ac:dyDescent="0.3">
      <c r="B9" s="12"/>
      <c r="C9" s="12"/>
      <c r="G9" s="12"/>
      <c r="H9" s="12"/>
    </row>
    <row r="10" spans="1:14" x14ac:dyDescent="0.3">
      <c r="A10" s="77" t="s">
        <v>168</v>
      </c>
      <c r="B10" s="73"/>
      <c r="C10" s="73"/>
      <c r="G10" s="12"/>
      <c r="H10" s="12"/>
    </row>
    <row r="11" spans="1:14" x14ac:dyDescent="0.3">
      <c r="A11" s="75" t="s">
        <v>169</v>
      </c>
      <c r="B11" s="81">
        <f>MIN(B4:B7)</f>
        <v>2483141</v>
      </c>
      <c r="C11" s="78" t="str">
        <f>INDEX($A$4:$A$7,MATCH(B11,$B$4:$B$7,0))</f>
        <v>Joshi, Sanya</v>
      </c>
      <c r="G11" s="12"/>
      <c r="H11" s="12"/>
    </row>
    <row r="12" spans="1:14" x14ac:dyDescent="0.3">
      <c r="A12" s="74" t="s">
        <v>170</v>
      </c>
      <c r="B12" s="82">
        <f>MIN(C4:C7)</f>
        <v>8230</v>
      </c>
      <c r="C12" s="79" t="str">
        <f>INDEX($A$4:$A$7,MATCH(B12,$C$4:$C$7,0))</f>
        <v>Fischer, Jonas</v>
      </c>
      <c r="G12" s="12"/>
      <c r="H12" s="12"/>
    </row>
    <row r="13" spans="1:14" x14ac:dyDescent="0.3">
      <c r="A13" s="74" t="s">
        <v>171</v>
      </c>
      <c r="B13" s="83">
        <f>MAX(B4:B7)</f>
        <v>18770889</v>
      </c>
      <c r="C13" s="79" t="str">
        <f>INDEX($A$4:$A$7,MATCH(B13,$B$4:$B$7,0))</f>
        <v>Liu, Fang</v>
      </c>
      <c r="G13" s="12"/>
      <c r="H13" s="12"/>
    </row>
    <row r="14" spans="1:14" x14ac:dyDescent="0.3">
      <c r="A14" s="76" t="s">
        <v>172</v>
      </c>
      <c r="B14" s="84">
        <f>B13/B11</f>
        <v>7.5593327161043211</v>
      </c>
      <c r="C14" s="80"/>
      <c r="G14" s="12"/>
      <c r="H14" s="12"/>
    </row>
    <row r="15" spans="1:14" x14ac:dyDescent="0.3">
      <c r="B15" s="12"/>
      <c r="C15" s="12"/>
      <c r="G15" s="12"/>
      <c r="H15" s="12"/>
    </row>
    <row r="16" spans="1:14" x14ac:dyDescent="0.3">
      <c r="B16" s="12"/>
      <c r="C16" s="12"/>
      <c r="G16" s="12"/>
      <c r="H16" s="12"/>
    </row>
    <row r="17" spans="2:8" x14ac:dyDescent="0.3">
      <c r="B17" s="12"/>
      <c r="C17" s="12"/>
      <c r="G17" s="12"/>
      <c r="H17" s="12"/>
    </row>
    <row r="18" spans="2:8" x14ac:dyDescent="0.3">
      <c r="B18" s="12"/>
      <c r="C18" s="12"/>
      <c r="G18" s="12"/>
      <c r="H18" s="12"/>
    </row>
    <row r="19" spans="2:8" x14ac:dyDescent="0.3">
      <c r="B19" s="12"/>
      <c r="C19" s="12"/>
      <c r="G19" s="12"/>
      <c r="H19" s="12"/>
    </row>
    <row r="20" spans="2:8" x14ac:dyDescent="0.3">
      <c r="B20" s="12"/>
      <c r="C20" s="12"/>
      <c r="G20" s="12"/>
      <c r="H20" s="12"/>
    </row>
  </sheetData>
  <conditionalFormatting pivot="1" sqref="B4:B7">
    <cfRule type="dataBar" priority="1">
      <dataBar>
        <cfvo type="min"/>
        <cfvo type="max"/>
        <color rgb="FF638EC6"/>
      </dataBar>
      <extLst>
        <ext xmlns:x14="http://schemas.microsoft.com/office/spreadsheetml/2009/9/main" uri="{B025F937-C7B1-47D3-B67F-A62EFF666E3E}">
          <x14:id>{DE4B55F5-D115-46C2-BB91-E12EF2C61E24}</x14:id>
        </ext>
      </extLst>
    </cfRule>
  </conditionalFormatting>
  <conditionalFormatting pivot="1" sqref="G4:G6">
    <cfRule type="dataBar" priority="2">
      <dataBar>
        <cfvo type="min"/>
        <cfvo type="max"/>
        <color rgb="FF638EC6"/>
      </dataBar>
      <extLst>
        <ext xmlns:x14="http://schemas.microsoft.com/office/spreadsheetml/2009/9/main" uri="{B025F937-C7B1-47D3-B67F-A62EFF666E3E}">
          <x14:id>{02D46BA2-60A0-4E3F-8354-03ABC0353155}</x14:id>
        </ext>
      </extLst>
    </cfRule>
  </conditionalFormatting>
  <pageMargins left="0.7" right="0.7" top="0.75" bottom="0.75" header="0.3" footer="0.3"/>
  <drawing r:id="rId3"/>
  <extLst>
    <ext xmlns:x14="http://schemas.microsoft.com/office/spreadsheetml/2009/9/main" uri="{78C0D931-6437-407d-A8EE-F0AAD7539E65}">
      <x14:conditionalFormattings>
        <x14:conditionalFormatting xmlns:xm="http://schemas.microsoft.com/office/excel/2006/main" pivot="1">
          <x14:cfRule type="dataBar" id="{DE4B55F5-D115-46C2-BB91-E12EF2C61E24}">
            <x14:dataBar minLength="0" maxLength="100" negativeBarColorSameAsPositive="1" axisPosition="none">
              <x14:cfvo type="min"/>
              <x14:cfvo type="max"/>
            </x14:dataBar>
          </x14:cfRule>
          <xm:sqref>B4:B7</xm:sqref>
        </x14:conditionalFormatting>
        <x14:conditionalFormatting xmlns:xm="http://schemas.microsoft.com/office/excel/2006/main" pivot="1">
          <x14:cfRule type="dataBar" id="{02D46BA2-60A0-4E3F-8354-03ABC0353155}">
            <x14:dataBar minLength="0" maxLength="100" negativeBarColorSameAsPositive="1" axisPosition="none">
              <x14:cfvo type="min"/>
              <x14:cfvo type="max"/>
            </x14:dataBar>
          </x14:cfRule>
          <xm:sqref>G4:G6</xm:sqref>
        </x14:conditionalFormatting>
      </x14:conditionalFormattings>
    </ex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E8A6270632B74CA44318185654C11B" ma:contentTypeVersion="8" ma:contentTypeDescription="Create a new document." ma:contentTypeScope="" ma:versionID="77481fac2354b095101de9f20f93c7b9">
  <xsd:schema xmlns:xsd="http://www.w3.org/2001/XMLSchema" xmlns:xs="http://www.w3.org/2001/XMLSchema" xmlns:p="http://schemas.microsoft.com/office/2006/metadata/properties" xmlns:ns2="597a32d3-74d6-450e-99f4-564de56639a2" targetNamespace="http://schemas.microsoft.com/office/2006/metadata/properties" ma:root="true" ma:fieldsID="1cb477133849e8d412a41ccf963e1286" ns2:_="">
    <xsd:import namespace="597a32d3-74d6-450e-99f4-564de56639a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97a32d3-74d6-450e-99f4-564de56639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576DF1-745B-4265-9756-4171903C407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39765507-EBB5-457F-BA7F-BB14098A6395}">
  <ds:schemaRefs>
    <ds:schemaRef ds:uri="http://schemas.microsoft.com/sharepoint/v3/contenttype/forms"/>
  </ds:schemaRefs>
</ds:datastoreItem>
</file>

<file path=customXml/itemProps3.xml><?xml version="1.0" encoding="utf-8"?>
<ds:datastoreItem xmlns:ds="http://schemas.openxmlformats.org/officeDocument/2006/customXml" ds:itemID="{0CE6073D-352C-4181-B0B4-96CED1010B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97a32d3-74d6-450e-99f4-564de56639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Mobility sales data</vt:lpstr>
      <vt:lpstr>Lookups</vt:lpstr>
      <vt:lpstr>Sales Analysis</vt:lpstr>
      <vt:lpstr>Pivot Regions</vt:lpstr>
      <vt:lpstr>Pivot Time</vt:lpstr>
      <vt:lpstr>Pivot Reps &amp; 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Scott Ackerl</dc:creator>
  <cp:keywords/>
  <dc:description/>
  <cp:lastModifiedBy>Barbuto Lucas</cp:lastModifiedBy>
  <cp:revision/>
  <dcterms:created xsi:type="dcterms:W3CDTF">2024-10-18T18:00:41Z</dcterms:created>
  <dcterms:modified xsi:type="dcterms:W3CDTF">2026-07-30T15:43:33Z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0x010100D5E8A6270632B74CA44318185654C11B</vt:lpwstr>
  </property>
</Properties>
</file>